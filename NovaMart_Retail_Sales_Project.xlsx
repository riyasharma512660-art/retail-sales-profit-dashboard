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Aqua\Downloads\"/>
    </mc:Choice>
  </mc:AlternateContent>
  <xr:revisionPtr revIDLastSave="0" documentId="13_ncr:1_{3217BFBA-BBF1-452B-B562-6952E5AD0A5D}" xr6:coauthVersionLast="47" xr6:coauthVersionMax="47" xr10:uidLastSave="{00000000-0000-0000-0000-000000000000}"/>
  <bookViews>
    <workbookView xWindow="-108" yWindow="-108" windowWidth="23256" windowHeight="12816" activeTab="2" xr2:uid="{00000000-000D-0000-FFFF-FFFF00000000}"/>
  </bookViews>
  <sheets>
    <sheet name="Sales by Category" sheetId="8" r:id="rId1"/>
    <sheet name="Sales by Region" sheetId="10" r:id="rId2"/>
    <sheet name="Profit by Category" sheetId="11" r:id="rId3"/>
    <sheet name="Monthly Sales Trend" sheetId="12" r:id="rId4"/>
    <sheet name="Top 10 Products by Sales" sheetId="13" r:id="rId5"/>
    <sheet name="Discount vs Profit" sheetId="14" r:id="rId6"/>
    <sheet name="Dashboard" sheetId="15" r:id="rId7"/>
    <sheet name="Cleaned_Data" sheetId="5" r:id="rId8"/>
    <sheet name="Analysis" sheetId="6" r:id="rId9"/>
    <sheet name="Raw_Data" sheetId="1" r:id="rId10"/>
    <sheet name="Cleaned_Data_Backup" sheetId="3" r:id="rId11"/>
    <sheet name="Project_Info" sheetId="2" r:id="rId12"/>
  </sheets>
  <definedNames>
    <definedName name="_xlnm._FilterDatabase" localSheetId="7" hidden="1">Cleaned_Data!$A$1:$M$1201</definedName>
    <definedName name="_xlnm._FilterDatabase" localSheetId="10" hidden="1">Cleaned_Data_Backup!$A$1:$U$1201</definedName>
    <definedName name="_xlcn.WorksheetConnection_Cleaned_DataA1L120111" hidden="1">Cleaned_Data!$A$1:$L$1201</definedName>
    <definedName name="Slicer_Category">#N/A</definedName>
    <definedName name="Slicer_Region">#N/A</definedName>
  </definedNames>
  <calcPr calcId="191029"/>
  <pivotCaches>
    <pivotCache cacheId="269" r:id="rId13"/>
    <pivotCache cacheId="272" r:id="rId14"/>
    <pivotCache cacheId="275" r:id="rId15"/>
    <pivotCache cacheId="278" r:id="rId16"/>
    <pivotCache cacheId="281" r:id="rId17"/>
    <pivotCache cacheId="284" r:id="rId18"/>
  </pivotCaches>
  <extLst>
    <ext xmlns:x14="http://schemas.microsoft.com/office/spreadsheetml/2009/9/main" uri="{876F7934-8845-4945-9796-88D515C7AA90}">
      <x14:pivotCaches>
        <pivotCache cacheId="23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Cleaned_Data!$A$1:$L$12011"/>
        </x15:modelTables>
        <x15:extLst>
          <ext xmlns:x16="http://schemas.microsoft.com/office/spreadsheetml/2014/11/main" uri="{9835A34E-60A6-4A7C-AAB8-D5F71C897F49}">
            <x16:modelTimeGroupings>
              <x16:modelTimeGrouping tableName="Range 1" columnName="Order_Date" columnId="Order_Date">
                <x16:calculatedTimeColumn columnName="Order_Date (Year)" columnId="Order_Date (Year)" contentType="yea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A5" i="15" l="1"/>
  <c r="I5" i="15"/>
  <c r="G5" i="15"/>
  <c r="E5" i="15"/>
  <c r="C5" i="15"/>
  <c r="B7" i="6"/>
  <c r="B6" i="6"/>
  <c r="B5" i="6"/>
  <c r="B4" i="6"/>
  <c r="B3" i="6"/>
  <c r="B2" i="6"/>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2" i="3"/>
  <c r="P2" i="3"/>
  <c r="N2"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2" i="3"/>
  <c r="T3" i="3"/>
  <c r="T4" i="3"/>
  <c r="T5" i="3"/>
  <c r="T6" i="3"/>
  <c r="U6" i="3" s="1"/>
  <c r="T7" i="3"/>
  <c r="U7" i="3" s="1"/>
  <c r="T8" i="3"/>
  <c r="U8" i="3" s="1"/>
  <c r="T9" i="3"/>
  <c r="T10" i="3"/>
  <c r="T11" i="3"/>
  <c r="U11" i="3" s="1"/>
  <c r="T12" i="3"/>
  <c r="U12" i="3" s="1"/>
  <c r="T13" i="3"/>
  <c r="U13" i="3" s="1"/>
  <c r="T14" i="3"/>
  <c r="U14" i="3" s="1"/>
  <c r="T15" i="3"/>
  <c r="T16" i="3"/>
  <c r="T17" i="3"/>
  <c r="T18" i="3"/>
  <c r="U18" i="3" s="1"/>
  <c r="T19" i="3"/>
  <c r="U19" i="3" s="1"/>
  <c r="T20" i="3"/>
  <c r="U20" i="3" s="1"/>
  <c r="T21" i="3"/>
  <c r="T22" i="3"/>
  <c r="T23" i="3"/>
  <c r="U23" i="3" s="1"/>
  <c r="T24" i="3"/>
  <c r="U24" i="3" s="1"/>
  <c r="T25" i="3"/>
  <c r="U25" i="3" s="1"/>
  <c r="T26" i="3"/>
  <c r="U26" i="3" s="1"/>
  <c r="T27" i="3"/>
  <c r="T28" i="3"/>
  <c r="T29" i="3"/>
  <c r="U29" i="3" s="1"/>
  <c r="T30" i="3"/>
  <c r="U30" i="3" s="1"/>
  <c r="T31" i="3"/>
  <c r="U31" i="3" s="1"/>
  <c r="T32" i="3"/>
  <c r="U32" i="3" s="1"/>
  <c r="T33" i="3"/>
  <c r="T34" i="3"/>
  <c r="T35" i="3"/>
  <c r="U35" i="3" s="1"/>
  <c r="T36" i="3"/>
  <c r="U36" i="3" s="1"/>
  <c r="T37" i="3"/>
  <c r="U37" i="3" s="1"/>
  <c r="T38" i="3"/>
  <c r="U38" i="3" s="1"/>
  <c r="T39" i="3"/>
  <c r="T40" i="3"/>
  <c r="T41" i="3"/>
  <c r="U41" i="3" s="1"/>
  <c r="T42" i="3"/>
  <c r="U42" i="3" s="1"/>
  <c r="T43" i="3"/>
  <c r="U43" i="3" s="1"/>
  <c r="T44" i="3"/>
  <c r="U44" i="3" s="1"/>
  <c r="T45" i="3"/>
  <c r="T46" i="3"/>
  <c r="T47" i="3"/>
  <c r="U47" i="3" s="1"/>
  <c r="T48" i="3"/>
  <c r="U48" i="3" s="1"/>
  <c r="T49" i="3"/>
  <c r="U49" i="3" s="1"/>
  <c r="T50" i="3"/>
  <c r="U50" i="3" s="1"/>
  <c r="T51" i="3"/>
  <c r="T52" i="3"/>
  <c r="T53" i="3"/>
  <c r="U53" i="3" s="1"/>
  <c r="T54" i="3"/>
  <c r="U54" i="3" s="1"/>
  <c r="T55" i="3"/>
  <c r="U55" i="3" s="1"/>
  <c r="T56" i="3"/>
  <c r="U56" i="3" s="1"/>
  <c r="T57" i="3"/>
  <c r="T58" i="3"/>
  <c r="T59" i="3"/>
  <c r="T60" i="3"/>
  <c r="U60" i="3" s="1"/>
  <c r="T61" i="3"/>
  <c r="U61" i="3" s="1"/>
  <c r="T62" i="3"/>
  <c r="U62" i="3" s="1"/>
  <c r="T63" i="3"/>
  <c r="T64" i="3"/>
  <c r="T65" i="3"/>
  <c r="U65" i="3" s="1"/>
  <c r="T66" i="3"/>
  <c r="U66" i="3" s="1"/>
  <c r="T67" i="3"/>
  <c r="U67" i="3" s="1"/>
  <c r="T68" i="3"/>
  <c r="U68" i="3" s="1"/>
  <c r="T69" i="3"/>
  <c r="T70" i="3"/>
  <c r="T71" i="3"/>
  <c r="T72" i="3"/>
  <c r="U72" i="3" s="1"/>
  <c r="T73" i="3"/>
  <c r="U73" i="3" s="1"/>
  <c r="T74" i="3"/>
  <c r="U74" i="3" s="1"/>
  <c r="T75" i="3"/>
  <c r="T76" i="3"/>
  <c r="T77" i="3"/>
  <c r="U77" i="3" s="1"/>
  <c r="T78" i="3"/>
  <c r="U78" i="3" s="1"/>
  <c r="T79" i="3"/>
  <c r="U79" i="3" s="1"/>
  <c r="T80" i="3"/>
  <c r="U80" i="3" s="1"/>
  <c r="T81" i="3"/>
  <c r="T82" i="3"/>
  <c r="T83" i="3"/>
  <c r="U83" i="3" s="1"/>
  <c r="T84" i="3"/>
  <c r="U84" i="3" s="1"/>
  <c r="T85" i="3"/>
  <c r="U85" i="3" s="1"/>
  <c r="T86" i="3"/>
  <c r="U86" i="3" s="1"/>
  <c r="T87" i="3"/>
  <c r="T88" i="3"/>
  <c r="T89" i="3"/>
  <c r="U89" i="3" s="1"/>
  <c r="T90" i="3"/>
  <c r="U90" i="3" s="1"/>
  <c r="T91" i="3"/>
  <c r="U91" i="3" s="1"/>
  <c r="T92" i="3"/>
  <c r="U92" i="3" s="1"/>
  <c r="T93" i="3"/>
  <c r="T94" i="3"/>
  <c r="T95" i="3"/>
  <c r="U95" i="3" s="1"/>
  <c r="T96" i="3"/>
  <c r="U96" i="3" s="1"/>
  <c r="T97" i="3"/>
  <c r="U97" i="3" s="1"/>
  <c r="T98" i="3"/>
  <c r="U98" i="3" s="1"/>
  <c r="T99" i="3"/>
  <c r="T100" i="3"/>
  <c r="T101" i="3"/>
  <c r="U101" i="3" s="1"/>
  <c r="T102" i="3"/>
  <c r="U102" i="3" s="1"/>
  <c r="T103" i="3"/>
  <c r="U103" i="3" s="1"/>
  <c r="T104" i="3"/>
  <c r="U104" i="3" s="1"/>
  <c r="T105" i="3"/>
  <c r="T106" i="3"/>
  <c r="T107" i="3"/>
  <c r="U107" i="3" s="1"/>
  <c r="T108" i="3"/>
  <c r="U108" i="3" s="1"/>
  <c r="T109" i="3"/>
  <c r="U109" i="3" s="1"/>
  <c r="T110" i="3"/>
  <c r="U110" i="3" s="1"/>
  <c r="T111" i="3"/>
  <c r="T112" i="3"/>
  <c r="T113" i="3"/>
  <c r="T114" i="3"/>
  <c r="U114" i="3" s="1"/>
  <c r="T115" i="3"/>
  <c r="U115" i="3" s="1"/>
  <c r="T116" i="3"/>
  <c r="U116" i="3" s="1"/>
  <c r="T117" i="3"/>
  <c r="T118" i="3"/>
  <c r="T119" i="3"/>
  <c r="U119" i="3" s="1"/>
  <c r="T120" i="3"/>
  <c r="U120" i="3" s="1"/>
  <c r="T121" i="3"/>
  <c r="U121" i="3" s="1"/>
  <c r="T122" i="3"/>
  <c r="U122" i="3" s="1"/>
  <c r="T123" i="3"/>
  <c r="T124" i="3"/>
  <c r="T125" i="3"/>
  <c r="T126" i="3"/>
  <c r="U126" i="3" s="1"/>
  <c r="T127" i="3"/>
  <c r="U127" i="3" s="1"/>
  <c r="T128" i="3"/>
  <c r="U128" i="3" s="1"/>
  <c r="T129" i="3"/>
  <c r="T130" i="3"/>
  <c r="T131" i="3"/>
  <c r="U131" i="3" s="1"/>
  <c r="T132" i="3"/>
  <c r="U132" i="3" s="1"/>
  <c r="T133" i="3"/>
  <c r="U133" i="3" s="1"/>
  <c r="T134" i="3"/>
  <c r="U134" i="3" s="1"/>
  <c r="T135" i="3"/>
  <c r="T136" i="3"/>
  <c r="T137" i="3"/>
  <c r="U137" i="3" s="1"/>
  <c r="T138" i="3"/>
  <c r="U138" i="3" s="1"/>
  <c r="T139" i="3"/>
  <c r="U139" i="3" s="1"/>
  <c r="T140" i="3"/>
  <c r="U140" i="3" s="1"/>
  <c r="T141" i="3"/>
  <c r="T142" i="3"/>
  <c r="T143" i="3"/>
  <c r="U143" i="3" s="1"/>
  <c r="T144" i="3"/>
  <c r="U144" i="3" s="1"/>
  <c r="T145" i="3"/>
  <c r="U145" i="3" s="1"/>
  <c r="T146" i="3"/>
  <c r="U146" i="3" s="1"/>
  <c r="T147" i="3"/>
  <c r="T148" i="3"/>
  <c r="T149" i="3"/>
  <c r="U149" i="3" s="1"/>
  <c r="T150" i="3"/>
  <c r="U150" i="3" s="1"/>
  <c r="T151" i="3"/>
  <c r="U151" i="3" s="1"/>
  <c r="T152" i="3"/>
  <c r="U152" i="3" s="1"/>
  <c r="T153" i="3"/>
  <c r="T154" i="3"/>
  <c r="T155" i="3"/>
  <c r="U155" i="3" s="1"/>
  <c r="T156" i="3"/>
  <c r="U156" i="3" s="1"/>
  <c r="T157" i="3"/>
  <c r="U157" i="3" s="1"/>
  <c r="T158" i="3"/>
  <c r="U158" i="3" s="1"/>
  <c r="T159" i="3"/>
  <c r="T160" i="3"/>
  <c r="T161" i="3"/>
  <c r="U161" i="3" s="1"/>
  <c r="T162" i="3"/>
  <c r="U162" i="3" s="1"/>
  <c r="T163" i="3"/>
  <c r="U163" i="3" s="1"/>
  <c r="T164" i="3"/>
  <c r="U164" i="3" s="1"/>
  <c r="T165" i="3"/>
  <c r="T166" i="3"/>
  <c r="T167" i="3"/>
  <c r="T168" i="3"/>
  <c r="U168" i="3" s="1"/>
  <c r="T169" i="3"/>
  <c r="U169" i="3" s="1"/>
  <c r="T170" i="3"/>
  <c r="U170" i="3" s="1"/>
  <c r="T171" i="3"/>
  <c r="T172" i="3"/>
  <c r="T173" i="3"/>
  <c r="U173" i="3" s="1"/>
  <c r="T174" i="3"/>
  <c r="U174" i="3" s="1"/>
  <c r="T175" i="3"/>
  <c r="U175" i="3" s="1"/>
  <c r="T176" i="3"/>
  <c r="U176" i="3" s="1"/>
  <c r="T177" i="3"/>
  <c r="T178" i="3"/>
  <c r="T179" i="3"/>
  <c r="T180" i="3"/>
  <c r="U180" i="3" s="1"/>
  <c r="T181" i="3"/>
  <c r="U181" i="3" s="1"/>
  <c r="T182" i="3"/>
  <c r="U182" i="3" s="1"/>
  <c r="T183" i="3"/>
  <c r="T184" i="3"/>
  <c r="T185" i="3"/>
  <c r="U185" i="3" s="1"/>
  <c r="T186" i="3"/>
  <c r="U186" i="3" s="1"/>
  <c r="T187" i="3"/>
  <c r="U187" i="3" s="1"/>
  <c r="T188" i="3"/>
  <c r="U188" i="3" s="1"/>
  <c r="T189" i="3"/>
  <c r="T190" i="3"/>
  <c r="T191" i="3"/>
  <c r="U191" i="3" s="1"/>
  <c r="T192" i="3"/>
  <c r="U192" i="3" s="1"/>
  <c r="T193" i="3"/>
  <c r="U193" i="3" s="1"/>
  <c r="T194" i="3"/>
  <c r="U194" i="3" s="1"/>
  <c r="T195" i="3"/>
  <c r="T196" i="3"/>
  <c r="T197" i="3"/>
  <c r="U197" i="3" s="1"/>
  <c r="T198" i="3"/>
  <c r="U198" i="3" s="1"/>
  <c r="T199" i="3"/>
  <c r="U199" i="3" s="1"/>
  <c r="T200" i="3"/>
  <c r="U200" i="3" s="1"/>
  <c r="T201" i="3"/>
  <c r="T202" i="3"/>
  <c r="T203" i="3"/>
  <c r="U203" i="3" s="1"/>
  <c r="T204" i="3"/>
  <c r="U204" i="3" s="1"/>
  <c r="T205" i="3"/>
  <c r="U205" i="3" s="1"/>
  <c r="T206" i="3"/>
  <c r="U206" i="3" s="1"/>
  <c r="T207" i="3"/>
  <c r="T208" i="3"/>
  <c r="T209" i="3"/>
  <c r="U209" i="3" s="1"/>
  <c r="T210" i="3"/>
  <c r="U210" i="3" s="1"/>
  <c r="T211" i="3"/>
  <c r="U211" i="3" s="1"/>
  <c r="T212" i="3"/>
  <c r="U212" i="3" s="1"/>
  <c r="T213" i="3"/>
  <c r="T214" i="3"/>
  <c r="T215" i="3"/>
  <c r="U215" i="3" s="1"/>
  <c r="T216" i="3"/>
  <c r="U216" i="3" s="1"/>
  <c r="T217" i="3"/>
  <c r="U217" i="3" s="1"/>
  <c r="T218" i="3"/>
  <c r="U218" i="3" s="1"/>
  <c r="T219" i="3"/>
  <c r="T220" i="3"/>
  <c r="T221" i="3"/>
  <c r="T222" i="3"/>
  <c r="U222" i="3" s="1"/>
  <c r="T223" i="3"/>
  <c r="U223" i="3" s="1"/>
  <c r="T224" i="3"/>
  <c r="U224" i="3" s="1"/>
  <c r="T225" i="3"/>
  <c r="T226" i="3"/>
  <c r="T227" i="3"/>
  <c r="U227" i="3" s="1"/>
  <c r="T228" i="3"/>
  <c r="U228" i="3" s="1"/>
  <c r="T229" i="3"/>
  <c r="U229" i="3" s="1"/>
  <c r="T230" i="3"/>
  <c r="U230" i="3" s="1"/>
  <c r="T231" i="3"/>
  <c r="T232" i="3"/>
  <c r="T233" i="3"/>
  <c r="T234" i="3"/>
  <c r="U234" i="3" s="1"/>
  <c r="T235" i="3"/>
  <c r="U235" i="3" s="1"/>
  <c r="T236" i="3"/>
  <c r="U236" i="3" s="1"/>
  <c r="T237" i="3"/>
  <c r="T238" i="3"/>
  <c r="T239" i="3"/>
  <c r="U239" i="3" s="1"/>
  <c r="T240" i="3"/>
  <c r="U240" i="3" s="1"/>
  <c r="T241" i="3"/>
  <c r="U241" i="3" s="1"/>
  <c r="T242" i="3"/>
  <c r="U242" i="3" s="1"/>
  <c r="T243" i="3"/>
  <c r="T244" i="3"/>
  <c r="T245" i="3"/>
  <c r="U245" i="3" s="1"/>
  <c r="T246" i="3"/>
  <c r="U246" i="3" s="1"/>
  <c r="T247" i="3"/>
  <c r="U247" i="3" s="1"/>
  <c r="T248" i="3"/>
  <c r="U248" i="3" s="1"/>
  <c r="T249" i="3"/>
  <c r="T250" i="3"/>
  <c r="T251" i="3"/>
  <c r="U251" i="3" s="1"/>
  <c r="T252" i="3"/>
  <c r="U252" i="3" s="1"/>
  <c r="T253" i="3"/>
  <c r="U253" i="3" s="1"/>
  <c r="T254" i="3"/>
  <c r="U254" i="3" s="1"/>
  <c r="T255" i="3"/>
  <c r="T256" i="3"/>
  <c r="T257" i="3"/>
  <c r="U257" i="3" s="1"/>
  <c r="T258" i="3"/>
  <c r="U258" i="3" s="1"/>
  <c r="T259" i="3"/>
  <c r="U259" i="3" s="1"/>
  <c r="T260" i="3"/>
  <c r="U260" i="3" s="1"/>
  <c r="T261" i="3"/>
  <c r="T262" i="3"/>
  <c r="T263" i="3"/>
  <c r="U263" i="3" s="1"/>
  <c r="T264" i="3"/>
  <c r="U264" i="3" s="1"/>
  <c r="T265" i="3"/>
  <c r="U265" i="3" s="1"/>
  <c r="T266" i="3"/>
  <c r="U266" i="3" s="1"/>
  <c r="T267" i="3"/>
  <c r="T268" i="3"/>
  <c r="T269" i="3"/>
  <c r="U269" i="3" s="1"/>
  <c r="T270" i="3"/>
  <c r="U270" i="3" s="1"/>
  <c r="T271" i="3"/>
  <c r="U271" i="3" s="1"/>
  <c r="T272" i="3"/>
  <c r="U272" i="3" s="1"/>
  <c r="T273" i="3"/>
  <c r="T274" i="3"/>
  <c r="T275" i="3"/>
  <c r="T276" i="3"/>
  <c r="U276" i="3" s="1"/>
  <c r="T277" i="3"/>
  <c r="U277" i="3" s="1"/>
  <c r="T278" i="3"/>
  <c r="U278" i="3" s="1"/>
  <c r="T279" i="3"/>
  <c r="T280" i="3"/>
  <c r="T281" i="3"/>
  <c r="U281" i="3" s="1"/>
  <c r="T282" i="3"/>
  <c r="U282" i="3" s="1"/>
  <c r="T283" i="3"/>
  <c r="U283" i="3" s="1"/>
  <c r="T284" i="3"/>
  <c r="U284" i="3" s="1"/>
  <c r="T285" i="3"/>
  <c r="T286" i="3"/>
  <c r="T287" i="3"/>
  <c r="T288" i="3"/>
  <c r="U288" i="3" s="1"/>
  <c r="T289" i="3"/>
  <c r="U289" i="3" s="1"/>
  <c r="T290" i="3"/>
  <c r="U290" i="3" s="1"/>
  <c r="T291" i="3"/>
  <c r="T292" i="3"/>
  <c r="T293" i="3"/>
  <c r="U293" i="3" s="1"/>
  <c r="T294" i="3"/>
  <c r="U294" i="3" s="1"/>
  <c r="T295" i="3"/>
  <c r="U295" i="3" s="1"/>
  <c r="T296" i="3"/>
  <c r="U296" i="3" s="1"/>
  <c r="T297" i="3"/>
  <c r="T298" i="3"/>
  <c r="T299" i="3"/>
  <c r="U299" i="3" s="1"/>
  <c r="T300" i="3"/>
  <c r="U300" i="3" s="1"/>
  <c r="T301" i="3"/>
  <c r="U301" i="3" s="1"/>
  <c r="T302" i="3"/>
  <c r="U302" i="3" s="1"/>
  <c r="T303" i="3"/>
  <c r="T304" i="3"/>
  <c r="T305" i="3"/>
  <c r="U305" i="3" s="1"/>
  <c r="T306" i="3"/>
  <c r="U306" i="3" s="1"/>
  <c r="T307" i="3"/>
  <c r="U307" i="3" s="1"/>
  <c r="T308" i="3"/>
  <c r="U308" i="3" s="1"/>
  <c r="T309" i="3"/>
  <c r="T310" i="3"/>
  <c r="T311" i="3"/>
  <c r="U311" i="3" s="1"/>
  <c r="T312" i="3"/>
  <c r="U312" i="3" s="1"/>
  <c r="T313" i="3"/>
  <c r="U313" i="3" s="1"/>
  <c r="T314" i="3"/>
  <c r="U314" i="3" s="1"/>
  <c r="T315" i="3"/>
  <c r="T316" i="3"/>
  <c r="T317" i="3"/>
  <c r="T318" i="3"/>
  <c r="U318" i="3" s="1"/>
  <c r="T319" i="3"/>
  <c r="U319" i="3" s="1"/>
  <c r="T320" i="3"/>
  <c r="T321" i="3"/>
  <c r="T322" i="3"/>
  <c r="T323" i="3"/>
  <c r="U323" i="3" s="1"/>
  <c r="T324" i="3"/>
  <c r="U324" i="3" s="1"/>
  <c r="T325" i="3"/>
  <c r="U325" i="3" s="1"/>
  <c r="T326" i="3"/>
  <c r="U326" i="3" s="1"/>
  <c r="T327" i="3"/>
  <c r="T328" i="3"/>
  <c r="T329" i="3"/>
  <c r="T330" i="3"/>
  <c r="T331" i="3"/>
  <c r="U331" i="3" s="1"/>
  <c r="T332" i="3"/>
  <c r="U332" i="3" s="1"/>
  <c r="T333" i="3"/>
  <c r="T334" i="3"/>
  <c r="T335" i="3"/>
  <c r="T336" i="3"/>
  <c r="T337" i="3"/>
  <c r="U337" i="3" s="1"/>
  <c r="T338" i="3"/>
  <c r="U338" i="3" s="1"/>
  <c r="T339" i="3"/>
  <c r="T340" i="3"/>
  <c r="T341" i="3"/>
  <c r="U341" i="3" s="1"/>
  <c r="T342" i="3"/>
  <c r="U342" i="3" s="1"/>
  <c r="T343" i="3"/>
  <c r="U343" i="3" s="1"/>
  <c r="T344" i="3"/>
  <c r="U344" i="3" s="1"/>
  <c r="T345" i="3"/>
  <c r="T346" i="3"/>
  <c r="T347" i="3"/>
  <c r="U347" i="3" s="1"/>
  <c r="T348" i="3"/>
  <c r="U348" i="3" s="1"/>
  <c r="T349" i="3"/>
  <c r="U349" i="3" s="1"/>
  <c r="T350" i="3"/>
  <c r="U350" i="3" s="1"/>
  <c r="T351" i="3"/>
  <c r="T352" i="3"/>
  <c r="T353" i="3"/>
  <c r="U353" i="3" s="1"/>
  <c r="T354" i="3"/>
  <c r="U354" i="3" s="1"/>
  <c r="T355" i="3"/>
  <c r="U355" i="3" s="1"/>
  <c r="T356" i="3"/>
  <c r="U356" i="3" s="1"/>
  <c r="T357" i="3"/>
  <c r="T358" i="3"/>
  <c r="T359" i="3"/>
  <c r="U359" i="3" s="1"/>
  <c r="T360" i="3"/>
  <c r="U360" i="3" s="1"/>
  <c r="T361" i="3"/>
  <c r="U361" i="3" s="1"/>
  <c r="T362" i="3"/>
  <c r="U362" i="3" s="1"/>
  <c r="T363" i="3"/>
  <c r="T364" i="3"/>
  <c r="T365" i="3"/>
  <c r="U365" i="3" s="1"/>
  <c r="T366" i="3"/>
  <c r="U366" i="3" s="1"/>
  <c r="T367" i="3"/>
  <c r="U367" i="3" s="1"/>
  <c r="T368" i="3"/>
  <c r="U368" i="3" s="1"/>
  <c r="T369" i="3"/>
  <c r="T370" i="3"/>
  <c r="T371" i="3"/>
  <c r="U371" i="3" s="1"/>
  <c r="T372" i="3"/>
  <c r="U372" i="3" s="1"/>
  <c r="T373" i="3"/>
  <c r="U373" i="3" s="1"/>
  <c r="T374" i="3"/>
  <c r="U374" i="3" s="1"/>
  <c r="T375" i="3"/>
  <c r="T376" i="3"/>
  <c r="T377" i="3"/>
  <c r="T378" i="3"/>
  <c r="U378" i="3" s="1"/>
  <c r="T379" i="3"/>
  <c r="U379" i="3" s="1"/>
  <c r="T380" i="3"/>
  <c r="U380" i="3" s="1"/>
  <c r="T381" i="3"/>
  <c r="T382" i="3"/>
  <c r="T383" i="3"/>
  <c r="U383" i="3" s="1"/>
  <c r="T384" i="3"/>
  <c r="U384" i="3" s="1"/>
  <c r="T385" i="3"/>
  <c r="U385" i="3" s="1"/>
  <c r="T386" i="3"/>
  <c r="U386" i="3" s="1"/>
  <c r="T387" i="3"/>
  <c r="T388" i="3"/>
  <c r="T389" i="3"/>
  <c r="U389" i="3" s="1"/>
  <c r="T390" i="3"/>
  <c r="U390" i="3" s="1"/>
  <c r="T391" i="3"/>
  <c r="U391" i="3" s="1"/>
  <c r="T392" i="3"/>
  <c r="U392" i="3" s="1"/>
  <c r="T393" i="3"/>
  <c r="T394" i="3"/>
  <c r="T395" i="3"/>
  <c r="U395" i="3" s="1"/>
  <c r="T396" i="3"/>
  <c r="U396" i="3" s="1"/>
  <c r="T397" i="3"/>
  <c r="U397" i="3" s="1"/>
  <c r="T398" i="3"/>
  <c r="U398" i="3" s="1"/>
  <c r="T399" i="3"/>
  <c r="T400" i="3"/>
  <c r="T401" i="3"/>
  <c r="U401" i="3" s="1"/>
  <c r="T402" i="3"/>
  <c r="U402" i="3" s="1"/>
  <c r="T403" i="3"/>
  <c r="U403" i="3" s="1"/>
  <c r="T404" i="3"/>
  <c r="U404" i="3" s="1"/>
  <c r="T405" i="3"/>
  <c r="T406" i="3"/>
  <c r="T407" i="3"/>
  <c r="U407" i="3" s="1"/>
  <c r="T408" i="3"/>
  <c r="T409" i="3"/>
  <c r="U409" i="3" s="1"/>
  <c r="T410" i="3"/>
  <c r="T411" i="3"/>
  <c r="T412" i="3"/>
  <c r="T413" i="3"/>
  <c r="U413" i="3" s="1"/>
  <c r="T414" i="3"/>
  <c r="U414" i="3" s="1"/>
  <c r="T415" i="3"/>
  <c r="U415" i="3" s="1"/>
  <c r="T416" i="3"/>
  <c r="U416" i="3" s="1"/>
  <c r="T417" i="3"/>
  <c r="T418" i="3"/>
  <c r="T419" i="3"/>
  <c r="T420" i="3"/>
  <c r="U420" i="3" s="1"/>
  <c r="T421" i="3"/>
  <c r="U421" i="3" s="1"/>
  <c r="T422" i="3"/>
  <c r="T423" i="3"/>
  <c r="T424" i="3"/>
  <c r="T425" i="3"/>
  <c r="U425" i="3" s="1"/>
  <c r="T426" i="3"/>
  <c r="U426" i="3" s="1"/>
  <c r="T427" i="3"/>
  <c r="U427" i="3" s="1"/>
  <c r="T428" i="3"/>
  <c r="U428" i="3" s="1"/>
  <c r="T429" i="3"/>
  <c r="T430" i="3"/>
  <c r="T431" i="3"/>
  <c r="U431" i="3" s="1"/>
  <c r="T432" i="3"/>
  <c r="U432" i="3" s="1"/>
  <c r="T433" i="3"/>
  <c r="U433" i="3" s="1"/>
  <c r="T434" i="3"/>
  <c r="U434" i="3" s="1"/>
  <c r="T435" i="3"/>
  <c r="T436" i="3"/>
  <c r="T437" i="3"/>
  <c r="U437" i="3" s="1"/>
  <c r="T438" i="3"/>
  <c r="U438" i="3" s="1"/>
  <c r="T439" i="3"/>
  <c r="U439" i="3" s="1"/>
  <c r="T440" i="3"/>
  <c r="U440" i="3" s="1"/>
  <c r="T441" i="3"/>
  <c r="T442" i="3"/>
  <c r="T443" i="3"/>
  <c r="T444" i="3"/>
  <c r="U444" i="3" s="1"/>
  <c r="T445" i="3"/>
  <c r="U445" i="3" s="1"/>
  <c r="T446" i="3"/>
  <c r="U446" i="3" s="1"/>
  <c r="T447" i="3"/>
  <c r="T448" i="3"/>
  <c r="T449" i="3"/>
  <c r="T450" i="3"/>
  <c r="U450" i="3" s="1"/>
  <c r="T451" i="3"/>
  <c r="U451" i="3" s="1"/>
  <c r="T452" i="3"/>
  <c r="U452" i="3" s="1"/>
  <c r="T453" i="3"/>
  <c r="T454" i="3"/>
  <c r="T455" i="3"/>
  <c r="U455" i="3" s="1"/>
  <c r="T456" i="3"/>
  <c r="U456" i="3" s="1"/>
  <c r="T457" i="3"/>
  <c r="U457" i="3" s="1"/>
  <c r="T458" i="3"/>
  <c r="U458" i="3" s="1"/>
  <c r="T459" i="3"/>
  <c r="T460" i="3"/>
  <c r="T461" i="3"/>
  <c r="T462" i="3"/>
  <c r="U462" i="3" s="1"/>
  <c r="T463" i="3"/>
  <c r="U463" i="3" s="1"/>
  <c r="T464" i="3"/>
  <c r="U464" i="3" s="1"/>
  <c r="T465" i="3"/>
  <c r="T466" i="3"/>
  <c r="T467" i="3"/>
  <c r="U467" i="3" s="1"/>
  <c r="T468" i="3"/>
  <c r="U468" i="3" s="1"/>
  <c r="T469" i="3"/>
  <c r="U469" i="3" s="1"/>
  <c r="T470" i="3"/>
  <c r="U470" i="3" s="1"/>
  <c r="T471" i="3"/>
  <c r="T472" i="3"/>
  <c r="T473" i="3"/>
  <c r="U473" i="3" s="1"/>
  <c r="T474" i="3"/>
  <c r="U474" i="3" s="1"/>
  <c r="T475" i="3"/>
  <c r="U475" i="3" s="1"/>
  <c r="T476" i="3"/>
  <c r="T477" i="3"/>
  <c r="T478" i="3"/>
  <c r="T479" i="3"/>
  <c r="T480" i="3"/>
  <c r="U480" i="3" s="1"/>
  <c r="T481" i="3"/>
  <c r="U481" i="3" s="1"/>
  <c r="T482" i="3"/>
  <c r="U482" i="3" s="1"/>
  <c r="T483" i="3"/>
  <c r="T484" i="3"/>
  <c r="T485" i="3"/>
  <c r="T486" i="3"/>
  <c r="U486" i="3" s="1"/>
  <c r="T487" i="3"/>
  <c r="U487" i="3" s="1"/>
  <c r="T488" i="3"/>
  <c r="U488" i="3" s="1"/>
  <c r="T489" i="3"/>
  <c r="T490" i="3"/>
  <c r="T491" i="3"/>
  <c r="T492" i="3"/>
  <c r="U492" i="3" s="1"/>
  <c r="T493" i="3"/>
  <c r="U493" i="3" s="1"/>
  <c r="T494" i="3"/>
  <c r="U494" i="3" s="1"/>
  <c r="T495" i="3"/>
  <c r="T496" i="3"/>
  <c r="T497" i="3"/>
  <c r="U497" i="3" s="1"/>
  <c r="T498" i="3"/>
  <c r="U498" i="3" s="1"/>
  <c r="T499" i="3"/>
  <c r="U499" i="3" s="1"/>
  <c r="T500" i="3"/>
  <c r="U500" i="3" s="1"/>
  <c r="T501" i="3"/>
  <c r="T502" i="3"/>
  <c r="T503" i="3"/>
  <c r="T504" i="3"/>
  <c r="U504" i="3" s="1"/>
  <c r="T505" i="3"/>
  <c r="U505" i="3" s="1"/>
  <c r="T506" i="3"/>
  <c r="U506" i="3" s="1"/>
  <c r="T507" i="3"/>
  <c r="T508" i="3"/>
  <c r="T509" i="3"/>
  <c r="U509" i="3" s="1"/>
  <c r="T510" i="3"/>
  <c r="U510" i="3" s="1"/>
  <c r="T511" i="3"/>
  <c r="U511" i="3" s="1"/>
  <c r="T512" i="3"/>
  <c r="U512" i="3" s="1"/>
  <c r="T513" i="3"/>
  <c r="T514" i="3"/>
  <c r="T515" i="3"/>
  <c r="U515" i="3" s="1"/>
  <c r="T516" i="3"/>
  <c r="U516" i="3" s="1"/>
  <c r="T517" i="3"/>
  <c r="U517" i="3" s="1"/>
  <c r="T518" i="3"/>
  <c r="U518" i="3" s="1"/>
  <c r="T519" i="3"/>
  <c r="T520" i="3"/>
  <c r="T521" i="3"/>
  <c r="U521" i="3" s="1"/>
  <c r="T522" i="3"/>
  <c r="U522" i="3" s="1"/>
  <c r="T523" i="3"/>
  <c r="U523" i="3" s="1"/>
  <c r="T524" i="3"/>
  <c r="T525" i="3"/>
  <c r="T526" i="3"/>
  <c r="T527" i="3"/>
  <c r="U527" i="3" s="1"/>
  <c r="T528" i="3"/>
  <c r="U528" i="3" s="1"/>
  <c r="T529" i="3"/>
  <c r="U529" i="3" s="1"/>
  <c r="T530" i="3"/>
  <c r="U530" i="3" s="1"/>
  <c r="T531" i="3"/>
  <c r="T532" i="3"/>
  <c r="T533" i="3"/>
  <c r="U533" i="3" s="1"/>
  <c r="T534" i="3"/>
  <c r="U534" i="3" s="1"/>
  <c r="T535" i="3"/>
  <c r="U535" i="3" s="1"/>
  <c r="T536" i="3"/>
  <c r="U536" i="3" s="1"/>
  <c r="T537" i="3"/>
  <c r="T538" i="3"/>
  <c r="T539" i="3"/>
  <c r="U539" i="3" s="1"/>
  <c r="T540" i="3"/>
  <c r="U540" i="3" s="1"/>
  <c r="T541" i="3"/>
  <c r="U541" i="3" s="1"/>
  <c r="T542" i="3"/>
  <c r="U542" i="3" s="1"/>
  <c r="T543" i="3"/>
  <c r="T544" i="3"/>
  <c r="T545" i="3"/>
  <c r="U545" i="3" s="1"/>
  <c r="T546" i="3"/>
  <c r="U546" i="3" s="1"/>
  <c r="T547" i="3"/>
  <c r="U547" i="3" s="1"/>
  <c r="T548" i="3"/>
  <c r="U548" i="3" s="1"/>
  <c r="T549" i="3"/>
  <c r="T550" i="3"/>
  <c r="T551" i="3"/>
  <c r="U551" i="3" s="1"/>
  <c r="T552" i="3"/>
  <c r="U552" i="3" s="1"/>
  <c r="T553" i="3"/>
  <c r="U553" i="3" s="1"/>
  <c r="T554" i="3"/>
  <c r="U554" i="3" s="1"/>
  <c r="T555" i="3"/>
  <c r="T556" i="3"/>
  <c r="T557" i="3"/>
  <c r="U557" i="3" s="1"/>
  <c r="T558" i="3"/>
  <c r="U558" i="3" s="1"/>
  <c r="T559" i="3"/>
  <c r="U559" i="3" s="1"/>
  <c r="T560" i="3"/>
  <c r="U560" i="3" s="1"/>
  <c r="T561" i="3"/>
  <c r="T562" i="3"/>
  <c r="T563" i="3"/>
  <c r="T564" i="3"/>
  <c r="U564" i="3" s="1"/>
  <c r="T565" i="3"/>
  <c r="U565" i="3" s="1"/>
  <c r="T566" i="3"/>
  <c r="U566" i="3" s="1"/>
  <c r="T567" i="3"/>
  <c r="T568" i="3"/>
  <c r="T569" i="3"/>
  <c r="T570" i="3"/>
  <c r="U570" i="3" s="1"/>
  <c r="T571" i="3"/>
  <c r="U571" i="3" s="1"/>
  <c r="T572" i="3"/>
  <c r="U572" i="3" s="1"/>
  <c r="T573" i="3"/>
  <c r="T574" i="3"/>
  <c r="T575" i="3"/>
  <c r="U575" i="3" s="1"/>
  <c r="T576" i="3"/>
  <c r="U576" i="3" s="1"/>
  <c r="T577" i="3"/>
  <c r="U577" i="3" s="1"/>
  <c r="T578" i="3"/>
  <c r="U578" i="3" s="1"/>
  <c r="T579" i="3"/>
  <c r="T580" i="3"/>
  <c r="T581" i="3"/>
  <c r="U581" i="3" s="1"/>
  <c r="T582" i="3"/>
  <c r="U582" i="3" s="1"/>
  <c r="T583" i="3"/>
  <c r="U583" i="3" s="1"/>
  <c r="T584" i="3"/>
  <c r="U584" i="3" s="1"/>
  <c r="T585" i="3"/>
  <c r="T586" i="3"/>
  <c r="T587" i="3"/>
  <c r="U587" i="3" s="1"/>
  <c r="T588" i="3"/>
  <c r="U588" i="3" s="1"/>
  <c r="T589" i="3"/>
  <c r="U589" i="3" s="1"/>
  <c r="T590" i="3"/>
  <c r="U590" i="3" s="1"/>
  <c r="T591" i="3"/>
  <c r="T592" i="3"/>
  <c r="T593" i="3"/>
  <c r="U593" i="3" s="1"/>
  <c r="T594" i="3"/>
  <c r="U594" i="3" s="1"/>
  <c r="T595" i="3"/>
  <c r="U595" i="3" s="1"/>
  <c r="T596" i="3"/>
  <c r="U596" i="3" s="1"/>
  <c r="T597" i="3"/>
  <c r="T598" i="3"/>
  <c r="T599" i="3"/>
  <c r="U599" i="3" s="1"/>
  <c r="T600" i="3"/>
  <c r="U600" i="3" s="1"/>
  <c r="T601" i="3"/>
  <c r="U601" i="3" s="1"/>
  <c r="T602" i="3"/>
  <c r="U602" i="3" s="1"/>
  <c r="T603" i="3"/>
  <c r="T604" i="3"/>
  <c r="T605" i="3"/>
  <c r="T606" i="3"/>
  <c r="U606" i="3" s="1"/>
  <c r="T607" i="3"/>
  <c r="U607" i="3" s="1"/>
  <c r="T608" i="3"/>
  <c r="U608" i="3" s="1"/>
  <c r="T609" i="3"/>
  <c r="T610" i="3"/>
  <c r="T611" i="3"/>
  <c r="U611" i="3" s="1"/>
  <c r="T612" i="3"/>
  <c r="U612" i="3" s="1"/>
  <c r="T613" i="3"/>
  <c r="U613" i="3" s="1"/>
  <c r="T614" i="3"/>
  <c r="U614" i="3" s="1"/>
  <c r="T615" i="3"/>
  <c r="U615" i="3" s="1"/>
  <c r="T616" i="3"/>
  <c r="T617" i="3"/>
  <c r="U617" i="3" s="1"/>
  <c r="T618" i="3"/>
  <c r="U618" i="3" s="1"/>
  <c r="T619" i="3"/>
  <c r="U619" i="3" s="1"/>
  <c r="T620" i="3"/>
  <c r="U620" i="3" s="1"/>
  <c r="T621" i="3"/>
  <c r="T622" i="3"/>
  <c r="T623" i="3"/>
  <c r="U623" i="3" s="1"/>
  <c r="T624" i="3"/>
  <c r="U624" i="3" s="1"/>
  <c r="T625" i="3"/>
  <c r="U625" i="3" s="1"/>
  <c r="T626" i="3"/>
  <c r="U626" i="3" s="1"/>
  <c r="T627" i="3"/>
  <c r="U627" i="3" s="1"/>
  <c r="T628" i="3"/>
  <c r="T629" i="3"/>
  <c r="U629" i="3" s="1"/>
  <c r="T630" i="3"/>
  <c r="U630" i="3" s="1"/>
  <c r="T631" i="3"/>
  <c r="U631" i="3" s="1"/>
  <c r="T632" i="3"/>
  <c r="U632" i="3" s="1"/>
  <c r="T633" i="3"/>
  <c r="T634" i="3"/>
  <c r="T635" i="3"/>
  <c r="T636" i="3"/>
  <c r="U636" i="3" s="1"/>
  <c r="T637" i="3"/>
  <c r="U637" i="3" s="1"/>
  <c r="T638" i="3"/>
  <c r="U638" i="3" s="1"/>
  <c r="T639" i="3"/>
  <c r="T640" i="3"/>
  <c r="T641" i="3"/>
  <c r="U641" i="3" s="1"/>
  <c r="T642" i="3"/>
  <c r="U642" i="3" s="1"/>
  <c r="T643" i="3"/>
  <c r="U643" i="3" s="1"/>
  <c r="T644" i="3"/>
  <c r="U644" i="3" s="1"/>
  <c r="T645" i="3"/>
  <c r="U645" i="3" s="1"/>
  <c r="T646" i="3"/>
  <c r="T647" i="3"/>
  <c r="U647" i="3" s="1"/>
  <c r="T648" i="3"/>
  <c r="U648" i="3" s="1"/>
  <c r="T649" i="3"/>
  <c r="U649" i="3" s="1"/>
  <c r="T650" i="3"/>
  <c r="U650" i="3" s="1"/>
  <c r="T651" i="3"/>
  <c r="T652" i="3"/>
  <c r="T653" i="3"/>
  <c r="U653" i="3" s="1"/>
  <c r="T654" i="3"/>
  <c r="U654" i="3" s="1"/>
  <c r="T655" i="3"/>
  <c r="U655" i="3" s="1"/>
  <c r="T656" i="3"/>
  <c r="U656" i="3" s="1"/>
  <c r="T657" i="3"/>
  <c r="T658" i="3"/>
  <c r="T659" i="3"/>
  <c r="U659" i="3" s="1"/>
  <c r="T660" i="3"/>
  <c r="U660" i="3" s="1"/>
  <c r="T661" i="3"/>
  <c r="U661" i="3" s="1"/>
  <c r="T662" i="3"/>
  <c r="U662" i="3" s="1"/>
  <c r="T663" i="3"/>
  <c r="U663" i="3" s="1"/>
  <c r="T664" i="3"/>
  <c r="T665" i="3"/>
  <c r="U665" i="3" s="1"/>
  <c r="T666" i="3"/>
  <c r="U666" i="3" s="1"/>
  <c r="T667" i="3"/>
  <c r="U667" i="3" s="1"/>
  <c r="T668" i="3"/>
  <c r="U668" i="3" s="1"/>
  <c r="T669" i="3"/>
  <c r="T670" i="3"/>
  <c r="T671" i="3"/>
  <c r="U671" i="3" s="1"/>
  <c r="T672" i="3"/>
  <c r="U672" i="3" s="1"/>
  <c r="T673" i="3"/>
  <c r="U673" i="3" s="1"/>
  <c r="T674" i="3"/>
  <c r="U674" i="3" s="1"/>
  <c r="T675" i="3"/>
  <c r="T676" i="3"/>
  <c r="T677" i="3"/>
  <c r="T678" i="3"/>
  <c r="U678" i="3" s="1"/>
  <c r="T679" i="3"/>
  <c r="U679" i="3" s="1"/>
  <c r="T680" i="3"/>
  <c r="U680" i="3" s="1"/>
  <c r="T681" i="3"/>
  <c r="U681" i="3" s="1"/>
  <c r="T682" i="3"/>
  <c r="T683" i="3"/>
  <c r="U683" i="3" s="1"/>
  <c r="T684" i="3"/>
  <c r="U684" i="3" s="1"/>
  <c r="T685" i="3"/>
  <c r="U685" i="3" s="1"/>
  <c r="T686" i="3"/>
  <c r="U686" i="3" s="1"/>
  <c r="T687" i="3"/>
  <c r="T688" i="3"/>
  <c r="T689" i="3"/>
  <c r="U689" i="3" s="1"/>
  <c r="T690" i="3"/>
  <c r="U690" i="3" s="1"/>
  <c r="T691" i="3"/>
  <c r="U691" i="3" s="1"/>
  <c r="T692" i="3"/>
  <c r="T693" i="3"/>
  <c r="T694" i="3"/>
  <c r="T695" i="3"/>
  <c r="U695" i="3" s="1"/>
  <c r="T696" i="3"/>
  <c r="U696" i="3" s="1"/>
  <c r="T697" i="3"/>
  <c r="U697" i="3" s="1"/>
  <c r="T698" i="3"/>
  <c r="U698" i="3" s="1"/>
  <c r="T699" i="3"/>
  <c r="U699" i="3" s="1"/>
  <c r="T700" i="3"/>
  <c r="T701" i="3"/>
  <c r="U701" i="3" s="1"/>
  <c r="T702" i="3"/>
  <c r="U702" i="3" s="1"/>
  <c r="T703" i="3"/>
  <c r="U703" i="3" s="1"/>
  <c r="T704" i="3"/>
  <c r="U704" i="3" s="1"/>
  <c r="T705" i="3"/>
  <c r="T706" i="3"/>
  <c r="T707" i="3"/>
  <c r="U707" i="3" s="1"/>
  <c r="T708" i="3"/>
  <c r="U708" i="3" s="1"/>
  <c r="T709" i="3"/>
  <c r="U709" i="3" s="1"/>
  <c r="T710" i="3"/>
  <c r="U710" i="3" s="1"/>
  <c r="T711" i="3"/>
  <c r="T712" i="3"/>
  <c r="T713" i="3"/>
  <c r="T714" i="3"/>
  <c r="U714" i="3" s="1"/>
  <c r="T715" i="3"/>
  <c r="U715" i="3" s="1"/>
  <c r="T716" i="3"/>
  <c r="U716" i="3" s="1"/>
  <c r="T717" i="3"/>
  <c r="U717" i="3" s="1"/>
  <c r="T718" i="3"/>
  <c r="T719" i="3"/>
  <c r="U719" i="3" s="1"/>
  <c r="T720" i="3"/>
  <c r="U720" i="3" s="1"/>
  <c r="T721" i="3"/>
  <c r="U721" i="3" s="1"/>
  <c r="T722" i="3"/>
  <c r="U722" i="3" s="1"/>
  <c r="T723" i="3"/>
  <c r="T724" i="3"/>
  <c r="T725" i="3"/>
  <c r="U725" i="3" s="1"/>
  <c r="T726" i="3"/>
  <c r="U726" i="3" s="1"/>
  <c r="T727" i="3"/>
  <c r="U727" i="3" s="1"/>
  <c r="T728" i="3"/>
  <c r="U728" i="3" s="1"/>
  <c r="T729" i="3"/>
  <c r="T730" i="3"/>
  <c r="T731" i="3"/>
  <c r="U731" i="3" s="1"/>
  <c r="T732" i="3"/>
  <c r="U732" i="3" s="1"/>
  <c r="T733" i="3"/>
  <c r="U733" i="3" s="1"/>
  <c r="T734" i="3"/>
  <c r="U734" i="3" s="1"/>
  <c r="T735" i="3"/>
  <c r="U735" i="3" s="1"/>
  <c r="T736" i="3"/>
  <c r="T737" i="3"/>
  <c r="T738" i="3"/>
  <c r="U738" i="3" s="1"/>
  <c r="T739" i="3"/>
  <c r="U739" i="3" s="1"/>
  <c r="T740" i="3"/>
  <c r="U740" i="3" s="1"/>
  <c r="T741" i="3"/>
  <c r="T742" i="3"/>
  <c r="T743" i="3"/>
  <c r="U743" i="3" s="1"/>
  <c r="T744" i="3"/>
  <c r="U744" i="3" s="1"/>
  <c r="T745" i="3"/>
  <c r="U745" i="3" s="1"/>
  <c r="T746" i="3"/>
  <c r="U746" i="3" s="1"/>
  <c r="T747" i="3"/>
  <c r="T748" i="3"/>
  <c r="T749" i="3"/>
  <c r="U749" i="3" s="1"/>
  <c r="T750" i="3"/>
  <c r="U750" i="3" s="1"/>
  <c r="T751" i="3"/>
  <c r="U751" i="3" s="1"/>
  <c r="T752" i="3"/>
  <c r="U752" i="3" s="1"/>
  <c r="T753" i="3"/>
  <c r="U753" i="3" s="1"/>
  <c r="T754" i="3"/>
  <c r="T755" i="3"/>
  <c r="U755" i="3" s="1"/>
  <c r="T756" i="3"/>
  <c r="U756" i="3" s="1"/>
  <c r="T757" i="3"/>
  <c r="U757" i="3" s="1"/>
  <c r="T758" i="3"/>
  <c r="U758" i="3" s="1"/>
  <c r="T759" i="3"/>
  <c r="T760" i="3"/>
  <c r="T761" i="3"/>
  <c r="U761" i="3" s="1"/>
  <c r="T762" i="3"/>
  <c r="U762" i="3" s="1"/>
  <c r="T763" i="3"/>
  <c r="U763" i="3" s="1"/>
  <c r="T764" i="3"/>
  <c r="U764" i="3" s="1"/>
  <c r="T765" i="3"/>
  <c r="T766" i="3"/>
  <c r="T767" i="3"/>
  <c r="U767" i="3" s="1"/>
  <c r="T768" i="3"/>
  <c r="U768" i="3" s="1"/>
  <c r="T769" i="3"/>
  <c r="U769" i="3" s="1"/>
  <c r="T770" i="3"/>
  <c r="U770" i="3" s="1"/>
  <c r="T771" i="3"/>
  <c r="U771" i="3" s="1"/>
  <c r="T772" i="3"/>
  <c r="T773" i="3"/>
  <c r="U773" i="3" s="1"/>
  <c r="T774" i="3"/>
  <c r="U774" i="3" s="1"/>
  <c r="T775" i="3"/>
  <c r="U775" i="3" s="1"/>
  <c r="T776" i="3"/>
  <c r="U776" i="3" s="1"/>
  <c r="T777" i="3"/>
  <c r="T778" i="3"/>
  <c r="T779" i="3"/>
  <c r="U779" i="3" s="1"/>
  <c r="T780" i="3"/>
  <c r="U780" i="3" s="1"/>
  <c r="T781" i="3"/>
  <c r="U781" i="3" s="1"/>
  <c r="T782" i="3"/>
  <c r="U782" i="3" s="1"/>
  <c r="T783" i="3"/>
  <c r="T784" i="3"/>
  <c r="T785" i="3"/>
  <c r="U785" i="3" s="1"/>
  <c r="T786" i="3"/>
  <c r="U786" i="3" s="1"/>
  <c r="T787" i="3"/>
  <c r="U787" i="3" s="1"/>
  <c r="T788" i="3"/>
  <c r="U788" i="3" s="1"/>
  <c r="T789" i="3"/>
  <c r="U789" i="3" s="1"/>
  <c r="T790" i="3"/>
  <c r="T791" i="3"/>
  <c r="U791" i="3" s="1"/>
  <c r="T792" i="3"/>
  <c r="U792" i="3" s="1"/>
  <c r="T793" i="3"/>
  <c r="U793" i="3" s="1"/>
  <c r="T794" i="3"/>
  <c r="U794" i="3" s="1"/>
  <c r="T795" i="3"/>
  <c r="T796" i="3"/>
  <c r="T797" i="3"/>
  <c r="U797" i="3" s="1"/>
  <c r="T798" i="3"/>
  <c r="U798" i="3" s="1"/>
  <c r="T799" i="3"/>
  <c r="U799" i="3" s="1"/>
  <c r="T800" i="3"/>
  <c r="U800" i="3" s="1"/>
  <c r="T801" i="3"/>
  <c r="U801" i="3" s="1"/>
  <c r="T802" i="3"/>
  <c r="T803" i="3"/>
  <c r="U803" i="3" s="1"/>
  <c r="T804" i="3"/>
  <c r="U804" i="3" s="1"/>
  <c r="T805" i="3"/>
  <c r="U805" i="3" s="1"/>
  <c r="T806" i="3"/>
  <c r="U806" i="3" s="1"/>
  <c r="T807" i="3"/>
  <c r="T808" i="3"/>
  <c r="T809" i="3"/>
  <c r="U809" i="3" s="1"/>
  <c r="T810" i="3"/>
  <c r="U810" i="3" s="1"/>
  <c r="T811" i="3"/>
  <c r="U811" i="3" s="1"/>
  <c r="T812" i="3"/>
  <c r="U812" i="3" s="1"/>
  <c r="T813" i="3"/>
  <c r="T814" i="3"/>
  <c r="T815" i="3"/>
  <c r="U815" i="3" s="1"/>
  <c r="T816" i="3"/>
  <c r="U816" i="3" s="1"/>
  <c r="T817" i="3"/>
  <c r="U817" i="3" s="1"/>
  <c r="T818" i="3"/>
  <c r="U818" i="3" s="1"/>
  <c r="T819" i="3"/>
  <c r="T820" i="3"/>
  <c r="T821" i="3"/>
  <c r="U821" i="3" s="1"/>
  <c r="T822" i="3"/>
  <c r="U822" i="3" s="1"/>
  <c r="T823" i="3"/>
  <c r="U823" i="3" s="1"/>
  <c r="T824" i="3"/>
  <c r="U824" i="3" s="1"/>
  <c r="T825" i="3"/>
  <c r="T826" i="3"/>
  <c r="T827" i="3"/>
  <c r="U827" i="3" s="1"/>
  <c r="T828" i="3"/>
  <c r="U828" i="3" s="1"/>
  <c r="T829" i="3"/>
  <c r="U829" i="3" s="1"/>
  <c r="T830" i="3"/>
  <c r="U830" i="3" s="1"/>
  <c r="T831" i="3"/>
  <c r="T832" i="3"/>
  <c r="T833" i="3"/>
  <c r="U833" i="3" s="1"/>
  <c r="T834" i="3"/>
  <c r="U834" i="3" s="1"/>
  <c r="T835" i="3"/>
  <c r="U835" i="3" s="1"/>
  <c r="T836" i="3"/>
  <c r="U836" i="3" s="1"/>
  <c r="T837" i="3"/>
  <c r="T838" i="3"/>
  <c r="T839" i="3"/>
  <c r="U839" i="3" s="1"/>
  <c r="T840" i="3"/>
  <c r="U840" i="3" s="1"/>
  <c r="T841" i="3"/>
  <c r="U841" i="3" s="1"/>
  <c r="T842" i="3"/>
  <c r="U842" i="3" s="1"/>
  <c r="T843" i="3"/>
  <c r="T844" i="3"/>
  <c r="T845" i="3"/>
  <c r="U845" i="3" s="1"/>
  <c r="T846" i="3"/>
  <c r="U846" i="3" s="1"/>
  <c r="T847" i="3"/>
  <c r="U847" i="3" s="1"/>
  <c r="T848" i="3"/>
  <c r="U848" i="3" s="1"/>
  <c r="T849" i="3"/>
  <c r="U849" i="3" s="1"/>
  <c r="T850" i="3"/>
  <c r="T851" i="3"/>
  <c r="U851" i="3" s="1"/>
  <c r="T852" i="3"/>
  <c r="U852" i="3" s="1"/>
  <c r="T853" i="3"/>
  <c r="U853" i="3" s="1"/>
  <c r="T854" i="3"/>
  <c r="U854" i="3" s="1"/>
  <c r="T855" i="3"/>
  <c r="T856" i="3"/>
  <c r="T857" i="3"/>
  <c r="U857" i="3" s="1"/>
  <c r="T858" i="3"/>
  <c r="U858" i="3" s="1"/>
  <c r="T859" i="3"/>
  <c r="U859" i="3" s="1"/>
  <c r="T860" i="3"/>
  <c r="U860" i="3" s="1"/>
  <c r="T861" i="3"/>
  <c r="T862" i="3"/>
  <c r="T863" i="3"/>
  <c r="U863" i="3" s="1"/>
  <c r="T864" i="3"/>
  <c r="U864" i="3" s="1"/>
  <c r="T865" i="3"/>
  <c r="U865" i="3" s="1"/>
  <c r="T866" i="3"/>
  <c r="U866" i="3" s="1"/>
  <c r="T867" i="3"/>
  <c r="U867" i="3" s="1"/>
  <c r="T868" i="3"/>
  <c r="T869" i="3"/>
  <c r="U869" i="3" s="1"/>
  <c r="T870" i="3"/>
  <c r="U870" i="3" s="1"/>
  <c r="T871" i="3"/>
  <c r="U871" i="3" s="1"/>
  <c r="T872" i="3"/>
  <c r="U872" i="3" s="1"/>
  <c r="T873" i="3"/>
  <c r="T874" i="3"/>
  <c r="T875" i="3"/>
  <c r="U875" i="3" s="1"/>
  <c r="T876" i="3"/>
  <c r="U876" i="3" s="1"/>
  <c r="T877" i="3"/>
  <c r="U877" i="3" s="1"/>
  <c r="T878" i="3"/>
  <c r="U878" i="3" s="1"/>
  <c r="T879" i="3"/>
  <c r="U879" i="3" s="1"/>
  <c r="T880" i="3"/>
  <c r="T881" i="3"/>
  <c r="U881" i="3" s="1"/>
  <c r="T882" i="3"/>
  <c r="U882" i="3" s="1"/>
  <c r="T883" i="3"/>
  <c r="U883" i="3" s="1"/>
  <c r="T884" i="3"/>
  <c r="U884" i="3" s="1"/>
  <c r="T885" i="3"/>
  <c r="T886" i="3"/>
  <c r="T887" i="3"/>
  <c r="T888" i="3"/>
  <c r="U888" i="3" s="1"/>
  <c r="T889" i="3"/>
  <c r="U889" i="3" s="1"/>
  <c r="T890" i="3"/>
  <c r="U890" i="3" s="1"/>
  <c r="T891" i="3"/>
  <c r="T892" i="3"/>
  <c r="T893" i="3"/>
  <c r="U893" i="3" s="1"/>
  <c r="T894" i="3"/>
  <c r="U894" i="3" s="1"/>
  <c r="T895" i="3"/>
  <c r="U895" i="3" s="1"/>
  <c r="T896" i="3"/>
  <c r="U896" i="3" s="1"/>
  <c r="T897" i="3"/>
  <c r="T898" i="3"/>
  <c r="T899" i="3"/>
  <c r="U899" i="3" s="1"/>
  <c r="T900" i="3"/>
  <c r="U900" i="3" s="1"/>
  <c r="T901" i="3"/>
  <c r="U901" i="3" s="1"/>
  <c r="T902" i="3"/>
  <c r="U902" i="3" s="1"/>
  <c r="T903" i="3"/>
  <c r="T904" i="3"/>
  <c r="T905" i="3"/>
  <c r="U905" i="3" s="1"/>
  <c r="T906" i="3"/>
  <c r="U906" i="3" s="1"/>
  <c r="T907" i="3"/>
  <c r="U907" i="3" s="1"/>
  <c r="T908" i="3"/>
  <c r="U908" i="3" s="1"/>
  <c r="T909" i="3"/>
  <c r="T910" i="3"/>
  <c r="T911" i="3"/>
  <c r="U911" i="3" s="1"/>
  <c r="T912" i="3"/>
  <c r="U912" i="3" s="1"/>
  <c r="T913" i="3"/>
  <c r="U913" i="3" s="1"/>
  <c r="T914" i="3"/>
  <c r="U914" i="3" s="1"/>
  <c r="T915" i="3"/>
  <c r="T916" i="3"/>
  <c r="T917" i="3"/>
  <c r="U917" i="3" s="1"/>
  <c r="T918" i="3"/>
  <c r="U918" i="3" s="1"/>
  <c r="T919" i="3"/>
  <c r="U919" i="3" s="1"/>
  <c r="T920" i="3"/>
  <c r="U920" i="3" s="1"/>
  <c r="T921" i="3"/>
  <c r="T922" i="3"/>
  <c r="T923" i="3"/>
  <c r="U923" i="3" s="1"/>
  <c r="T924" i="3"/>
  <c r="U924" i="3" s="1"/>
  <c r="T925" i="3"/>
  <c r="U925" i="3" s="1"/>
  <c r="T926" i="3"/>
  <c r="U926" i="3" s="1"/>
  <c r="T927" i="3"/>
  <c r="T928" i="3"/>
  <c r="T929" i="3"/>
  <c r="U929" i="3" s="1"/>
  <c r="T930" i="3"/>
  <c r="U930" i="3" s="1"/>
  <c r="T931" i="3"/>
  <c r="U931" i="3" s="1"/>
  <c r="T932" i="3"/>
  <c r="U932" i="3" s="1"/>
  <c r="T933" i="3"/>
  <c r="T934" i="3"/>
  <c r="T935" i="3"/>
  <c r="U935" i="3" s="1"/>
  <c r="T936" i="3"/>
  <c r="U936" i="3" s="1"/>
  <c r="T937" i="3"/>
  <c r="U937" i="3" s="1"/>
  <c r="T938" i="3"/>
  <c r="U938" i="3" s="1"/>
  <c r="T939" i="3"/>
  <c r="T940" i="3"/>
  <c r="T941" i="3"/>
  <c r="U941" i="3" s="1"/>
  <c r="T942" i="3"/>
  <c r="U942" i="3" s="1"/>
  <c r="T943" i="3"/>
  <c r="U943" i="3" s="1"/>
  <c r="T944" i="3"/>
  <c r="U944" i="3" s="1"/>
  <c r="T945" i="3"/>
  <c r="T946" i="3"/>
  <c r="T947" i="3"/>
  <c r="U947" i="3" s="1"/>
  <c r="T948" i="3"/>
  <c r="U948" i="3" s="1"/>
  <c r="T949" i="3"/>
  <c r="U949" i="3" s="1"/>
  <c r="T950" i="3"/>
  <c r="U950" i="3" s="1"/>
  <c r="T951" i="3"/>
  <c r="T952" i="3"/>
  <c r="T953" i="3"/>
  <c r="U953" i="3" s="1"/>
  <c r="T954" i="3"/>
  <c r="U954" i="3" s="1"/>
  <c r="T955" i="3"/>
  <c r="U955" i="3" s="1"/>
  <c r="T956" i="3"/>
  <c r="U956" i="3" s="1"/>
  <c r="T957" i="3"/>
  <c r="T958" i="3"/>
  <c r="T959" i="3"/>
  <c r="U959" i="3" s="1"/>
  <c r="T960" i="3"/>
  <c r="U960" i="3" s="1"/>
  <c r="T961" i="3"/>
  <c r="U961" i="3" s="1"/>
  <c r="T962" i="3"/>
  <c r="U962" i="3" s="1"/>
  <c r="T963" i="3"/>
  <c r="T964" i="3"/>
  <c r="T965" i="3"/>
  <c r="U965" i="3" s="1"/>
  <c r="T966" i="3"/>
  <c r="U966" i="3" s="1"/>
  <c r="T967" i="3"/>
  <c r="U967" i="3" s="1"/>
  <c r="T968" i="3"/>
  <c r="U968" i="3" s="1"/>
  <c r="T969" i="3"/>
  <c r="T970" i="3"/>
  <c r="T971" i="3"/>
  <c r="U971" i="3" s="1"/>
  <c r="T972" i="3"/>
  <c r="U972" i="3" s="1"/>
  <c r="T973" i="3"/>
  <c r="U973" i="3" s="1"/>
  <c r="T974" i="3"/>
  <c r="U974" i="3" s="1"/>
  <c r="T975" i="3"/>
  <c r="T976" i="3"/>
  <c r="T977" i="3"/>
  <c r="U977" i="3" s="1"/>
  <c r="T978" i="3"/>
  <c r="U978" i="3" s="1"/>
  <c r="T979" i="3"/>
  <c r="U979" i="3" s="1"/>
  <c r="T980" i="3"/>
  <c r="U980" i="3" s="1"/>
  <c r="T981" i="3"/>
  <c r="T982" i="3"/>
  <c r="T983" i="3"/>
  <c r="U983" i="3" s="1"/>
  <c r="T984" i="3"/>
  <c r="U984" i="3" s="1"/>
  <c r="T985" i="3"/>
  <c r="U985" i="3" s="1"/>
  <c r="T986" i="3"/>
  <c r="U986" i="3" s="1"/>
  <c r="T987" i="3"/>
  <c r="T988" i="3"/>
  <c r="T989" i="3"/>
  <c r="U989" i="3" s="1"/>
  <c r="T990" i="3"/>
  <c r="U990" i="3" s="1"/>
  <c r="T991" i="3"/>
  <c r="U991" i="3" s="1"/>
  <c r="T992" i="3"/>
  <c r="U992" i="3" s="1"/>
  <c r="T993" i="3"/>
  <c r="T994" i="3"/>
  <c r="T995" i="3"/>
  <c r="U995" i="3" s="1"/>
  <c r="T996" i="3"/>
  <c r="U996" i="3" s="1"/>
  <c r="T997" i="3"/>
  <c r="U997" i="3" s="1"/>
  <c r="T998" i="3"/>
  <c r="U998" i="3" s="1"/>
  <c r="T999" i="3"/>
  <c r="T1000" i="3"/>
  <c r="T1001" i="3"/>
  <c r="U1001" i="3" s="1"/>
  <c r="T1002" i="3"/>
  <c r="U1002" i="3" s="1"/>
  <c r="T1003" i="3"/>
  <c r="U1003" i="3" s="1"/>
  <c r="T1004" i="3"/>
  <c r="U1004" i="3" s="1"/>
  <c r="T1005" i="3"/>
  <c r="U1005" i="3" s="1"/>
  <c r="T1006" i="3"/>
  <c r="T1007" i="3"/>
  <c r="U1007" i="3" s="1"/>
  <c r="T1008" i="3"/>
  <c r="U1008" i="3" s="1"/>
  <c r="T1009" i="3"/>
  <c r="U1009" i="3" s="1"/>
  <c r="T1010" i="3"/>
  <c r="U1010" i="3" s="1"/>
  <c r="T1011" i="3"/>
  <c r="T1012" i="3"/>
  <c r="T1013" i="3"/>
  <c r="U1013" i="3" s="1"/>
  <c r="T1014" i="3"/>
  <c r="U1014" i="3" s="1"/>
  <c r="T1015" i="3"/>
  <c r="U1015" i="3" s="1"/>
  <c r="T1016" i="3"/>
  <c r="U1016" i="3" s="1"/>
  <c r="T1017" i="3"/>
  <c r="T1018" i="3"/>
  <c r="T1019" i="3"/>
  <c r="T1020" i="3"/>
  <c r="U1020" i="3" s="1"/>
  <c r="T1021" i="3"/>
  <c r="U1021" i="3" s="1"/>
  <c r="T1022" i="3"/>
  <c r="U1022" i="3" s="1"/>
  <c r="T1023" i="3"/>
  <c r="T1024" i="3"/>
  <c r="T1025" i="3"/>
  <c r="U1025" i="3" s="1"/>
  <c r="T1026" i="3"/>
  <c r="U1026" i="3" s="1"/>
  <c r="T1027" i="3"/>
  <c r="U1027" i="3" s="1"/>
  <c r="T1028" i="3"/>
  <c r="U1028" i="3" s="1"/>
  <c r="T1029" i="3"/>
  <c r="T1030" i="3"/>
  <c r="T1031" i="3"/>
  <c r="T1032" i="3"/>
  <c r="U1032" i="3" s="1"/>
  <c r="T1033" i="3"/>
  <c r="U1033" i="3" s="1"/>
  <c r="T1034" i="3"/>
  <c r="U1034" i="3" s="1"/>
  <c r="T1035" i="3"/>
  <c r="U1035" i="3" s="1"/>
  <c r="T1036" i="3"/>
  <c r="T1037" i="3"/>
  <c r="U1037" i="3" s="1"/>
  <c r="T1038" i="3"/>
  <c r="U1038" i="3" s="1"/>
  <c r="T1039" i="3"/>
  <c r="U1039" i="3" s="1"/>
  <c r="T1040" i="3"/>
  <c r="U1040" i="3" s="1"/>
  <c r="T1041" i="3"/>
  <c r="T1042" i="3"/>
  <c r="T1043" i="3"/>
  <c r="U1043" i="3" s="1"/>
  <c r="T1044" i="3"/>
  <c r="U1044" i="3" s="1"/>
  <c r="T1045" i="3"/>
  <c r="U1045" i="3" s="1"/>
  <c r="T1046" i="3"/>
  <c r="U1046" i="3" s="1"/>
  <c r="T1047" i="3"/>
  <c r="T1048" i="3"/>
  <c r="T1049" i="3"/>
  <c r="U1049" i="3" s="1"/>
  <c r="T1050" i="3"/>
  <c r="U1050" i="3" s="1"/>
  <c r="T1051" i="3"/>
  <c r="U1051" i="3" s="1"/>
  <c r="T1052" i="3"/>
  <c r="U1052" i="3" s="1"/>
  <c r="T1053" i="3"/>
  <c r="U1053" i="3" s="1"/>
  <c r="T1054" i="3"/>
  <c r="T1055" i="3"/>
  <c r="U1055" i="3" s="1"/>
  <c r="T1056" i="3"/>
  <c r="U1056" i="3" s="1"/>
  <c r="T1057" i="3"/>
  <c r="U1057" i="3" s="1"/>
  <c r="T1058" i="3"/>
  <c r="U1058" i="3" s="1"/>
  <c r="T1059" i="3"/>
  <c r="T1060" i="3"/>
  <c r="T1061" i="3"/>
  <c r="U1061" i="3" s="1"/>
  <c r="T1062" i="3"/>
  <c r="U1062" i="3" s="1"/>
  <c r="T1063" i="3"/>
  <c r="U1063" i="3" s="1"/>
  <c r="T1064" i="3"/>
  <c r="U1064" i="3" s="1"/>
  <c r="T1065" i="3"/>
  <c r="T1066" i="3"/>
  <c r="T1067" i="3"/>
  <c r="U1067" i="3" s="1"/>
  <c r="T1068" i="3"/>
  <c r="U1068" i="3" s="1"/>
  <c r="T1069" i="3"/>
  <c r="U1069" i="3" s="1"/>
  <c r="T1070" i="3"/>
  <c r="U1070" i="3" s="1"/>
  <c r="T1071" i="3"/>
  <c r="U1071" i="3" s="1"/>
  <c r="T1072" i="3"/>
  <c r="T1073" i="3"/>
  <c r="U1073" i="3" s="1"/>
  <c r="T1074" i="3"/>
  <c r="U1074" i="3" s="1"/>
  <c r="T1075" i="3"/>
  <c r="U1075" i="3" s="1"/>
  <c r="T1076" i="3"/>
  <c r="U1076" i="3" s="1"/>
  <c r="T1077" i="3"/>
  <c r="T1078" i="3"/>
  <c r="T1079" i="3"/>
  <c r="U1079" i="3" s="1"/>
  <c r="T1080" i="3"/>
  <c r="U1080" i="3" s="1"/>
  <c r="T1081" i="3"/>
  <c r="U1081" i="3" s="1"/>
  <c r="T1082" i="3"/>
  <c r="U1082" i="3" s="1"/>
  <c r="T1083" i="3"/>
  <c r="U1083" i="3" s="1"/>
  <c r="T1084" i="3"/>
  <c r="T1085" i="3"/>
  <c r="U1085" i="3" s="1"/>
  <c r="T1086" i="3"/>
  <c r="U1086" i="3" s="1"/>
  <c r="T1087" i="3"/>
  <c r="U1087" i="3" s="1"/>
  <c r="T1088" i="3"/>
  <c r="U1088" i="3" s="1"/>
  <c r="T1089" i="3"/>
  <c r="T1090" i="3"/>
  <c r="T1091" i="3"/>
  <c r="U1091" i="3" s="1"/>
  <c r="T1092" i="3"/>
  <c r="U1092" i="3" s="1"/>
  <c r="T1093" i="3"/>
  <c r="U1093" i="3" s="1"/>
  <c r="T1094" i="3"/>
  <c r="U1094" i="3" s="1"/>
  <c r="T1095" i="3"/>
  <c r="T1096" i="3"/>
  <c r="T1097" i="3"/>
  <c r="U1097" i="3" s="1"/>
  <c r="T1098" i="3"/>
  <c r="U1098" i="3" s="1"/>
  <c r="T1099" i="3"/>
  <c r="U1099" i="3" s="1"/>
  <c r="T1100" i="3"/>
  <c r="U1100" i="3" s="1"/>
  <c r="T1101" i="3"/>
  <c r="T1102" i="3"/>
  <c r="T1103" i="3"/>
  <c r="U1103" i="3" s="1"/>
  <c r="T1104" i="3"/>
  <c r="U1104" i="3" s="1"/>
  <c r="T1105" i="3"/>
  <c r="U1105" i="3" s="1"/>
  <c r="T1106" i="3"/>
  <c r="U1106" i="3" s="1"/>
  <c r="T1107" i="3"/>
  <c r="T1108" i="3"/>
  <c r="T1109" i="3"/>
  <c r="U1109" i="3" s="1"/>
  <c r="T1110" i="3"/>
  <c r="U1110" i="3" s="1"/>
  <c r="T1111" i="3"/>
  <c r="U1111" i="3" s="1"/>
  <c r="T1112" i="3"/>
  <c r="U1112" i="3" s="1"/>
  <c r="T1113" i="3"/>
  <c r="T1114" i="3"/>
  <c r="T1115" i="3"/>
  <c r="U1115" i="3" s="1"/>
  <c r="T1116" i="3"/>
  <c r="U1116" i="3" s="1"/>
  <c r="T1117" i="3"/>
  <c r="U1117" i="3" s="1"/>
  <c r="T1118" i="3"/>
  <c r="U1118" i="3" s="1"/>
  <c r="T1119" i="3"/>
  <c r="T1120" i="3"/>
  <c r="T1121" i="3"/>
  <c r="U1121" i="3" s="1"/>
  <c r="T1122" i="3"/>
  <c r="U1122" i="3" s="1"/>
  <c r="T1123" i="3"/>
  <c r="U1123" i="3" s="1"/>
  <c r="T1124" i="3"/>
  <c r="U1124" i="3" s="1"/>
  <c r="T1125" i="3"/>
  <c r="T1126" i="3"/>
  <c r="T1127" i="3"/>
  <c r="U1127" i="3" s="1"/>
  <c r="T1128" i="3"/>
  <c r="U1128" i="3" s="1"/>
  <c r="T1129" i="3"/>
  <c r="U1129" i="3" s="1"/>
  <c r="T1130" i="3"/>
  <c r="U1130" i="3" s="1"/>
  <c r="T1131" i="3"/>
  <c r="T1132" i="3"/>
  <c r="T1133" i="3"/>
  <c r="U1133" i="3" s="1"/>
  <c r="T1134" i="3"/>
  <c r="U1134" i="3" s="1"/>
  <c r="T1135" i="3"/>
  <c r="U1135" i="3" s="1"/>
  <c r="T1136" i="3"/>
  <c r="U1136" i="3" s="1"/>
  <c r="T1137" i="3"/>
  <c r="T1138" i="3"/>
  <c r="T1139" i="3"/>
  <c r="U1139" i="3" s="1"/>
  <c r="T1140" i="3"/>
  <c r="U1140" i="3" s="1"/>
  <c r="T1141" i="3"/>
  <c r="U1141" i="3" s="1"/>
  <c r="T1142" i="3"/>
  <c r="U1142" i="3" s="1"/>
  <c r="T1143" i="3"/>
  <c r="T1144" i="3"/>
  <c r="T1145" i="3"/>
  <c r="U1145" i="3" s="1"/>
  <c r="T1146" i="3"/>
  <c r="U1146" i="3" s="1"/>
  <c r="T1147" i="3"/>
  <c r="U1147" i="3" s="1"/>
  <c r="T1148" i="3"/>
  <c r="U1148" i="3" s="1"/>
  <c r="T1149" i="3"/>
  <c r="T1150" i="3"/>
  <c r="T1151" i="3"/>
  <c r="U1151" i="3" s="1"/>
  <c r="T1152" i="3"/>
  <c r="U1152" i="3" s="1"/>
  <c r="T1153" i="3"/>
  <c r="U1153" i="3" s="1"/>
  <c r="T1154" i="3"/>
  <c r="U1154" i="3" s="1"/>
  <c r="T1155" i="3"/>
  <c r="T1156" i="3"/>
  <c r="T1157" i="3"/>
  <c r="U1157" i="3" s="1"/>
  <c r="T1158" i="3"/>
  <c r="U1158" i="3" s="1"/>
  <c r="T1159" i="3"/>
  <c r="U1159" i="3" s="1"/>
  <c r="T1160" i="3"/>
  <c r="U1160" i="3" s="1"/>
  <c r="T1161" i="3"/>
  <c r="T1162" i="3"/>
  <c r="T1163" i="3"/>
  <c r="U1163" i="3" s="1"/>
  <c r="T1164" i="3"/>
  <c r="U1164" i="3" s="1"/>
  <c r="T1165" i="3"/>
  <c r="U1165" i="3" s="1"/>
  <c r="T1166" i="3"/>
  <c r="U1166" i="3" s="1"/>
  <c r="T1167" i="3"/>
  <c r="T1168" i="3"/>
  <c r="T1169" i="3"/>
  <c r="U1169" i="3" s="1"/>
  <c r="T1170" i="3"/>
  <c r="U1170" i="3" s="1"/>
  <c r="T1171" i="3"/>
  <c r="U1171" i="3" s="1"/>
  <c r="T1172" i="3"/>
  <c r="U1172" i="3" s="1"/>
  <c r="T1173" i="3"/>
  <c r="U1173" i="3" s="1"/>
  <c r="T1174" i="3"/>
  <c r="T1175" i="3"/>
  <c r="U1175" i="3" s="1"/>
  <c r="T1176" i="3"/>
  <c r="U1176" i="3" s="1"/>
  <c r="T1177" i="3"/>
  <c r="U1177" i="3" s="1"/>
  <c r="T1178" i="3"/>
  <c r="U1178" i="3" s="1"/>
  <c r="T1179" i="3"/>
  <c r="T1180" i="3"/>
  <c r="T1181" i="3"/>
  <c r="U1181" i="3" s="1"/>
  <c r="T1182" i="3"/>
  <c r="U1182" i="3" s="1"/>
  <c r="T1183" i="3"/>
  <c r="U1183" i="3" s="1"/>
  <c r="T1184" i="3"/>
  <c r="U1184" i="3" s="1"/>
  <c r="T1185" i="3"/>
  <c r="T1186" i="3"/>
  <c r="T1187" i="3"/>
  <c r="U1187" i="3" s="1"/>
  <c r="T1188" i="3"/>
  <c r="U1188" i="3" s="1"/>
  <c r="T1189" i="3"/>
  <c r="U1189" i="3" s="1"/>
  <c r="T1190" i="3"/>
  <c r="U1190" i="3" s="1"/>
  <c r="T1191" i="3"/>
  <c r="T1192" i="3"/>
  <c r="T1193" i="3"/>
  <c r="U1193" i="3" s="1"/>
  <c r="T1194" i="3"/>
  <c r="U1194" i="3" s="1"/>
  <c r="T1195" i="3"/>
  <c r="U1195" i="3" s="1"/>
  <c r="T1196" i="3"/>
  <c r="U1196" i="3" s="1"/>
  <c r="T1197" i="3"/>
  <c r="T1198" i="3"/>
  <c r="T1199" i="3"/>
  <c r="U1199" i="3" s="1"/>
  <c r="T1200" i="3"/>
  <c r="U1200" i="3" s="1"/>
  <c r="T1201" i="3"/>
  <c r="U1201" i="3" s="1"/>
  <c r="T2" i="3"/>
  <c r="U2" i="3" s="1"/>
  <c r="U531" i="3"/>
  <c r="U532" i="3"/>
  <c r="U537" i="3"/>
  <c r="U538" i="3"/>
  <c r="U543" i="3"/>
  <c r="U544" i="3"/>
  <c r="U549" i="3"/>
  <c r="U550" i="3"/>
  <c r="U555" i="3"/>
  <c r="U556" i="3"/>
  <c r="U561" i="3"/>
  <c r="U562" i="3"/>
  <c r="U567" i="3"/>
  <c r="U568" i="3"/>
  <c r="U573" i="3"/>
  <c r="U574" i="3"/>
  <c r="U579" i="3"/>
  <c r="U580" i="3"/>
  <c r="U585" i="3"/>
  <c r="U586" i="3"/>
  <c r="U591" i="3"/>
  <c r="U592" i="3"/>
  <c r="U597" i="3"/>
  <c r="U598" i="3"/>
  <c r="U603" i="3"/>
  <c r="U604" i="3"/>
  <c r="U609" i="3"/>
  <c r="U610" i="3"/>
  <c r="U616" i="3"/>
  <c r="U621" i="3"/>
  <c r="U622" i="3"/>
  <c r="U628" i="3"/>
  <c r="U633" i="3"/>
  <c r="U634" i="3"/>
  <c r="U639" i="3"/>
  <c r="U640" i="3"/>
  <c r="U646" i="3"/>
  <c r="U651" i="3"/>
  <c r="U652" i="3"/>
  <c r="U657" i="3"/>
  <c r="U658" i="3"/>
  <c r="U664" i="3"/>
  <c r="U669" i="3"/>
  <c r="U670" i="3"/>
  <c r="U675" i="3"/>
  <c r="U676" i="3"/>
  <c r="U682" i="3"/>
  <c r="U687" i="3"/>
  <c r="U688" i="3"/>
  <c r="U692" i="3"/>
  <c r="U693" i="3"/>
  <c r="U694" i="3"/>
  <c r="U700" i="3"/>
  <c r="U705" i="3"/>
  <c r="U706" i="3"/>
  <c r="U711" i="3"/>
  <c r="U712" i="3"/>
  <c r="U718" i="3"/>
  <c r="U723" i="3"/>
  <c r="U724" i="3"/>
  <c r="U729" i="3"/>
  <c r="U730" i="3"/>
  <c r="U736" i="3"/>
  <c r="U741" i="3"/>
  <c r="U742" i="3"/>
  <c r="U747" i="3"/>
  <c r="U748" i="3"/>
  <c r="U754" i="3"/>
  <c r="U759" i="3"/>
  <c r="U760" i="3"/>
  <c r="U765" i="3"/>
  <c r="U766" i="3"/>
  <c r="U772" i="3"/>
  <c r="U777" i="3"/>
  <c r="U778" i="3"/>
  <c r="U783" i="3"/>
  <c r="U784" i="3"/>
  <c r="U790" i="3"/>
  <c r="U795" i="3"/>
  <c r="U796" i="3"/>
  <c r="U802" i="3"/>
  <c r="U807" i="3"/>
  <c r="U808" i="3"/>
  <c r="U813" i="3"/>
  <c r="U814" i="3"/>
  <c r="U819" i="3"/>
  <c r="U820" i="3"/>
  <c r="U825" i="3"/>
  <c r="U826" i="3"/>
  <c r="U831" i="3"/>
  <c r="U832" i="3"/>
  <c r="U837" i="3"/>
  <c r="U838" i="3"/>
  <c r="U843" i="3"/>
  <c r="U844" i="3"/>
  <c r="U850" i="3"/>
  <c r="U855" i="3"/>
  <c r="U856" i="3"/>
  <c r="U861" i="3"/>
  <c r="U862" i="3"/>
  <c r="U868" i="3"/>
  <c r="U873" i="3"/>
  <c r="U874" i="3"/>
  <c r="U880" i="3"/>
  <c r="U885" i="3"/>
  <c r="U886" i="3"/>
  <c r="U891" i="3"/>
  <c r="U892" i="3"/>
  <c r="U897" i="3"/>
  <c r="U898" i="3"/>
  <c r="U903" i="3"/>
  <c r="U904" i="3"/>
  <c r="U909" i="3"/>
  <c r="U910" i="3"/>
  <c r="U915" i="3"/>
  <c r="U916" i="3"/>
  <c r="U921" i="3"/>
  <c r="U922" i="3"/>
  <c r="U927" i="3"/>
  <c r="U928" i="3"/>
  <c r="U933" i="3"/>
  <c r="U934" i="3"/>
  <c r="U939" i="3"/>
  <c r="U940" i="3"/>
  <c r="U945" i="3"/>
  <c r="U946" i="3"/>
  <c r="U951" i="3"/>
  <c r="U952" i="3"/>
  <c r="U957" i="3"/>
  <c r="U958" i="3"/>
  <c r="U963" i="3"/>
  <c r="U964" i="3"/>
  <c r="U969" i="3"/>
  <c r="U970" i="3"/>
  <c r="U975" i="3"/>
  <c r="U976" i="3"/>
  <c r="U981" i="3"/>
  <c r="U982" i="3"/>
  <c r="U987" i="3"/>
  <c r="U988" i="3"/>
  <c r="U993" i="3"/>
  <c r="U994" i="3"/>
  <c r="U999" i="3"/>
  <c r="U1000" i="3"/>
  <c r="U1006" i="3"/>
  <c r="U1011" i="3"/>
  <c r="U1012" i="3"/>
  <c r="U1017" i="3"/>
  <c r="U1018" i="3"/>
  <c r="U1023" i="3"/>
  <c r="U1024" i="3"/>
  <c r="U1029" i="3"/>
  <c r="U1030" i="3"/>
  <c r="U1036" i="3"/>
  <c r="U1041" i="3"/>
  <c r="U1042" i="3"/>
  <c r="U1047" i="3"/>
  <c r="U1048" i="3"/>
  <c r="U1054" i="3"/>
  <c r="U1059" i="3"/>
  <c r="U1060" i="3"/>
  <c r="U1065" i="3"/>
  <c r="U1066" i="3"/>
  <c r="U1072" i="3"/>
  <c r="U1077" i="3"/>
  <c r="U1078" i="3"/>
  <c r="U1084" i="3"/>
  <c r="U1089" i="3"/>
  <c r="U1090" i="3"/>
  <c r="U1095" i="3"/>
  <c r="U1096" i="3"/>
  <c r="U1101" i="3"/>
  <c r="U1102" i="3"/>
  <c r="U1107" i="3"/>
  <c r="U1108" i="3"/>
  <c r="U1113" i="3"/>
  <c r="U1114" i="3"/>
  <c r="U1119" i="3"/>
  <c r="U1120" i="3"/>
  <c r="U1125" i="3"/>
  <c r="U1126" i="3"/>
  <c r="U1131" i="3"/>
  <c r="U1132" i="3"/>
  <c r="U1137" i="3"/>
  <c r="U1138" i="3"/>
  <c r="U1143" i="3"/>
  <c r="U1144" i="3"/>
  <c r="U1149" i="3"/>
  <c r="U1150" i="3"/>
  <c r="U1155" i="3"/>
  <c r="U1156" i="3"/>
  <c r="U1161" i="3"/>
  <c r="U1162" i="3"/>
  <c r="U1167" i="3"/>
  <c r="U1168" i="3"/>
  <c r="U1174" i="3"/>
  <c r="U1179" i="3"/>
  <c r="U1180" i="3"/>
  <c r="U1185" i="3"/>
  <c r="U1186" i="3"/>
  <c r="U1191" i="3"/>
  <c r="U1192" i="3"/>
  <c r="U1197" i="3"/>
  <c r="U1198" i="3"/>
  <c r="U563" i="3"/>
  <c r="U569" i="3"/>
  <c r="U605" i="3"/>
  <c r="U635" i="3"/>
  <c r="U677" i="3"/>
  <c r="U713" i="3"/>
  <c r="U737" i="3"/>
  <c r="U887" i="3"/>
  <c r="U1019" i="3"/>
  <c r="U1031" i="3"/>
  <c r="U3" i="3"/>
  <c r="U4" i="3"/>
  <c r="U5" i="3"/>
  <c r="U9" i="3"/>
  <c r="U10" i="3"/>
  <c r="U15" i="3"/>
  <c r="U16" i="3"/>
  <c r="U17" i="3"/>
  <c r="U21" i="3"/>
  <c r="U22" i="3"/>
  <c r="U27" i="3"/>
  <c r="U28" i="3"/>
  <c r="U33" i="3"/>
  <c r="U34" i="3"/>
  <c r="U39" i="3"/>
  <c r="U40" i="3"/>
  <c r="U45" i="3"/>
  <c r="U46" i="3"/>
  <c r="U51" i="3"/>
  <c r="U52" i="3"/>
  <c r="U57" i="3"/>
  <c r="U58" i="3"/>
  <c r="U59" i="3"/>
  <c r="U63" i="3"/>
  <c r="U64" i="3"/>
  <c r="U69" i="3"/>
  <c r="U70" i="3"/>
  <c r="U71" i="3"/>
  <c r="U75" i="3"/>
  <c r="U76" i="3"/>
  <c r="U81" i="3"/>
  <c r="U82" i="3"/>
  <c r="U87" i="3"/>
  <c r="U88" i="3"/>
  <c r="U93" i="3"/>
  <c r="U94" i="3"/>
  <c r="U99" i="3"/>
  <c r="U100" i="3"/>
  <c r="U105" i="3"/>
  <c r="U106" i="3"/>
  <c r="U111" i="3"/>
  <c r="U112" i="3"/>
  <c r="U113" i="3"/>
  <c r="U117" i="3"/>
  <c r="U118" i="3"/>
  <c r="U123" i="3"/>
  <c r="U124" i="3"/>
  <c r="U125" i="3"/>
  <c r="U129" i="3"/>
  <c r="U130" i="3"/>
  <c r="U135" i="3"/>
  <c r="U136" i="3"/>
  <c r="U141" i="3"/>
  <c r="U142" i="3"/>
  <c r="U147" i="3"/>
  <c r="U148" i="3"/>
  <c r="U153" i="3"/>
  <c r="U154" i="3"/>
  <c r="U159" i="3"/>
  <c r="U160" i="3"/>
  <c r="U165" i="3"/>
  <c r="U166" i="3"/>
  <c r="U167" i="3"/>
  <c r="U171" i="3"/>
  <c r="U172" i="3"/>
  <c r="U177" i="3"/>
  <c r="U178" i="3"/>
  <c r="U179" i="3"/>
  <c r="U183" i="3"/>
  <c r="U184" i="3"/>
  <c r="U189" i="3"/>
  <c r="U190" i="3"/>
  <c r="U195" i="3"/>
  <c r="U196" i="3"/>
  <c r="U201" i="3"/>
  <c r="U202" i="3"/>
  <c r="U207" i="3"/>
  <c r="U208" i="3"/>
  <c r="U213" i="3"/>
  <c r="U214" i="3"/>
  <c r="U219" i="3"/>
  <c r="U220" i="3"/>
  <c r="U221" i="3"/>
  <c r="U225" i="3"/>
  <c r="U226" i="3"/>
  <c r="U231" i="3"/>
  <c r="U232" i="3"/>
  <c r="U233" i="3"/>
  <c r="U237" i="3"/>
  <c r="U238" i="3"/>
  <c r="U243" i="3"/>
  <c r="U244" i="3"/>
  <c r="U249" i="3"/>
  <c r="U250" i="3"/>
  <c r="U255" i="3"/>
  <c r="U256" i="3"/>
  <c r="U261" i="3"/>
  <c r="U262" i="3"/>
  <c r="U267" i="3"/>
  <c r="U268" i="3"/>
  <c r="U273" i="3"/>
  <c r="U274" i="3"/>
  <c r="U275" i="3"/>
  <c r="U279" i="3"/>
  <c r="U280" i="3"/>
  <c r="U285" i="3"/>
  <c r="U286" i="3"/>
  <c r="U287" i="3"/>
  <c r="U291" i="3"/>
  <c r="U292" i="3"/>
  <c r="U297" i="3"/>
  <c r="U298" i="3"/>
  <c r="U303" i="3"/>
  <c r="U304" i="3"/>
  <c r="U309" i="3"/>
  <c r="U310" i="3"/>
  <c r="U315" i="3"/>
  <c r="U316" i="3"/>
  <c r="U317" i="3"/>
  <c r="U320" i="3"/>
  <c r="U321" i="3"/>
  <c r="U322" i="3"/>
  <c r="U327" i="3"/>
  <c r="U328" i="3"/>
  <c r="U329" i="3"/>
  <c r="U330" i="3"/>
  <c r="U333" i="3"/>
  <c r="U334" i="3"/>
  <c r="U335" i="3"/>
  <c r="U336" i="3"/>
  <c r="U339" i="3"/>
  <c r="U340" i="3"/>
  <c r="U345" i="3"/>
  <c r="U346" i="3"/>
  <c r="U351" i="3"/>
  <c r="U352" i="3"/>
  <c r="U357" i="3"/>
  <c r="U358" i="3"/>
  <c r="U363" i="3"/>
  <c r="U364" i="3"/>
  <c r="U369" i="3"/>
  <c r="U370" i="3"/>
  <c r="U375" i="3"/>
  <c r="U376" i="3"/>
  <c r="U377" i="3"/>
  <c r="U381" i="3"/>
  <c r="U382" i="3"/>
  <c r="U387" i="3"/>
  <c r="U388" i="3"/>
  <c r="U393" i="3"/>
  <c r="U394" i="3"/>
  <c r="U399" i="3"/>
  <c r="U400" i="3"/>
  <c r="U405" i="3"/>
  <c r="U406" i="3"/>
  <c r="U408" i="3"/>
  <c r="U410" i="3"/>
  <c r="U411" i="3"/>
  <c r="U412" i="3"/>
  <c r="U417" i="3"/>
  <c r="U418" i="3"/>
  <c r="U419" i="3"/>
  <c r="U422" i="3"/>
  <c r="U423" i="3"/>
  <c r="U424" i="3"/>
  <c r="U429" i="3"/>
  <c r="U430" i="3"/>
  <c r="U435" i="3"/>
  <c r="U436" i="3"/>
  <c r="U441" i="3"/>
  <c r="U442" i="3"/>
  <c r="U443" i="3"/>
  <c r="U447" i="3"/>
  <c r="U448" i="3"/>
  <c r="U449" i="3"/>
  <c r="U453" i="3"/>
  <c r="U454" i="3"/>
  <c r="U459" i="3"/>
  <c r="U460" i="3"/>
  <c r="U461" i="3"/>
  <c r="U465" i="3"/>
  <c r="U466" i="3"/>
  <c r="U471" i="3"/>
  <c r="U472" i="3"/>
  <c r="U476" i="3"/>
  <c r="U477" i="3"/>
  <c r="U478" i="3"/>
  <c r="U479" i="3"/>
  <c r="U483" i="3"/>
  <c r="U484" i="3"/>
  <c r="U485" i="3"/>
  <c r="U489" i="3"/>
  <c r="U490" i="3"/>
  <c r="U491" i="3"/>
  <c r="U495" i="3"/>
  <c r="U496" i="3"/>
  <c r="U501" i="3"/>
  <c r="U502" i="3"/>
  <c r="U503" i="3"/>
  <c r="U507" i="3"/>
  <c r="U508" i="3"/>
  <c r="U513" i="3"/>
  <c r="U514" i="3"/>
  <c r="U519" i="3"/>
  <c r="U520" i="3"/>
  <c r="U524" i="3"/>
  <c r="U525" i="3"/>
  <c r="U526" i="3"/>
  <c r="R2" i="3"/>
  <c r="Q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F1C8D6-EAC5-48D3-AF77-F6E7F0BFF0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910C11-8035-4564-A8B6-FA712629D8EC}" name="WorksheetConnection_Cleaned_Data!$A$1:$L$12011" type="102" refreshedVersion="8" minRefreshableVersion="5">
    <extLst>
      <ext xmlns:x15="http://schemas.microsoft.com/office/spreadsheetml/2010/11/main" uri="{DE250136-89BD-433C-8126-D09CA5730AF9}">
        <x15:connection id="Range 1" autoDelete="1">
          <x15:rangePr sourceName="_xlcn.WorksheetConnection_Cleaned_DataA1L120111"/>
        </x15:connection>
      </ext>
    </extLst>
  </connection>
</connections>
</file>

<file path=xl/sharedStrings.xml><?xml version="1.0" encoding="utf-8"?>
<sst xmlns="http://schemas.openxmlformats.org/spreadsheetml/2006/main" count="21742" uniqueCount="1495">
  <si>
    <t>Order_ID</t>
  </si>
  <si>
    <t>Order_Date</t>
  </si>
  <si>
    <t>Customer_ID</t>
  </si>
  <si>
    <t>Product</t>
  </si>
  <si>
    <t>Category</t>
  </si>
  <si>
    <t>Region</t>
  </si>
  <si>
    <t>City</t>
  </si>
  <si>
    <t>Quantity</t>
  </si>
  <si>
    <t>Unit_Price</t>
  </si>
  <si>
    <t>Discount</t>
  </si>
  <si>
    <t>Sales</t>
  </si>
  <si>
    <t>Profit</t>
  </si>
  <si>
    <t>ORD0001</t>
  </si>
  <si>
    <t>CUST1088</t>
  </si>
  <si>
    <t>Office Chair</t>
  </si>
  <si>
    <t>Furniture</t>
  </si>
  <si>
    <t>East</t>
  </si>
  <si>
    <t>Guwahati</t>
  </si>
  <si>
    <t>ORD0002</t>
  </si>
  <si>
    <t>CUST1021</t>
  </si>
  <si>
    <t>Filing Cabinet</t>
  </si>
  <si>
    <t>West</t>
  </si>
  <si>
    <t>Ahmedabad</t>
  </si>
  <si>
    <t>ORD0003</t>
  </si>
  <si>
    <t>CUST1015</t>
  </si>
  <si>
    <t>Microwave</t>
  </si>
  <si>
    <t>Home Appliances</t>
  </si>
  <si>
    <t>South</t>
  </si>
  <si>
    <t>Bengaluru</t>
  </si>
  <si>
    <t>ORD0004</t>
  </si>
  <si>
    <t>Bookshelf</t>
  </si>
  <si>
    <t>Hyderabad</t>
  </si>
  <si>
    <t>ORD0005</t>
  </si>
  <si>
    <t>CUST1092</t>
  </si>
  <si>
    <t>Desk</t>
  </si>
  <si>
    <t>Mumbai</t>
  </si>
  <si>
    <t>ORD0006</t>
  </si>
  <si>
    <t>CUST1002</t>
  </si>
  <si>
    <t>ORD0007</t>
  </si>
  <si>
    <t>CUST1095</t>
  </si>
  <si>
    <t>Chennai</t>
  </si>
  <si>
    <t>ORD0008</t>
  </si>
  <si>
    <t>CUST1053</t>
  </si>
  <si>
    <t>Phone Holder</t>
  </si>
  <si>
    <t>Accessories</t>
  </si>
  <si>
    <t>ORD0009</t>
  </si>
  <si>
    <t>CUST1129</t>
  </si>
  <si>
    <t>Air Purifier</t>
  </si>
  <si>
    <t>ORD0010</t>
  </si>
  <si>
    <t>CUST1028</t>
  </si>
  <si>
    <t>Keyboard</t>
  </si>
  <si>
    <t>Electronics</t>
  </si>
  <si>
    <t>Kolkata</t>
  </si>
  <si>
    <t>ORD0011</t>
  </si>
  <si>
    <t>CUST1104</t>
  </si>
  <si>
    <t>Pune</t>
  </si>
  <si>
    <t>ORD0012</t>
  </si>
  <si>
    <t>CUST1142</t>
  </si>
  <si>
    <t>North</t>
  </si>
  <si>
    <t>Chandigarh</t>
  </si>
  <si>
    <t>ORD0013</t>
  </si>
  <si>
    <t>CUST1052</t>
  </si>
  <si>
    <t xml:space="preserve"> Pune </t>
  </si>
  <si>
    <t>ORD0014</t>
  </si>
  <si>
    <t>CUST1086</t>
  </si>
  <si>
    <t>Electric Kettle</t>
  </si>
  <si>
    <t>ORD0015</t>
  </si>
  <si>
    <t>CUST1128</t>
  </si>
  <si>
    <t>Webcam</t>
  </si>
  <si>
    <t>Jaipur</t>
  </si>
  <si>
    <t>ORD0016</t>
  </si>
  <si>
    <t>CUST1003</t>
  </si>
  <si>
    <t>Desk Organizer</t>
  </si>
  <si>
    <t>Office Supplies</t>
  </si>
  <si>
    <t>ORD0017</t>
  </si>
  <si>
    <t>CUST1160</t>
  </si>
  <si>
    <t>ORD0018</t>
  </si>
  <si>
    <t>CUST1113</t>
  </si>
  <si>
    <t>ORD0019</t>
  </si>
  <si>
    <t>CUST1147</t>
  </si>
  <si>
    <t>Laptop</t>
  </si>
  <si>
    <t>ORD0020</t>
  </si>
  <si>
    <t>CUST1145</t>
  </si>
  <si>
    <t>Printer Paper</t>
  </si>
  <si>
    <t>ORD0021</t>
  </si>
  <si>
    <t>CUST1070</t>
  </si>
  <si>
    <t>ORD0022</t>
  </si>
  <si>
    <t>CUST1161</t>
  </si>
  <si>
    <t>Stapler</t>
  </si>
  <si>
    <t>ORD0023</t>
  </si>
  <si>
    <t>CUST1099</t>
  </si>
  <si>
    <t>ORD0024</t>
  </si>
  <si>
    <t>Monitor</t>
  </si>
  <si>
    <t>ORD0025</t>
  </si>
  <si>
    <t>CUST1152</t>
  </si>
  <si>
    <t>ORD0026</t>
  </si>
  <si>
    <t>CUST1093</t>
  </si>
  <si>
    <t>USB Cable</t>
  </si>
  <si>
    <t>ORD0027</t>
  </si>
  <si>
    <t>ORD0028</t>
  </si>
  <si>
    <t>CUST1119</t>
  </si>
  <si>
    <t>ORD0029</t>
  </si>
  <si>
    <t>CUST1061</t>
  </si>
  <si>
    <t>Headphones</t>
  </si>
  <si>
    <t>Bhubaneswar</t>
  </si>
  <si>
    <t>ORD0030</t>
  </si>
  <si>
    <t>CUST1124</t>
  </si>
  <si>
    <t>ORD0031</t>
  </si>
  <si>
    <t>ORD0032</t>
  </si>
  <si>
    <t>CUST1114</t>
  </si>
  <si>
    <t>ORD0033</t>
  </si>
  <si>
    <t>CUST1043</t>
  </si>
  <si>
    <t>ORD0034</t>
  </si>
  <si>
    <t>CUST1135</t>
  </si>
  <si>
    <t>ORD0035</t>
  </si>
  <si>
    <t>ORD0036</t>
  </si>
  <si>
    <t>CUST1058</t>
  </si>
  <si>
    <t>electronics</t>
  </si>
  <si>
    <t>ORD0037</t>
  </si>
  <si>
    <t>CUST1108</t>
  </si>
  <si>
    <t>Mouse</t>
  </si>
  <si>
    <t>ORD0038</t>
  </si>
  <si>
    <t>ORD0039</t>
  </si>
  <si>
    <t>CUST1023</t>
  </si>
  <si>
    <t>ORD0040</t>
  </si>
  <si>
    <t>CUST1089</t>
  </si>
  <si>
    <t>Delhi</t>
  </si>
  <si>
    <t>ORD0041</t>
  </si>
  <si>
    <t>CUST1144</t>
  </si>
  <si>
    <t>ORD0042</t>
  </si>
  <si>
    <t>ORD0043</t>
  </si>
  <si>
    <t>CUST1034</t>
  </si>
  <si>
    <t>ORD0044</t>
  </si>
  <si>
    <t>ORD0045</t>
  </si>
  <si>
    <t>CUST1067</t>
  </si>
  <si>
    <t>ORD0046</t>
  </si>
  <si>
    <t>CUST1035</t>
  </si>
  <si>
    <t>ORD0047</t>
  </si>
  <si>
    <t>ORD0048</t>
  </si>
  <si>
    <t>CUST1177</t>
  </si>
  <si>
    <t>ORD0049</t>
  </si>
  <si>
    <t>CUST1013</t>
  </si>
  <si>
    <t>ORD0050</t>
  </si>
  <si>
    <t>CUST1019</t>
  </si>
  <si>
    <t>ORD0051</t>
  </si>
  <si>
    <t>CUST1111</t>
  </si>
  <si>
    <t>ORD0052</t>
  </si>
  <si>
    <t>CUST1167</t>
  </si>
  <si>
    <t>ORD0053</t>
  </si>
  <si>
    <t>ORD0054</t>
  </si>
  <si>
    <t>CUST1109</t>
  </si>
  <si>
    <t>ORD0055</t>
  </si>
  <si>
    <t>ORD0056</t>
  </si>
  <si>
    <t>Coffee Maker</t>
  </si>
  <si>
    <t>ORD0057</t>
  </si>
  <si>
    <t>ORD0058</t>
  </si>
  <si>
    <t>CUST1080</t>
  </si>
  <si>
    <t xml:space="preserve">Laptop </t>
  </si>
  <si>
    <t>ORD0059</t>
  </si>
  <si>
    <t>CUST1014</t>
  </si>
  <si>
    <t>ORD0060</t>
  </si>
  <si>
    <t>CUST1102</t>
  </si>
  <si>
    <t>ORD0061</t>
  </si>
  <si>
    <t>CUST1101</t>
  </si>
  <si>
    <t>ORD0062</t>
  </si>
  <si>
    <t>CUST1141</t>
  </si>
  <si>
    <t>ORD0063</t>
  </si>
  <si>
    <t>ORD0064</t>
  </si>
  <si>
    <t>ORD0065</t>
  </si>
  <si>
    <t>ORD0066</t>
  </si>
  <si>
    <t>CUST1110</t>
  </si>
  <si>
    <t>ORD0067</t>
  </si>
  <si>
    <t>CUST1118</t>
  </si>
  <si>
    <t>ORD0068</t>
  </si>
  <si>
    <t>CUST1047</t>
  </si>
  <si>
    <t>ORD0069</t>
  </si>
  <si>
    <t>CUST1050</t>
  </si>
  <si>
    <t>ORD0070</t>
  </si>
  <si>
    <t>CUST1106</t>
  </si>
  <si>
    <t>ORD0071</t>
  </si>
  <si>
    <t>CUST1006</t>
  </si>
  <si>
    <t>ORD0072</t>
  </si>
  <si>
    <t>ORD0073</t>
  </si>
  <si>
    <t>CUST1051</t>
  </si>
  <si>
    <t>ORD0074</t>
  </si>
  <si>
    <t>CUST1046</t>
  </si>
  <si>
    <t>ORD0075</t>
  </si>
  <si>
    <t>CUST1107</t>
  </si>
  <si>
    <t>ORD0076</t>
  </si>
  <si>
    <t>CUST1127</t>
  </si>
  <si>
    <t>ORD0077</t>
  </si>
  <si>
    <t>CUST1007</t>
  </si>
  <si>
    <t>ORD0078</t>
  </si>
  <si>
    <t>ORD0079</t>
  </si>
  <si>
    <t>CUST1025</t>
  </si>
  <si>
    <t>ORD0080</t>
  </si>
  <si>
    <t>ORD0081</t>
  </si>
  <si>
    <t>CUST1121</t>
  </si>
  <si>
    <t>ORD0082</t>
  </si>
  <si>
    <t>CUST1055</t>
  </si>
  <si>
    <t>ORD0083</t>
  </si>
  <si>
    <t>CUST1075</t>
  </si>
  <si>
    <t>Laptop Stand</t>
  </si>
  <si>
    <t>ORD0084</t>
  </si>
  <si>
    <t>CUST1136</t>
  </si>
  <si>
    <t>ORD0085</t>
  </si>
  <si>
    <t>CUST1140</t>
  </si>
  <si>
    <t>ORD0086</t>
  </si>
  <si>
    <t>CUST1134</t>
  </si>
  <si>
    <t>ORD0087</t>
  </si>
  <si>
    <t>ORD0088</t>
  </si>
  <si>
    <t>CUST1178</t>
  </si>
  <si>
    <t>ORD0089</t>
  </si>
  <si>
    <t>west</t>
  </si>
  <si>
    <t>ORD0090</t>
  </si>
  <si>
    <t>CUST1154</t>
  </si>
  <si>
    <t>ORD0091</t>
  </si>
  <si>
    <t>CUST1125</t>
  </si>
  <si>
    <t>ORD0092</t>
  </si>
  <si>
    <t>ORD0093</t>
  </si>
  <si>
    <t>CUST1157</t>
  </si>
  <si>
    <t>ORD0094</t>
  </si>
  <si>
    <t>ORD0095</t>
  </si>
  <si>
    <t>CUST1180</t>
  </si>
  <si>
    <t>ORD0096</t>
  </si>
  <si>
    <t>CUST1164</t>
  </si>
  <si>
    <t>ORD0097</t>
  </si>
  <si>
    <t>ORD0098</t>
  </si>
  <si>
    <t>CUST1171</t>
  </si>
  <si>
    <t>ORD0099</t>
  </si>
  <si>
    <t>ORD0100</t>
  </si>
  <si>
    <t>CUST1057</t>
  </si>
  <si>
    <t>ORD0101</t>
  </si>
  <si>
    <t>ORD0102</t>
  </si>
  <si>
    <t>CUST1017</t>
  </si>
  <si>
    <t>ORD0103</t>
  </si>
  <si>
    <t>ORD0104</t>
  </si>
  <si>
    <t>ORD0105</t>
  </si>
  <si>
    <t>CUST1179</t>
  </si>
  <si>
    <t>ORD0106</t>
  </si>
  <si>
    <t>CUST1001</t>
  </si>
  <si>
    <t>ORD0107</t>
  </si>
  <si>
    <t>ORD0108</t>
  </si>
  <si>
    <t>ORD0109</t>
  </si>
  <si>
    <t>CUST1097</t>
  </si>
  <si>
    <t>ORD0110</t>
  </si>
  <si>
    <t>CUST1165</t>
  </si>
  <si>
    <t>ORD0111</t>
  </si>
  <si>
    <t>CUST1029</t>
  </si>
  <si>
    <t>ORD0112</t>
  </si>
  <si>
    <t>ORD0113</t>
  </si>
  <si>
    <t>CUST1081</t>
  </si>
  <si>
    <t>ORD0114</t>
  </si>
  <si>
    <t>CUST1040</t>
  </si>
  <si>
    <t>ORD0115</t>
  </si>
  <si>
    <t>CUST1098</t>
  </si>
  <si>
    <t>ORD0116</t>
  </si>
  <si>
    <t>CUST1153</t>
  </si>
  <si>
    <t>ORD0117</t>
  </si>
  <si>
    <t>ORD0118</t>
  </si>
  <si>
    <t>CUST1130</t>
  </si>
  <si>
    <t>ORD0119</t>
  </si>
  <si>
    <t>ORD0120</t>
  </si>
  <si>
    <t>CUST1033</t>
  </si>
  <si>
    <t>ORD0121</t>
  </si>
  <si>
    <t>ORD0122</t>
  </si>
  <si>
    <t>CUST1131</t>
  </si>
  <si>
    <t>ORD0123</t>
  </si>
  <si>
    <t>ORD0124</t>
  </si>
  <si>
    <t>ORD0125</t>
  </si>
  <si>
    <t>CUST1032</t>
  </si>
  <si>
    <t>ORD0126</t>
  </si>
  <si>
    <t>CUST1137</t>
  </si>
  <si>
    <t>ORD0127</t>
  </si>
  <si>
    <t>CUST1103</t>
  </si>
  <si>
    <t>ORD0128</t>
  </si>
  <si>
    <t>CUST1039</t>
  </si>
  <si>
    <t>ORD0129</t>
  </si>
  <si>
    <t>CUST1170</t>
  </si>
  <si>
    <t>ORD0130</t>
  </si>
  <si>
    <t>ORD0131</t>
  </si>
  <si>
    <t>ORD0132</t>
  </si>
  <si>
    <t>CUST1037</t>
  </si>
  <si>
    <t>ORD0133</t>
  </si>
  <si>
    <t>ORD0134</t>
  </si>
  <si>
    <t>ORD0135</t>
  </si>
  <si>
    <t>ORD0136</t>
  </si>
  <si>
    <t>CUST1020</t>
  </si>
  <si>
    <t>ORD0137</t>
  </si>
  <si>
    <t>ORD0138</t>
  </si>
  <si>
    <t>ORD0139</t>
  </si>
  <si>
    <t>ORD0140</t>
  </si>
  <si>
    <t>ORD0141</t>
  </si>
  <si>
    <t>ORD0142</t>
  </si>
  <si>
    <t>ORD0143</t>
  </si>
  <si>
    <t>CUST1138</t>
  </si>
  <si>
    <t>ORD0144</t>
  </si>
  <si>
    <t>ORD0145</t>
  </si>
  <si>
    <t>ORD0146</t>
  </si>
  <si>
    <t>ORD0147</t>
  </si>
  <si>
    <t>CUST1022</t>
  </si>
  <si>
    <t>ORD0148</t>
  </si>
  <si>
    <t>ORD0149</t>
  </si>
  <si>
    <t>CUST1174</t>
  </si>
  <si>
    <t>ORD0150</t>
  </si>
  <si>
    <t>CUST1175</t>
  </si>
  <si>
    <t>ORD0151</t>
  </si>
  <si>
    <t>Notebook</t>
  </si>
  <si>
    <t>ORD0152</t>
  </si>
  <si>
    <t>ORD0153</t>
  </si>
  <si>
    <t>CUST1027</t>
  </si>
  <si>
    <t>ORD0154</t>
  </si>
  <si>
    <t>ORD0155</t>
  </si>
  <si>
    <t>CUST1063</t>
  </si>
  <si>
    <t>ORD0156</t>
  </si>
  <si>
    <t>CUST1064</t>
  </si>
  <si>
    <t>ORD0157</t>
  </si>
  <si>
    <t>CUST1011</t>
  </si>
  <si>
    <t>ORD0158</t>
  </si>
  <si>
    <t>CUST1148</t>
  </si>
  <si>
    <t>ORD0159</t>
  </si>
  <si>
    <t>CUST1116</t>
  </si>
  <si>
    <t>ORD0160</t>
  </si>
  <si>
    <t>CUST1172</t>
  </si>
  <si>
    <t>ORD0161</t>
  </si>
  <si>
    <t>ORD0162</t>
  </si>
  <si>
    <t>CUST1132</t>
  </si>
  <si>
    <t>ORD0163</t>
  </si>
  <si>
    <t>CUST1012</t>
  </si>
  <si>
    <t>ORD0164</t>
  </si>
  <si>
    <t>ORD0165</t>
  </si>
  <si>
    <t>ORD0166</t>
  </si>
  <si>
    <t>ORD0167</t>
  </si>
  <si>
    <t>CUST1066</t>
  </si>
  <si>
    <t>ORD0168</t>
  </si>
  <si>
    <t>ORD0169</t>
  </si>
  <si>
    <t>ORD0170</t>
  </si>
  <si>
    <t>CUST1084</t>
  </si>
  <si>
    <t>ORD0171</t>
  </si>
  <si>
    <t>CUST1168</t>
  </si>
  <si>
    <t>ORD0172</t>
  </si>
  <si>
    <t>ORD0173</t>
  </si>
  <si>
    <t>ORD0174</t>
  </si>
  <si>
    <t>ORD0175</t>
  </si>
  <si>
    <t>ORD0176</t>
  </si>
  <si>
    <t>ORD0177</t>
  </si>
  <si>
    <t>CUST1038</t>
  </si>
  <si>
    <t>ORD0178</t>
  </si>
  <si>
    <t>ORD0179</t>
  </si>
  <si>
    <t>ORD0180</t>
  </si>
  <si>
    <t>ORD0181</t>
  </si>
  <si>
    <t>CUST1073</t>
  </si>
  <si>
    <t>ORD0182</t>
  </si>
  <si>
    <t>ORD0183</t>
  </si>
  <si>
    <t>CUST1054</t>
  </si>
  <si>
    <t>ORD0184</t>
  </si>
  <si>
    <t>ORD0185</t>
  </si>
  <si>
    <t>ORD0186</t>
  </si>
  <si>
    <t>CUST1044</t>
  </si>
  <si>
    <t>ORD0187</t>
  </si>
  <si>
    <t>ORD0188</t>
  </si>
  <si>
    <t>ORD0189</t>
  </si>
  <si>
    <t>ORD0190</t>
  </si>
  <si>
    <t>CUST1074</t>
  </si>
  <si>
    <t>ORD0191</t>
  </si>
  <si>
    <t>ORD0192</t>
  </si>
  <si>
    <t>ORD0193</t>
  </si>
  <si>
    <t>ORD0194</t>
  </si>
  <si>
    <t>CUST1069</t>
  </si>
  <si>
    <t>ORD0195</t>
  </si>
  <si>
    <t>ORD0196</t>
  </si>
  <si>
    <t>CUST1042</t>
  </si>
  <si>
    <t>ORD0197</t>
  </si>
  <si>
    <t>ORD0198</t>
  </si>
  <si>
    <t>ORD0199</t>
  </si>
  <si>
    <t>ORD0200</t>
  </si>
  <si>
    <t>CUST1030</t>
  </si>
  <si>
    <t>ORD0201</t>
  </si>
  <si>
    <t>ORD0202</t>
  </si>
  <si>
    <t>ORD0203</t>
  </si>
  <si>
    <t>ORD0204</t>
  </si>
  <si>
    <t>ORD0205</t>
  </si>
  <si>
    <t>CUST1163</t>
  </si>
  <si>
    <t>ORD0206</t>
  </si>
  <si>
    <t>ORD0207</t>
  </si>
  <si>
    <t>ORD0208</t>
  </si>
  <si>
    <t>ORD0209</t>
  </si>
  <si>
    <t>ORD0210</t>
  </si>
  <si>
    <t>ORD0211</t>
  </si>
  <si>
    <t>CUST1151</t>
  </si>
  <si>
    <t>ORD0212</t>
  </si>
  <si>
    <t>CUST1083</t>
  </si>
  <si>
    <t>ORD0213</t>
  </si>
  <si>
    <t>ORD0214</t>
  </si>
  <si>
    <t>CUST1062</t>
  </si>
  <si>
    <t>ORD0215</t>
  </si>
  <si>
    <t>ORD0216</t>
  </si>
  <si>
    <t>ORD0217</t>
  </si>
  <si>
    <t>CUST1139</t>
  </si>
  <si>
    <t>ORD0218</t>
  </si>
  <si>
    <t>ORD0219</t>
  </si>
  <si>
    <t>CUST1060</t>
  </si>
  <si>
    <t>ORD0220</t>
  </si>
  <si>
    <t>CUST1008</t>
  </si>
  <si>
    <t>ORD0221</t>
  </si>
  <si>
    <t>ORD0222</t>
  </si>
  <si>
    <t>ORD0223</t>
  </si>
  <si>
    <t>CUST1094</t>
  </si>
  <si>
    <t>ORD0224</t>
  </si>
  <si>
    <t>ORD0225</t>
  </si>
  <si>
    <t>ORD0226</t>
  </si>
  <si>
    <t>ORD0227</t>
  </si>
  <si>
    <t>CUST1059</t>
  </si>
  <si>
    <t>ORD0228</t>
  </si>
  <si>
    <t>ORD0229</t>
  </si>
  <si>
    <t>CUST1149</t>
  </si>
  <si>
    <t>ORD0230</t>
  </si>
  <si>
    <t>ORD0231</t>
  </si>
  <si>
    <t>ORD0232</t>
  </si>
  <si>
    <t>ORD0233</t>
  </si>
  <si>
    <t>ORD0234</t>
  </si>
  <si>
    <t>CUST1155</t>
  </si>
  <si>
    <t>ORD0235</t>
  </si>
  <si>
    <t>ORD0236</t>
  </si>
  <si>
    <t>ORD0237</t>
  </si>
  <si>
    <t>ORD0238</t>
  </si>
  <si>
    <t>ORD0239</t>
  </si>
  <si>
    <t>CUST1049</t>
  </si>
  <si>
    <t>ORD0240</t>
  </si>
  <si>
    <t>CUST1176</t>
  </si>
  <si>
    <t>ORD0241</t>
  </si>
  <si>
    <t>ORD0242</t>
  </si>
  <si>
    <t>ORD0243</t>
  </si>
  <si>
    <t>ORD0244</t>
  </si>
  <si>
    <t>ORD0245</t>
  </si>
  <si>
    <t>ORD0246</t>
  </si>
  <si>
    <t>CUST1031</t>
  </si>
  <si>
    <t>ORD0247</t>
  </si>
  <si>
    <t>ORD0248</t>
  </si>
  <si>
    <t>ORD0249</t>
  </si>
  <si>
    <t>CUST1143</t>
  </si>
  <si>
    <t>ORD0250</t>
  </si>
  <si>
    <t>ORD0251</t>
  </si>
  <si>
    <t>ORD0252</t>
  </si>
  <si>
    <t>ORD0253</t>
  </si>
  <si>
    <t>ORD0254</t>
  </si>
  <si>
    <t>ORD0255</t>
  </si>
  <si>
    <t>ORD0256</t>
  </si>
  <si>
    <t>CUST1026</t>
  </si>
  <si>
    <t>ORD0257</t>
  </si>
  <si>
    <t>ORD0258</t>
  </si>
  <si>
    <t>CUST1041</t>
  </si>
  <si>
    <t>ORD0259</t>
  </si>
  <si>
    <t>ORD0260</t>
  </si>
  <si>
    <t>ORD0261</t>
  </si>
  <si>
    <t>ORD0262</t>
  </si>
  <si>
    <t>CUST1156</t>
  </si>
  <si>
    <t>ORD0263</t>
  </si>
  <si>
    <t>CUST1162</t>
  </si>
  <si>
    <t>ORD0264</t>
  </si>
  <si>
    <t>ORD0265</t>
  </si>
  <si>
    <t>ORD0266</t>
  </si>
  <si>
    <t>ORD0267</t>
  </si>
  <si>
    <t>CUST1016</t>
  </si>
  <si>
    <t>ORD0268</t>
  </si>
  <si>
    <t>ORD0269</t>
  </si>
  <si>
    <t>ORD0270</t>
  </si>
  <si>
    <t>ORD0271</t>
  </si>
  <si>
    <t>CUST1078</t>
  </si>
  <si>
    <t>ORD0272</t>
  </si>
  <si>
    <t>ORD0273</t>
  </si>
  <si>
    <t>ORD0274</t>
  </si>
  <si>
    <t>ORD0275</t>
  </si>
  <si>
    <t>CUST1105</t>
  </si>
  <si>
    <t>ORD0276</t>
  </si>
  <si>
    <t>ORD0277</t>
  </si>
  <si>
    <t>ORD0278</t>
  </si>
  <si>
    <t>ORD0279</t>
  </si>
  <si>
    <t>ORD0280</t>
  </si>
  <si>
    <t>ORD0281</t>
  </si>
  <si>
    <t>ORD0282</t>
  </si>
  <si>
    <t>ORD0283</t>
  </si>
  <si>
    <t>CUST1090</t>
  </si>
  <si>
    <t>ORD0284</t>
  </si>
  <si>
    <t>ORD0285</t>
  </si>
  <si>
    <t>CUST1077</t>
  </si>
  <si>
    <t>ORD0286</t>
  </si>
  <si>
    <t>ORD0287</t>
  </si>
  <si>
    <t>ORD0288</t>
  </si>
  <si>
    <t>ORD0289</t>
  </si>
  <si>
    <t>ORD0290</t>
  </si>
  <si>
    <t>ORD0291</t>
  </si>
  <si>
    <t>CUST1065</t>
  </si>
  <si>
    <t>ORD0292</t>
  </si>
  <si>
    <t>ORD0293</t>
  </si>
  <si>
    <t>ORD0294</t>
  </si>
  <si>
    <t>ORD0295</t>
  </si>
  <si>
    <t>ORD0296</t>
  </si>
  <si>
    <t>ORD0297</t>
  </si>
  <si>
    <t>ORD0298</t>
  </si>
  <si>
    <t>ORD0299</t>
  </si>
  <si>
    <t>CUST1018</t>
  </si>
  <si>
    <t>ORD0300</t>
  </si>
  <si>
    <t>CUST1068</t>
  </si>
  <si>
    <t>ORD0301</t>
  </si>
  <si>
    <t>ORD0302</t>
  </si>
  <si>
    <t>ORD0303</t>
  </si>
  <si>
    <t>CUST1082</t>
  </si>
  <si>
    <t>ORD0304</t>
  </si>
  <si>
    <t>ORD0305</t>
  </si>
  <si>
    <t>ORD0306</t>
  </si>
  <si>
    <t>ORD0307</t>
  </si>
  <si>
    <t>ORD0308</t>
  </si>
  <si>
    <t>ORD0309</t>
  </si>
  <si>
    <t>ORD0310</t>
  </si>
  <si>
    <t>ORD0311</t>
  </si>
  <si>
    <t>CUST1169</t>
  </si>
  <si>
    <t>ORD0312</t>
  </si>
  <si>
    <t>ORD0313</t>
  </si>
  <si>
    <t>ORD0314</t>
  </si>
  <si>
    <t>ORD0315</t>
  </si>
  <si>
    <t>ORD0316</t>
  </si>
  <si>
    <t>ORD0317</t>
  </si>
  <si>
    <t>ORD0318</t>
  </si>
  <si>
    <t>ORD0319</t>
  </si>
  <si>
    <t>ORD0320</t>
  </si>
  <si>
    <t>ORD0321</t>
  </si>
  <si>
    <t>Office chair</t>
  </si>
  <si>
    <t>ORD0322</t>
  </si>
  <si>
    <t>ORD0323</t>
  </si>
  <si>
    <t>ORD0324</t>
  </si>
  <si>
    <t>ORD0325</t>
  </si>
  <si>
    <t>ORD0326</t>
  </si>
  <si>
    <t>ORD0327</t>
  </si>
  <si>
    <t>ORD0328</t>
  </si>
  <si>
    <t>CUST1087</t>
  </si>
  <si>
    <t>ORD0329</t>
  </si>
  <si>
    <t>ORD0330</t>
  </si>
  <si>
    <t>ORD0331</t>
  </si>
  <si>
    <t>ORD0332</t>
  </si>
  <si>
    <t>ORD0333</t>
  </si>
  <si>
    <t>ORD0334</t>
  </si>
  <si>
    <t>CUST1126</t>
  </si>
  <si>
    <t>ORD0335</t>
  </si>
  <si>
    <t>CUST1045</t>
  </si>
  <si>
    <t>ORD0336</t>
  </si>
  <si>
    <t>CUST1004</t>
  </si>
  <si>
    <t>ORD0337</t>
  </si>
  <si>
    <t>ORD0338</t>
  </si>
  <si>
    <t>ORD0339</t>
  </si>
  <si>
    <t>ORD0340</t>
  </si>
  <si>
    <t>CUST1166</t>
  </si>
  <si>
    <t>ORD0341</t>
  </si>
  <si>
    <t>ORD0342</t>
  </si>
  <si>
    <t>ORD0343</t>
  </si>
  <si>
    <t>CUST1048</t>
  </si>
  <si>
    <t>ORD0344</t>
  </si>
  <si>
    <t>ORD0345</t>
  </si>
  <si>
    <t>ORD0346</t>
  </si>
  <si>
    <t>ORD0347</t>
  </si>
  <si>
    <t>ORD0348</t>
  </si>
  <si>
    <t>ORD0349</t>
  </si>
  <si>
    <t>ORD0350</t>
  </si>
  <si>
    <t>CUST1091</t>
  </si>
  <si>
    <t>ORD0351</t>
  </si>
  <si>
    <t>ORD0352</t>
  </si>
  <si>
    <t>ORD0353</t>
  </si>
  <si>
    <t>ORD0354</t>
  </si>
  <si>
    <t>ORD0355</t>
  </si>
  <si>
    <t>ORD0356</t>
  </si>
  <si>
    <t>CUST1024</t>
  </si>
  <si>
    <t>ORD0357</t>
  </si>
  <si>
    <t>ORD0358</t>
  </si>
  <si>
    <t>ORD0359</t>
  </si>
  <si>
    <t>ORD0360</t>
  </si>
  <si>
    <t>ORD0361</t>
  </si>
  <si>
    <t>ORD0362</t>
  </si>
  <si>
    <t>ORD0363</t>
  </si>
  <si>
    <t>CUST1036</t>
  </si>
  <si>
    <t>ORD0364</t>
  </si>
  <si>
    <t>CUST1122</t>
  </si>
  <si>
    <t>ORD0365</t>
  </si>
  <si>
    <t>ORD0366</t>
  </si>
  <si>
    <t>ORD0367</t>
  </si>
  <si>
    <t>ORD0368</t>
  </si>
  <si>
    <t>ORD0369</t>
  </si>
  <si>
    <t>ORD0370</t>
  </si>
  <si>
    <t>ORD0371</t>
  </si>
  <si>
    <t>ORD0372</t>
  </si>
  <si>
    <t>ORD0373</t>
  </si>
  <si>
    <t>ORD0374</t>
  </si>
  <si>
    <t>ORD0375</t>
  </si>
  <si>
    <t>ORD0376</t>
  </si>
  <si>
    <t>ORD0377</t>
  </si>
  <si>
    <t>ORD0378</t>
  </si>
  <si>
    <t>CUST1096</t>
  </si>
  <si>
    <t>ORD0379</t>
  </si>
  <si>
    <t>CUST1079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</si>
  <si>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</si>
  <si>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</si>
  <si>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</si>
  <si>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</si>
  <si>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</si>
  <si>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</si>
  <si>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</si>
  <si>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</si>
  <si>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</si>
  <si>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</si>
  <si>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</si>
  <si>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</si>
  <si>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</si>
  <si>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</si>
  <si>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</si>
  <si>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</si>
  <si>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</si>
  <si>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</si>
  <si>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</si>
  <si>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CUST1115</t>
  </si>
  <si>
    <t>ORD0399</t>
  </si>
  <si>
    <t>ORD0400</t>
  </si>
  <si>
    <t>ORD0401</t>
  </si>
  <si>
    <t>ORD0402</t>
  </si>
  <si>
    <t>ORD0403</t>
  </si>
  <si>
    <t>ORD0404</t>
  </si>
  <si>
    <t>ORD0405</t>
  </si>
  <si>
    <t>ORD0406</t>
  </si>
  <si>
    <t>ORD0407</t>
  </si>
  <si>
    <t>ORD0408</t>
  </si>
  <si>
    <t>ORD0409</t>
  </si>
  <si>
    <t>ORD0410</t>
  </si>
  <si>
    <t>ORD0411</t>
  </si>
  <si>
    <t>Home appliance</t>
  </si>
  <si>
    <t>ORD0412</t>
  </si>
  <si>
    <t>ORD0413</t>
  </si>
  <si>
    <t>ORD0414</t>
  </si>
  <si>
    <t>ORD0415</t>
  </si>
  <si>
    <t>CUST1173</t>
  </si>
  <si>
    <t>ORD0416</t>
  </si>
  <si>
    <t>ORD0417</t>
  </si>
  <si>
    <t>ORD0418</t>
  </si>
  <si>
    <t>CUST1056</t>
  </si>
  <si>
    <t>ORD0419</t>
  </si>
  <si>
    <t>ORD0420</t>
  </si>
  <si>
    <t>ORD0421</t>
  </si>
  <si>
    <t>ORD0422</t>
  </si>
  <si>
    <t>ORD0423</t>
  </si>
  <si>
    <t>ORD0424</t>
  </si>
  <si>
    <t>ORD0425</t>
  </si>
  <si>
    <t>ORD0426</t>
  </si>
  <si>
    <t>ORD0427</t>
  </si>
  <si>
    <t>CUST1150</t>
  </si>
  <si>
    <t>ORD0428</t>
  </si>
  <si>
    <t>ORD0429</t>
  </si>
  <si>
    <t>ORD0430</t>
  </si>
  <si>
    <t>ORD0431</t>
  </si>
  <si>
    <t>ORD0432</t>
  </si>
  <si>
    <t>ORD0433</t>
  </si>
  <si>
    <t>ORD0434</t>
  </si>
  <si>
    <t>ORD0435</t>
  </si>
  <si>
    <t>ORD0436</t>
  </si>
  <si>
    <t>ORD0437</t>
  </si>
  <si>
    <t>ORD0438</t>
  </si>
  <si>
    <t>ORD0439</t>
  </si>
  <si>
    <t>ORD0440</t>
  </si>
  <si>
    <t>ORD0441</t>
  </si>
  <si>
    <t>CUST1076</t>
  </si>
  <si>
    <t>ORD0442</t>
  </si>
  <si>
    <t>ORD0443</t>
  </si>
  <si>
    <t>ORD0444</t>
  </si>
  <si>
    <t>ORD0445</t>
  </si>
  <si>
    <t>CUST1072</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</si>
  <si>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</si>
  <si>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</si>
  <si>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</si>
  <si>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</si>
  <si>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</si>
  <si>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</si>
  <si>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</si>
  <si>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</si>
  <si>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</si>
  <si>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</si>
  <si>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</si>
  <si>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</si>
  <si>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</si>
  <si>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</si>
  <si>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</si>
  <si>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</si>
  <si>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</si>
  <si>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</si>
  <si>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</si>
  <si>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</si>
  <si>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</si>
  <si>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</si>
  <si>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</si>
  <si>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</si>
  <si>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</si>
  <si>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</si>
  <si>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</si>
  <si>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</si>
  <si>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</si>
  <si>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</si>
  <si>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</si>
  <si>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</si>
  <si>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</si>
  <si>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</si>
  <si>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CUST1146</t>
  </si>
  <si>
    <t>ORD0480</t>
  </si>
  <si>
    <t>ORD0481</t>
  </si>
  <si>
    <t>ORD0482</t>
  </si>
  <si>
    <t>ORD0483</t>
  </si>
  <si>
    <t>ORD0484</t>
  </si>
  <si>
    <t>ORD0485</t>
  </si>
  <si>
    <t>ORD0486</t>
  </si>
  <si>
    <t>CUST1085</t>
  </si>
  <si>
    <t>ORD0487</t>
  </si>
  <si>
    <t>ORD0488</t>
  </si>
  <si>
    <t>ORD0489</t>
  </si>
  <si>
    <t>ORD0490</t>
  </si>
  <si>
    <t>ORD0491</t>
  </si>
  <si>
    <t>CUST1071</t>
  </si>
  <si>
    <t>ORD0492</t>
  </si>
  <si>
    <t>ORD0493</t>
  </si>
  <si>
    <t>ORD0494</t>
  </si>
  <si>
    <t>ORD0495</t>
  </si>
  <si>
    <t>ORD0496</t>
  </si>
  <si>
    <t>ORD0497</t>
  </si>
  <si>
    <t>ORD0498</t>
  </si>
  <si>
    <t>ORD0499</t>
  </si>
  <si>
    <t>ORD0500</t>
  </si>
  <si>
    <t>ORD0501</t>
  </si>
  <si>
    <t>ORD0502</t>
  </si>
  <si>
    <t>CUST1010</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</si>
  <si>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</si>
  <si>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</si>
  <si>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</si>
  <si>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</si>
  <si>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</si>
  <si>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</si>
  <si>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</si>
  <si>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</si>
  <si>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</si>
  <si>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</si>
  <si>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</si>
  <si>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</si>
  <si>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</si>
  <si>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</si>
  <si>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</si>
  <si>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</si>
  <si>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</si>
  <si>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</si>
  <si>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</si>
  <si>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</si>
  <si>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</si>
  <si>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</si>
  <si>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</si>
  <si>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</si>
  <si>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</si>
  <si>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</si>
  <si>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</si>
  <si>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</si>
  <si>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</si>
  <si>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</si>
  <si>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</si>
  <si>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</si>
  <si>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</si>
  <si>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</si>
  <si>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</si>
  <si>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</si>
  <si>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</si>
  <si>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</si>
  <si>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</si>
  <si>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</si>
  <si>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</si>
  <si>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</si>
  <si>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</si>
  <si>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</si>
  <si>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</si>
  <si>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</si>
  <si>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</si>
  <si>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</si>
  <si>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</si>
  <si>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</si>
  <si>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</si>
  <si>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</si>
  <si>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</si>
  <si>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</si>
  <si>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</si>
  <si>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</si>
  <si>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</si>
  <si>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</si>
  <si>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</si>
  <si>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</si>
  <si>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CUST1009</t>
  </si>
  <si>
    <t>ORD0563</t>
  </si>
  <si>
    <t>ORD0564</t>
  </si>
  <si>
    <t>ORD0565</t>
  </si>
  <si>
    <t>ORD0566</t>
  </si>
  <si>
    <t>ORD0567</t>
  </si>
  <si>
    <t>CUST1100</t>
  </si>
  <si>
    <t>ORD0568</t>
  </si>
  <si>
    <t>ORD0569</t>
  </si>
  <si>
    <t>ORD0570</t>
  </si>
  <si>
    <t>ORD0571</t>
  </si>
  <si>
    <t>ORD0572</t>
  </si>
  <si>
    <t>ORD0573</t>
  </si>
  <si>
    <t>CUST1123</t>
  </si>
  <si>
    <t>ORD0574</t>
  </si>
  <si>
    <t>CUST1133</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</si>
  <si>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</si>
  <si>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</si>
  <si>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</si>
  <si>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</si>
  <si>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</si>
  <si>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</si>
  <si>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</si>
  <si>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</si>
  <si>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</si>
  <si>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</si>
  <si>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</si>
  <si>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</si>
  <si>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</si>
  <si>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</si>
  <si>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</si>
  <si>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</si>
  <si>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</si>
  <si>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</si>
  <si>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</si>
  <si>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</si>
  <si>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</si>
  <si>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</si>
  <si>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</si>
  <si>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</si>
  <si>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</si>
  <si>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</si>
  <si>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</si>
  <si>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</si>
  <si>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</si>
  <si>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</si>
  <si>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</si>
  <si>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</si>
  <si>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</si>
  <si>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</si>
  <si>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</si>
  <si>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</si>
  <si>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</si>
  <si>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</si>
  <si>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</si>
  <si>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</si>
  <si>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</si>
  <si>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</si>
  <si>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</si>
  <si>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</si>
  <si>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</si>
  <si>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</si>
  <si>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</si>
  <si>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</si>
  <si>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</si>
  <si>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</si>
  <si>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</si>
  <si>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</si>
  <si>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</si>
  <si>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</si>
  <si>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</si>
  <si>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</si>
  <si>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</si>
  <si>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</si>
  <si>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</si>
  <si>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</si>
  <si>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</si>
  <si>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</si>
  <si>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</si>
  <si>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</si>
  <si>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</si>
  <si>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</si>
  <si>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</si>
  <si>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</si>
  <si>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</si>
  <si>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</si>
  <si>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CUST1159</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</si>
  <si>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</si>
  <si>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</si>
  <si>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</si>
  <si>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</si>
  <si>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</si>
  <si>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</si>
  <si>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</si>
  <si>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</si>
  <si>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</si>
  <si>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</si>
  <si>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</si>
  <si>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</si>
  <si>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</si>
  <si>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</si>
  <si>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</si>
  <si>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</si>
  <si>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</si>
  <si>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</si>
  <si>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CUST1112</t>
  </si>
  <si>
    <t>ORD0663</t>
  </si>
  <si>
    <t>ORD0664</t>
  </si>
  <si>
    <t>CUST1158</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</si>
  <si>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</si>
  <si>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</si>
  <si>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</si>
  <si>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</si>
  <si>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</si>
  <si>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</si>
  <si>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</si>
  <si>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</si>
  <si>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</si>
  <si>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</si>
  <si>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</si>
  <si>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</si>
  <si>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</si>
  <si>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</si>
  <si>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</si>
  <si>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</si>
  <si>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</si>
  <si>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</si>
  <si>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</si>
  <si>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</si>
  <si>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</si>
  <si>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</si>
  <si>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</si>
  <si>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</si>
  <si>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</si>
  <si>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</si>
  <si>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</si>
  <si>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</si>
  <si>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</si>
  <si>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</si>
  <si>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</si>
  <si>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</si>
  <si>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</si>
  <si>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</si>
  <si>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</si>
  <si>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</si>
  <si>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</si>
  <si>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</si>
  <si>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</si>
  <si>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</si>
  <si>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</si>
  <si>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</si>
  <si>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</si>
  <si>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</si>
  <si>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</si>
  <si>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</si>
  <si>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</si>
  <si>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</si>
  <si>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</si>
  <si>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</si>
  <si>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</si>
  <si>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</si>
  <si>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</si>
  <si>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</si>
  <si>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</si>
  <si>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</si>
  <si>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</si>
  <si>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</si>
  <si>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</si>
  <si>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</si>
  <si>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</si>
  <si>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</si>
  <si>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</si>
  <si>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</si>
  <si>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CUST1120</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</si>
  <si>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</si>
  <si>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</si>
  <si>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</si>
  <si>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</si>
  <si>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</si>
  <si>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</si>
  <si>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</si>
  <si>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</si>
  <si>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</si>
  <si>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</si>
  <si>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</si>
  <si>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</si>
  <si>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</si>
  <si>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</si>
  <si>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</si>
  <si>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</si>
  <si>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</si>
  <si>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</si>
  <si>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</si>
  <si>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</si>
  <si>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</si>
  <si>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</si>
  <si>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</si>
  <si>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</si>
  <si>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</si>
  <si>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</si>
  <si>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</si>
  <si>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</si>
  <si>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</si>
  <si>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</si>
  <si>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</si>
  <si>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</si>
  <si>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</si>
  <si>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</si>
  <si>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</si>
  <si>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</si>
  <si>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</si>
  <si>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</si>
  <si>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</si>
  <si>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</si>
  <si>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</si>
  <si>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</si>
  <si>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</si>
  <si>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</si>
  <si>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</si>
  <si>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</si>
  <si>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</si>
  <si>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</si>
  <si>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</si>
  <si>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</si>
  <si>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</si>
  <si>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</si>
  <si>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</si>
  <si>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</si>
  <si>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</si>
  <si>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</si>
  <si>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</si>
  <si>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</si>
  <si>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</si>
  <si>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</si>
  <si>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</si>
  <si>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</si>
  <si>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</si>
  <si>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</si>
  <si>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</si>
  <si>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</si>
  <si>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</si>
  <si>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</si>
  <si>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</si>
  <si>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</si>
  <si>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</si>
  <si>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</si>
  <si>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</si>
  <si>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</si>
  <si>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</si>
  <si>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</si>
  <si>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</si>
  <si>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</si>
  <si>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</si>
  <si>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</si>
  <si>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</si>
  <si>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</si>
  <si>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</si>
  <si>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</si>
  <si>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</si>
  <si>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</si>
  <si>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</si>
  <si>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</si>
  <si>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</si>
  <si>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</si>
  <si>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</si>
  <si>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</si>
  <si>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</si>
  <si>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</si>
  <si>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</si>
  <si>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</si>
  <si>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</si>
  <si>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</si>
  <si>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</si>
  <si>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</si>
  <si>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</si>
  <si>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</si>
  <si>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</si>
  <si>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</si>
  <si>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</si>
  <si>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</si>
  <si>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</si>
  <si>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</si>
  <si>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</si>
  <si>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</si>
  <si>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</si>
  <si>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</si>
  <si>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</si>
  <si>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</si>
  <si>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</si>
  <si>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</si>
  <si>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</si>
  <si>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</si>
  <si>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</si>
  <si>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</si>
  <si>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</si>
  <si>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</si>
  <si>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</si>
  <si>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</si>
  <si>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</si>
  <si>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</si>
  <si>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</si>
  <si>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</si>
  <si>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</si>
  <si>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</si>
  <si>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</si>
  <si>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</si>
  <si>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</si>
  <si>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</si>
  <si>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</si>
  <si>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</si>
  <si>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</si>
  <si>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</si>
  <si>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</si>
  <si>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</si>
  <si>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</si>
  <si>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</si>
  <si>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</si>
  <si>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CUST1117</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</si>
  <si>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</si>
  <si>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</si>
  <si>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</si>
  <si>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</si>
  <si>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</si>
  <si>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</si>
  <si>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</si>
  <si>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</si>
  <si>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</si>
  <si>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</si>
  <si>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</si>
  <si>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</si>
  <si>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</si>
  <si>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</si>
  <si>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</si>
  <si>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</si>
  <si>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</si>
  <si>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</si>
  <si>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</si>
  <si>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</si>
  <si>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</si>
  <si>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</si>
  <si>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</si>
  <si>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</si>
  <si>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</si>
  <si>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</si>
  <si>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</si>
  <si>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</si>
  <si>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</si>
  <si>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</si>
  <si>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</si>
  <si>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</si>
  <si>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</si>
  <si>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</si>
  <si>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</si>
  <si>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</si>
  <si>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</si>
  <si>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</si>
  <si>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</si>
  <si>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</si>
  <si>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</si>
  <si>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</si>
  <si>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</si>
  <si>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</si>
  <si>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</si>
  <si>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</si>
  <si>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</si>
  <si>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</si>
  <si>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</si>
  <si>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</si>
  <si>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</si>
  <si>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</si>
  <si>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</si>
  <si>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</si>
  <si>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</si>
  <si>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</si>
  <si>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</si>
  <si>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</si>
  <si>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</si>
  <si>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</si>
  <si>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</si>
  <si>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</si>
  <si>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</si>
  <si>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</si>
  <si>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</si>
  <si>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</si>
  <si>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</si>
  <si>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</si>
  <si>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</si>
  <si>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</si>
  <si>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</si>
  <si>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</si>
  <si>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</si>
  <si>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</si>
  <si>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</si>
  <si>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</si>
  <si>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</si>
  <si>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</si>
  <si>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</si>
  <si>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</si>
  <si>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</si>
  <si>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</si>
  <si>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</si>
  <si>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</si>
  <si>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</si>
  <si>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</si>
  <si>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</si>
  <si>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</si>
  <si>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</si>
  <si>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</si>
  <si>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</si>
  <si>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</si>
  <si>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</si>
  <si>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</si>
  <si>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</si>
  <si>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</si>
  <si>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</si>
  <si>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</si>
  <si>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</si>
  <si>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</si>
  <si>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</si>
  <si>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</si>
  <si>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</si>
  <si>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</si>
  <si>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</si>
  <si>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</si>
  <si>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</si>
  <si>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</si>
  <si>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</si>
  <si>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</si>
  <si>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</si>
  <si>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</si>
  <si>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</si>
  <si>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</si>
  <si>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</si>
  <si>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</si>
  <si>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</si>
  <si>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</si>
  <si>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</si>
  <si>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</si>
  <si>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</si>
  <si>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</si>
  <si>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</si>
  <si>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</si>
  <si>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</si>
  <si>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</si>
  <si>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</si>
  <si>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</si>
  <si>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</si>
  <si>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</si>
  <si>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</si>
  <si>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</si>
  <si>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</si>
  <si>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</si>
  <si>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</si>
  <si>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</si>
  <si>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</si>
  <si>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</si>
  <si>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</si>
  <si>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</si>
  <si>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</si>
  <si>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</si>
  <si>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</si>
  <si>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</si>
  <si>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</si>
  <si>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</si>
  <si>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</si>
  <si>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</si>
  <si>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</si>
  <si>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</si>
  <si>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</si>
  <si>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</si>
  <si>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CUST1005</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</si>
  <si>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</si>
  <si>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</si>
  <si>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</si>
  <si>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</si>
  <si>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</si>
  <si>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</si>
  <si>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</si>
  <si>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</si>
  <si>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</si>
  <si>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</si>
  <si>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</si>
  <si>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</si>
  <si>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</si>
  <si>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</si>
  <si>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</si>
  <si>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</si>
  <si>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</si>
  <si>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</si>
  <si>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</si>
  <si>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</si>
  <si>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</si>
  <si>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</si>
  <si>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</si>
  <si>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</si>
  <si>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</si>
  <si>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</si>
  <si>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</si>
  <si>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</si>
  <si>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</si>
  <si>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</si>
  <si>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</si>
  <si>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</si>
  <si>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</si>
  <si>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</si>
  <si>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</si>
  <si>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</si>
  <si>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</si>
  <si>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</si>
  <si>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</si>
  <si>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</si>
  <si>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</si>
  <si>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</si>
  <si>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</si>
  <si>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</si>
  <si>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</si>
  <si>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</si>
  <si>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</si>
  <si>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</si>
  <si>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</si>
  <si>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</si>
  <si>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</si>
  <si>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</si>
  <si>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</si>
  <si>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</si>
  <si>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</si>
  <si>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</si>
  <si>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</si>
  <si>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</si>
  <si>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</si>
  <si>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</si>
  <si>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</si>
  <si>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</si>
  <si>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</si>
  <si>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</si>
  <si>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</si>
  <si>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</si>
  <si>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</si>
  <si>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</si>
  <si>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</si>
  <si>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</si>
  <si>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</si>
  <si>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</si>
  <si>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</si>
  <si>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</si>
  <si>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</si>
  <si>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</si>
  <si>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</si>
  <si>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</si>
  <si>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</si>
  <si>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</si>
  <si>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</si>
  <si>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</si>
  <si>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</si>
  <si>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</si>
  <si>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</si>
  <si>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</si>
  <si>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</si>
  <si>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</si>
  <si>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</si>
  <si>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</si>
  <si>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</si>
  <si>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</si>
  <si>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</si>
  <si>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</si>
  <si>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</si>
  <si>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</si>
  <si>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</si>
  <si>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</si>
  <si>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</si>
  <si>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</si>
  <si>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</si>
  <si>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</si>
  <si>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</si>
  <si>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</si>
  <si>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</si>
  <si>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</si>
  <si>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</si>
  <si>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</si>
  <si>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</si>
  <si>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</si>
  <si>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</si>
  <si>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</si>
  <si>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</si>
  <si>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</si>
  <si>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</si>
  <si>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</si>
  <si>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</si>
  <si>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</si>
  <si>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</si>
  <si>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</si>
  <si>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</si>
  <si>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</si>
  <si>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</si>
  <si>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</si>
  <si>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</si>
  <si>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</si>
  <si>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</si>
  <si>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</si>
  <si>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</si>
  <si>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</si>
  <si>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</si>
  <si>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</si>
  <si>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</si>
  <si>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</si>
  <si>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</si>
  <si>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</si>
  <si>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</si>
  <si>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</si>
  <si>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</si>
  <si>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</si>
  <si>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</si>
  <si>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</si>
  <si>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</si>
  <si>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</si>
  <si>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</si>
  <si>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</si>
  <si>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</si>
  <si>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</si>
  <si>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</si>
  <si>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</si>
  <si>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</si>
  <si>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</si>
  <si>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</si>
  <si>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</si>
  <si>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</si>
  <si>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</si>
  <si>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</si>
  <si>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</si>
  <si>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</si>
  <si>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</si>
  <si>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</si>
  <si>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</si>
  <si>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</si>
  <si>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</si>
  <si>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</si>
  <si>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</si>
  <si>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</si>
  <si>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</si>
  <si>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</si>
  <si>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</si>
  <si>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</si>
  <si>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</si>
  <si>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</si>
  <si>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</si>
  <si>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</si>
  <si>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</si>
  <si>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</si>
  <si>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Project</t>
  </si>
  <si>
    <t>Rows_for_cleaning</t>
  </si>
  <si>
    <t>Original_transactions</t>
  </si>
  <si>
    <t>Year</t>
  </si>
  <si>
    <t>Purpose</t>
  </si>
  <si>
    <t>NovaMart Retail Sales Intelligence</t>
  </si>
  <si>
    <t>Excel data cleaning, analysis, dashboard, then Power BI + SQL + AI</t>
  </si>
  <si>
    <t>Row Labels</t>
  </si>
  <si>
    <t>Grand Total</t>
  </si>
  <si>
    <t>City_Clean</t>
  </si>
  <si>
    <t>Category_Clean</t>
  </si>
  <si>
    <t xml:space="preserve">   Product_Clean</t>
  </si>
  <si>
    <t xml:space="preserve">   Region_Clean</t>
  </si>
  <si>
    <t>Category_Final</t>
  </si>
  <si>
    <t xml:space="preserve"> Region_Final</t>
  </si>
  <si>
    <t>City_Final</t>
  </si>
  <si>
    <t>Sales_Status</t>
  </si>
  <si>
    <t>SALES_CHECK</t>
  </si>
  <si>
    <t/>
  </si>
  <si>
    <t>KPI</t>
  </si>
  <si>
    <t>Value</t>
  </si>
  <si>
    <t>Total Profit</t>
  </si>
  <si>
    <t>Total Quantity</t>
  </si>
  <si>
    <t>Total Orders</t>
  </si>
  <si>
    <t>Total Sales</t>
  </si>
  <si>
    <t>Profit Margin</t>
  </si>
  <si>
    <t>Average Order Value</t>
  </si>
  <si>
    <t>B7 =B2/B5</t>
  </si>
  <si>
    <t>B2 =SUM(Cleaned_Data!K:K)</t>
  </si>
  <si>
    <t>B3 =SUM(Cleaned_Data!L:L)</t>
  </si>
  <si>
    <t>B4 =SUM(Cleaned_Data!H:H)</t>
  </si>
  <si>
    <t>B5 =COUNTA(Cleaned_Data!A:A)-1</t>
  </si>
  <si>
    <t>B6 =B3/B2</t>
  </si>
  <si>
    <t>Sum of Sales</t>
  </si>
  <si>
    <t>Sum of Profit</t>
  </si>
  <si>
    <t>Jan</t>
  </si>
  <si>
    <t>Feb</t>
  </si>
  <si>
    <t>Mar</t>
  </si>
  <si>
    <t>Apr</t>
  </si>
  <si>
    <t>May</t>
  </si>
  <si>
    <t>Jun</t>
  </si>
  <si>
    <t>Jul</t>
  </si>
  <si>
    <t>Aug</t>
  </si>
  <si>
    <t>Sep</t>
  </si>
  <si>
    <t>Oct</t>
  </si>
  <si>
    <t>Nov</t>
  </si>
  <si>
    <t>Dec</t>
  </si>
  <si>
    <t>2025</t>
  </si>
  <si>
    <t>RETAIL SALES &amp; PROFIT DASHBOARD</t>
  </si>
  <si>
    <t>Sales Performance | November 2025</t>
  </si>
  <si>
    <t>TOTAL SALES</t>
  </si>
  <si>
    <t>TOTAL PROFIT</t>
  </si>
  <si>
    <t>TOTAL ORDERS</t>
  </si>
  <si>
    <t>PROFIT MARGIN</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</si>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</sst>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dd\-mm\-yyyy"/>
    <numFmt numFmtId="175" formatCode="_ [$₹-439]* #,##0.00_ ;_ [$₹-439]* \-#,##0.00_ ;_ [$₹-439]* &quot;-&quot;??_ ;_ @_ "/>
  </numFmts>
  <fonts count="10"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8"/>
      <name val="Calibri"/>
      <family val="2"/>
      <scheme val="minor"/>
    </font>
    <font>
      <sz val="11"/>
      <color theme="0" tint="-4.9989318521683403E-2"/>
      <name val="Calibri"/>
      <family val="2"/>
      <scheme val="minor"/>
    </font>
    <font>
      <b/>
      <sz val="14"/>
      <name val="Calibri"/>
      <family val="2"/>
      <scheme val="minor"/>
    </font>
    <font>
      <b/>
      <sz val="22"/>
      <color theme="0"/>
      <name val="Calibri"/>
      <family val="2"/>
      <scheme val="minor"/>
    </font>
    <font>
      <b/>
      <sz val="12"/>
      <color theme="0" tint="-0.499984740745262"/>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68" fontId="1" fillId="0" borderId="1" xfId="0" applyNumberFormat="1" applyFont="1" applyBorder="1" applyAlignment="1">
      <alignment horizontal="center" vertical="top"/>
    </xf>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0" borderId="1" xfId="0" applyFont="1" applyFill="1" applyBorder="1" applyAlignment="1">
      <alignment horizontal="center" vertical="top"/>
    </xf>
    <xf numFmtId="0" fontId="3" fillId="0" borderId="1" xfId="0" applyFont="1" applyBorder="1"/>
    <xf numFmtId="0" fontId="3" fillId="0" borderId="2" xfId="0" applyFont="1" applyFill="1" applyBorder="1"/>
    <xf numFmtId="0" fontId="0" fillId="0" borderId="0" xfId="0" applyBorder="1"/>
    <xf numFmtId="0" fontId="3" fillId="0" borderId="0" xfId="0" applyFont="1" applyAlignment="1">
      <alignment horizontal="center"/>
    </xf>
    <xf numFmtId="0" fontId="0" fillId="0" borderId="0" xfId="0" applyAlignment="1">
      <alignment horizontal="left" indent="1"/>
    </xf>
    <xf numFmtId="0" fontId="6" fillId="0" borderId="0" xfId="0" applyFont="1"/>
    <xf numFmtId="0" fontId="7" fillId="2" borderId="1" xfId="0" applyFont="1" applyFill="1" applyBorder="1" applyAlignment="1">
      <alignment horizontal="center"/>
    </xf>
    <xf numFmtId="10" fontId="7" fillId="2" borderId="1" xfId="1" applyNumberFormat="1" applyFont="1" applyFill="1" applyBorder="1" applyAlignment="1">
      <alignment horizontal="center"/>
    </xf>
    <xf numFmtId="175" fontId="7" fillId="2" borderId="1" xfId="0" applyNumberFormat="1" applyFont="1" applyFill="1" applyBorder="1" applyAlignment="1">
      <alignment horizontal="center"/>
    </xf>
    <xf numFmtId="0" fontId="6" fillId="2" borderId="0" xfId="0" applyFont="1" applyFill="1"/>
    <xf numFmtId="0" fontId="8" fillId="3" borderId="0" xfId="0" applyFont="1" applyFill="1" applyAlignment="1">
      <alignment horizontal="center"/>
    </xf>
    <xf numFmtId="0" fontId="9" fillId="3" borderId="0" xfId="0" applyFont="1" applyFill="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[NovaMart_Retail_Sales_Project.xlsx]Monthly Sales Trend!PivotTable7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Sales Trend'!$B$4:$B$17</c:f>
              <c:numCache>
                <c:formatCode>General</c:formatCode>
                <c:ptCount val="12"/>
                <c:pt idx="0">
                  <c:v>1009257.6000000001</c:v>
                </c:pt>
                <c:pt idx="1">
                  <c:v>1871145.5999999996</c:v>
                </c:pt>
                <c:pt idx="2">
                  <c:v>2098431.6</c:v>
                </c:pt>
                <c:pt idx="3">
                  <c:v>1948579.6999999995</c:v>
                </c:pt>
                <c:pt idx="4">
                  <c:v>2801578.9499999997</c:v>
                </c:pt>
                <c:pt idx="5">
                  <c:v>1632784.4000000001</c:v>
                </c:pt>
                <c:pt idx="6">
                  <c:v>1983762.5999999996</c:v>
                </c:pt>
                <c:pt idx="7">
                  <c:v>1596307.8499999992</c:v>
                </c:pt>
                <c:pt idx="8">
                  <c:v>2222953.75</c:v>
                </c:pt>
                <c:pt idx="9">
                  <c:v>1244483.8000000003</c:v>
                </c:pt>
                <c:pt idx="10">
                  <c:v>1589828.7000000004</c:v>
                </c:pt>
                <c:pt idx="11">
                  <c:v>1755938.6000000003</c:v>
                </c:pt>
              </c:numCache>
            </c:numRef>
          </c:val>
          <c:smooth val="0"/>
          <c:extLst>
            <c:ext xmlns:c16="http://schemas.microsoft.com/office/drawing/2014/chart" uri="{C3380CC4-5D6E-409C-BE32-E72D297353CC}">
              <c16:uniqueId val="{00000000-89E3-4754-BE9D-9E8DA9073146}"/>
            </c:ext>
          </c:extLst>
        </c:ser>
        <c:dLbls>
          <c:showLegendKey val="0"/>
          <c:showVal val="0"/>
          <c:showCatName val="0"/>
          <c:showSerName val="0"/>
          <c:showPercent val="0"/>
          <c:showBubbleSize val="0"/>
        </c:dLbls>
        <c:marker val="1"/>
        <c:smooth val="0"/>
        <c:axId val="1190968543"/>
        <c:axId val="1190969023"/>
      </c:lineChart>
      <c:catAx>
        <c:axId val="119096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9023"/>
        <c:crosses val="autoZero"/>
        <c:auto val="1"/>
        <c:lblAlgn val="ctr"/>
        <c:lblOffset val="100"/>
        <c:noMultiLvlLbl val="0"/>
      </c:catAx>
      <c:valAx>
        <c:axId val="119096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[NovaMart_Retail_Sales_Project.xlsx]Profit by Category!PivotTable6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Profit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3"/>
            </a:solidFill>
            <a:ln>
              <a:noFill/>
            </a:ln>
            <a:effectLst/>
          </c:spPr>
          <c:invertIfNegative val="0"/>
          <c:cat>
            <c:strRef>
              <c:f>'Profit by Category'!$A$4:$A$9</c:f>
              <c:strCache>
                <c:ptCount val="5"/>
                <c:pt idx="0">
                  <c:v>Electronics</c:v>
                </c:pt>
                <c:pt idx="1">
                  <c:v>Home Appliances</c:v>
                </c:pt>
                <c:pt idx="2">
                  <c:v>Furniture</c:v>
                </c:pt>
                <c:pt idx="3">
                  <c:v>Accessories</c:v>
                </c:pt>
                <c:pt idx="4">
                  <c:v>Office Supplies</c:v>
                </c:pt>
              </c:strCache>
            </c:strRef>
          </c:cat>
          <c:val>
            <c:numRef>
              <c:f>'Profit by Category'!$B$4:$B$9</c:f>
              <c:numCache>
                <c:formatCode>General</c:formatCode>
                <c:ptCount val="5"/>
                <c:pt idx="0">
                  <c:v>2026286.67</c:v>
                </c:pt>
                <c:pt idx="1">
                  <c:v>840663.08</c:v>
                </c:pt>
                <c:pt idx="2">
                  <c:v>789464.62</c:v>
                </c:pt>
                <c:pt idx="3">
                  <c:v>158711.39000000001</c:v>
                </c:pt>
                <c:pt idx="4">
                  <c:v>27269.59</c:v>
                </c:pt>
              </c:numCache>
            </c:numRef>
          </c:val>
          <c:extLst>
            <c:ext xmlns:c16="http://schemas.microsoft.com/office/drawing/2014/chart" uri="{C3380CC4-5D6E-409C-BE32-E72D297353CC}">
              <c16:uniqueId val="{00000000-50C5-4868-82FF-B96011BECD35}"/>
            </c:ext>
          </c:extLst>
        </c:ser>
        <c:dLbls>
          <c:showLegendKey val="0"/>
          <c:showVal val="0"/>
          <c:showCatName val="0"/>
          <c:showSerName val="0"/>
          <c:showPercent val="0"/>
          <c:showBubbleSize val="0"/>
        </c:dLbls>
        <c:gapWidth val="219"/>
        <c:overlap val="-27"/>
        <c:axId val="1190955583"/>
        <c:axId val="1190961823"/>
      </c:barChart>
      <c:catAx>
        <c:axId val="119095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1823"/>
        <c:crosses val="autoZero"/>
        <c:auto val="1"/>
        <c:lblAlgn val="ctr"/>
        <c:lblOffset val="100"/>
        <c:noMultiLvlLbl val="0"/>
      </c:catAx>
      <c:valAx>
        <c:axId val="119096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5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[NovaMart_Retail_Sales_Project.xlsx]Sales by Region!PivotTable5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North</c:v>
                </c:pt>
                <c:pt idx="1">
                  <c:v>West</c:v>
                </c:pt>
                <c:pt idx="2">
                  <c:v>South</c:v>
                </c:pt>
                <c:pt idx="3">
                  <c:v>East</c:v>
                </c:pt>
              </c:strCache>
            </c:strRef>
          </c:cat>
          <c:val>
            <c:numRef>
              <c:f>'Sales by Region'!$B$4:$B$8</c:f>
              <c:numCache>
                <c:formatCode>General</c:formatCode>
                <c:ptCount val="4"/>
                <c:pt idx="0">
                  <c:v>6020862.5500000007</c:v>
                </c:pt>
                <c:pt idx="1">
                  <c:v>5483411.0000000028</c:v>
                </c:pt>
                <c:pt idx="2">
                  <c:v>5418574.1999999974</c:v>
                </c:pt>
                <c:pt idx="3">
                  <c:v>4832205.4000000022</c:v>
                </c:pt>
              </c:numCache>
            </c:numRef>
          </c:val>
          <c:extLst>
            <c:ext xmlns:c16="http://schemas.microsoft.com/office/drawing/2014/chart" uri="{C3380CC4-5D6E-409C-BE32-E72D297353CC}">
              <c16:uniqueId val="{00000000-2051-4D4B-92B0-20417BD9ADAB}"/>
            </c:ext>
          </c:extLst>
        </c:ser>
        <c:dLbls>
          <c:showLegendKey val="0"/>
          <c:showVal val="0"/>
          <c:showCatName val="0"/>
          <c:showSerName val="0"/>
          <c:showPercent val="0"/>
          <c:showBubbleSize val="0"/>
        </c:dLbls>
        <c:gapWidth val="219"/>
        <c:overlap val="-27"/>
        <c:axId val="1190954623"/>
        <c:axId val="1190960383"/>
      </c:barChart>
      <c:catAx>
        <c:axId val="119095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60383"/>
        <c:crosses val="autoZero"/>
        <c:auto val="1"/>
        <c:lblAlgn val="ctr"/>
        <c:lblOffset val="100"/>
        <c:noMultiLvlLbl val="0"/>
      </c:catAx>
      <c:valAx>
        <c:axId val="119096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5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[NovaMart_Retail_Sales_Project.xlsx]Sales by Category!PivotTable4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9203849518808"/>
          <c:y val="0.28541229221347336"/>
          <c:w val="0.7104560367454068"/>
          <c:h val="0.48688721201516477"/>
        </c:manualLayout>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Category'!$A$4:$A$9</c:f>
              <c:strCache>
                <c:ptCount val="5"/>
                <c:pt idx="0">
                  <c:v>Electronics</c:v>
                </c:pt>
                <c:pt idx="1">
                  <c:v>Home Appliances</c:v>
                </c:pt>
                <c:pt idx="2">
                  <c:v>Furniture</c:v>
                </c:pt>
                <c:pt idx="3">
                  <c:v>Accessories</c:v>
                </c:pt>
                <c:pt idx="4">
                  <c:v>Office Supplies</c:v>
                </c:pt>
              </c:strCache>
            </c:strRef>
          </c:cat>
          <c:val>
            <c:numRef>
              <c:f>'Sales by Category'!$B$4:$B$9</c:f>
              <c:numCache>
                <c:formatCode>General</c:formatCode>
                <c:ptCount val="5"/>
                <c:pt idx="0">
                  <c:v>11533667.099999996</c:v>
                </c:pt>
                <c:pt idx="1">
                  <c:v>4772299.4500000011</c:v>
                </c:pt>
                <c:pt idx="2">
                  <c:v>4428292.0999999968</c:v>
                </c:pt>
                <c:pt idx="3">
                  <c:v>860906.34999999951</c:v>
                </c:pt>
                <c:pt idx="4">
                  <c:v>159888.14999999994</c:v>
                </c:pt>
              </c:numCache>
            </c:numRef>
          </c:val>
          <c:extLst>
            <c:ext xmlns:c16="http://schemas.microsoft.com/office/drawing/2014/chart" uri="{C3380CC4-5D6E-409C-BE32-E72D297353CC}">
              <c16:uniqueId val="{00000000-71FE-4B69-9FA9-E168B31946EA}"/>
            </c:ext>
          </c:extLst>
        </c:ser>
        <c:dLbls>
          <c:showLegendKey val="0"/>
          <c:showVal val="0"/>
          <c:showCatName val="0"/>
          <c:showSerName val="0"/>
          <c:showPercent val="0"/>
          <c:showBubbleSize val="0"/>
        </c:dLbls>
        <c:gapWidth val="219"/>
        <c:overlap val="-27"/>
        <c:axId val="1190923903"/>
        <c:axId val="1190938783"/>
      </c:barChart>
      <c:catAx>
        <c:axId val="119092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38783"/>
        <c:crosses val="autoZero"/>
        <c:auto val="1"/>
        <c:lblAlgn val="ctr"/>
        <c:lblOffset val="100"/>
        <c:noMultiLvlLbl val="0"/>
      </c:catAx>
      <c:valAx>
        <c:axId val="119093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2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[NovaMart_Retail_Sales_Project.xlsx]Top 10 Products by Sales!PivotTable8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10 Products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Sales'!$A$4:$A$14</c:f>
              <c:strCache>
                <c:ptCount val="10"/>
                <c:pt idx="0">
                  <c:v>Laptop</c:v>
                </c:pt>
                <c:pt idx="1">
                  <c:v>Air Purifier</c:v>
                </c:pt>
                <c:pt idx="2">
                  <c:v>Monitor</c:v>
                </c:pt>
                <c:pt idx="3">
                  <c:v>Desk</c:v>
                </c:pt>
                <c:pt idx="4">
                  <c:v>Microwave</c:v>
                </c:pt>
                <c:pt idx="5">
                  <c:v>Filing Cabinet</c:v>
                </c:pt>
                <c:pt idx="6">
                  <c:v>Bookshelf</c:v>
                </c:pt>
                <c:pt idx="7">
                  <c:v>Office Chair</c:v>
                </c:pt>
                <c:pt idx="8">
                  <c:v>Coffee Maker</c:v>
                </c:pt>
                <c:pt idx="9">
                  <c:v>Headphones</c:v>
                </c:pt>
              </c:strCache>
            </c:strRef>
          </c:cat>
          <c:val>
            <c:numRef>
              <c:f>'Top 10 Products by Sales'!$B$4:$B$14</c:f>
              <c:numCache>
                <c:formatCode>General</c:formatCode>
                <c:ptCount val="10"/>
                <c:pt idx="0">
                  <c:v>8331554.8999999994</c:v>
                </c:pt>
                <c:pt idx="1">
                  <c:v>2542349.0499999998</c:v>
                </c:pt>
                <c:pt idx="2">
                  <c:v>2203194.4499999997</c:v>
                </c:pt>
                <c:pt idx="3">
                  <c:v>1484218.8</c:v>
                </c:pt>
                <c:pt idx="4">
                  <c:v>1295531.9999999998</c:v>
                </c:pt>
                <c:pt idx="5">
                  <c:v>1170482.05</c:v>
                </c:pt>
                <c:pt idx="6">
                  <c:v>964107.49999999977</c:v>
                </c:pt>
                <c:pt idx="7">
                  <c:v>829412.85000000009</c:v>
                </c:pt>
                <c:pt idx="8">
                  <c:v>597762.25</c:v>
                </c:pt>
                <c:pt idx="9">
                  <c:v>534309.6</c:v>
                </c:pt>
              </c:numCache>
            </c:numRef>
          </c:val>
          <c:extLst>
            <c:ext xmlns:c16="http://schemas.microsoft.com/office/drawing/2014/chart" uri="{C3380CC4-5D6E-409C-BE32-E72D297353CC}">
              <c16:uniqueId val="{00000000-3F5B-4D5F-8E3D-FF093191BE36}"/>
            </c:ext>
          </c:extLst>
        </c:ser>
        <c:dLbls>
          <c:showLegendKey val="0"/>
          <c:showVal val="0"/>
          <c:showCatName val="0"/>
          <c:showSerName val="0"/>
          <c:showPercent val="0"/>
          <c:showBubbleSize val="0"/>
        </c:dLbls>
        <c:gapWidth val="182"/>
        <c:axId val="1190944063"/>
        <c:axId val="1190944543"/>
      </c:barChart>
      <c:catAx>
        <c:axId val="119094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44543"/>
        <c:crosses val="autoZero"/>
        <c:auto val="1"/>
        <c:lblAlgn val="ctr"/>
        <c:lblOffset val="100"/>
        <c:noMultiLvlLbl val="0"/>
      </c:catAx>
      <c:valAx>
        <c:axId val="119094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4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[NovaMart_Retail_Sales_Project.xlsx]Discount vs Profit!PivotTable9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Discount vs Profit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vs Profit'!$B$3</c:f>
              <c:strCache>
                <c:ptCount val="1"/>
                <c:pt idx="0">
                  <c:v>Sum of Profit</c:v>
                </c:pt>
              </c:strCache>
            </c:strRef>
          </c:tx>
          <c:spPr>
            <a:ln w="28575" cap="rnd">
              <a:solidFill>
                <a:schemeClr val="accent3">
                  <a:shade val="76000"/>
                </a:schemeClr>
              </a:solidFill>
              <a:round/>
            </a:ln>
            <a:effectLst/>
          </c:spPr>
          <c:marker>
            <c:symbol val="none"/>
          </c:marker>
          <c:cat>
            <c:strRef>
              <c:f>'Discount vs Profit'!$A$4:$A$10</c:f>
              <c:strCache>
                <c:ptCount val="6"/>
                <c:pt idx="0">
                  <c:v>0</c:v>
                </c:pt>
                <c:pt idx="1">
                  <c:v>0.05</c:v>
                </c:pt>
                <c:pt idx="2">
                  <c:v>0.1</c:v>
                </c:pt>
                <c:pt idx="3">
                  <c:v>0.15</c:v>
                </c:pt>
                <c:pt idx="4">
                  <c:v>0.2</c:v>
                </c:pt>
                <c:pt idx="5">
                  <c:v>0.25</c:v>
                </c:pt>
              </c:strCache>
            </c:strRef>
          </c:cat>
          <c:val>
            <c:numRef>
              <c:f>'Discount vs Profit'!$B$4:$B$10</c:f>
              <c:numCache>
                <c:formatCode>General</c:formatCode>
                <c:ptCount val="6"/>
                <c:pt idx="0">
                  <c:v>968007.67</c:v>
                </c:pt>
                <c:pt idx="1">
                  <c:v>979727.86</c:v>
                </c:pt>
                <c:pt idx="2">
                  <c:v>799810.12</c:v>
                </c:pt>
                <c:pt idx="3">
                  <c:v>807009.32</c:v>
                </c:pt>
                <c:pt idx="4">
                  <c:v>266220.96000000002</c:v>
                </c:pt>
                <c:pt idx="5">
                  <c:v>21619.42</c:v>
                </c:pt>
              </c:numCache>
            </c:numRef>
          </c:val>
          <c:smooth val="0"/>
          <c:extLst>
            <c:ext xmlns:c16="http://schemas.microsoft.com/office/drawing/2014/chart" uri="{C3380CC4-5D6E-409C-BE32-E72D297353CC}">
              <c16:uniqueId val="{00000000-BE25-4358-AE2F-21DEF3FFD6D8}"/>
            </c:ext>
          </c:extLst>
        </c:ser>
        <c:ser>
          <c:idx val="1"/>
          <c:order val="1"/>
          <c:tx>
            <c:strRef>
              <c:f>'Discount vs Profit'!$C$3</c:f>
              <c:strCache>
                <c:ptCount val="1"/>
                <c:pt idx="0">
                  <c:v>Sum of Sales</c:v>
                </c:pt>
              </c:strCache>
            </c:strRef>
          </c:tx>
          <c:spPr>
            <a:ln w="28575" cap="rnd">
              <a:solidFill>
                <a:schemeClr val="accent3">
                  <a:tint val="77000"/>
                </a:schemeClr>
              </a:solidFill>
              <a:round/>
            </a:ln>
            <a:effectLst/>
          </c:spPr>
          <c:marker>
            <c:symbol val="none"/>
          </c:marker>
          <c:cat>
            <c:strRef>
              <c:f>'Discount vs Profit'!$A$4:$A$10</c:f>
              <c:strCache>
                <c:ptCount val="6"/>
                <c:pt idx="0">
                  <c:v>0</c:v>
                </c:pt>
                <c:pt idx="1">
                  <c:v>0.05</c:v>
                </c:pt>
                <c:pt idx="2">
                  <c:v>0.1</c:v>
                </c:pt>
                <c:pt idx="3">
                  <c:v>0.15</c:v>
                </c:pt>
                <c:pt idx="4">
                  <c:v>0.2</c:v>
                </c:pt>
                <c:pt idx="5">
                  <c:v>0.25</c:v>
                </c:pt>
              </c:strCache>
            </c:strRef>
          </c:cat>
          <c:val>
            <c:numRef>
              <c:f>'Discount vs Profit'!$C$4:$C$10</c:f>
              <c:numCache>
                <c:formatCode>General</c:formatCode>
                <c:ptCount val="6"/>
                <c:pt idx="0">
                  <c:v>5368148</c:v>
                </c:pt>
                <c:pt idx="1">
                  <c:v>5558703.6500000004</c:v>
                </c:pt>
                <c:pt idx="2">
                  <c:v>4718567.6999999983</c:v>
                </c:pt>
                <c:pt idx="3">
                  <c:v>4527954.25</c:v>
                </c:pt>
                <c:pt idx="4">
                  <c:v>1456476.7999999996</c:v>
                </c:pt>
                <c:pt idx="5">
                  <c:v>125202.75</c:v>
                </c:pt>
              </c:numCache>
            </c:numRef>
          </c:val>
          <c:smooth val="0"/>
          <c:extLst>
            <c:ext xmlns:c16="http://schemas.microsoft.com/office/drawing/2014/chart" uri="{C3380CC4-5D6E-409C-BE32-E72D297353CC}">
              <c16:uniqueId val="{00000001-BE25-4358-AE2F-21DEF3FFD6D8}"/>
            </c:ext>
          </c:extLst>
        </c:ser>
        <c:dLbls>
          <c:showLegendKey val="0"/>
          <c:showVal val="0"/>
          <c:showCatName val="0"/>
          <c:showSerName val="0"/>
          <c:showPercent val="0"/>
          <c:showBubbleSize val="0"/>
        </c:dLbls>
        <c:smooth val="0"/>
        <c:axId val="1190951263"/>
        <c:axId val="1190955103"/>
      </c:lineChart>
      <c:catAx>
        <c:axId val="11909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55103"/>
        <c:crosses val="autoZero"/>
        <c:auto val="1"/>
        <c:lblAlgn val="ctr"/>
        <c:lblOffset val="100"/>
        <c:noMultiLvlLbl val="0"/>
      </c:catAx>
      <c:valAx>
        <c:axId val="119095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5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4</xdr:row>
      <xdr:rowOff>175260</xdr:rowOff>
    </xdr:from>
    <xdr:to>
      <xdr:col>6</xdr:col>
      <xdr:colOff>502920</xdr:colOff>
      <xdr:row>18</xdr:row>
      <xdr:rowOff>81915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DBC94C98-2D1C-2D78-8897-CA0E996F31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96540" y="906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4</xdr:row>
      <xdr:rowOff>175260</xdr:rowOff>
    </xdr:from>
    <xdr:to>
      <xdr:col>10</xdr:col>
      <xdr:colOff>7620</xdr:colOff>
      <xdr:row>18</xdr:row>
      <xdr:rowOff>81915</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4944EF7E-218B-CEDD-8E20-3C16710E13F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739640" y="906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441960</xdr:colOff>
      <xdr:row>6</xdr:row>
      <xdr:rowOff>38100</xdr:rowOff>
    </xdr:from>
    <xdr:to>
      <xdr:col>6</xdr:col>
      <xdr:colOff>944880</xdr:colOff>
      <xdr:row>21</xdr:row>
      <xdr:rowOff>45720</xdr:rowOff>
    </xdr:to>
    <xdr:graphicFrame macro="">
      <xdr:nvGraphicFramePr>
        <xdr:cNvPr id="2" name="Monthly Sales Trend">
          <a:extLst>
            <a:ext uri="{FF2B5EF4-FFF2-40B4-BE49-F238E27FC236}">
              <a16:creationId xmlns:a16="http://schemas.microsoft.com/office/drawing/2014/main" id="{16DD9473-FB02-48FB-9CFD-AA0C79FA5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175260</xdr:rowOff>
    </xdr:from>
    <xdr:to>
      <xdr:col>3</xdr:col>
      <xdr:colOff>312420</xdr:colOff>
      <xdr:row>54</xdr:row>
      <xdr:rowOff>175260</xdr:rowOff>
    </xdr:to>
    <xdr:graphicFrame macro="">
      <xdr:nvGraphicFramePr>
        <xdr:cNvPr id="3" name="Profit by Category">
          <a:extLst>
            <a:ext uri="{FF2B5EF4-FFF2-40B4-BE49-F238E27FC236}">
              <a16:creationId xmlns:a16="http://schemas.microsoft.com/office/drawing/2014/main" id="{6022A1F6-A50A-4976-9D68-A12D28794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23</xdr:row>
      <xdr:rowOff>15240</xdr:rowOff>
    </xdr:from>
    <xdr:to>
      <xdr:col>8</xdr:col>
      <xdr:colOff>990600</xdr:colOff>
      <xdr:row>38</xdr:row>
      <xdr:rowOff>15240</xdr:rowOff>
    </xdr:to>
    <xdr:graphicFrame macro="">
      <xdr:nvGraphicFramePr>
        <xdr:cNvPr id="4" name="Sales by Region">
          <a:extLst>
            <a:ext uri="{FF2B5EF4-FFF2-40B4-BE49-F238E27FC236}">
              <a16:creationId xmlns:a16="http://schemas.microsoft.com/office/drawing/2014/main" id="{1CB3EE4F-2CDB-4E7B-AFEB-03E5B8D5F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22860</xdr:rowOff>
    </xdr:from>
    <xdr:to>
      <xdr:col>3</xdr:col>
      <xdr:colOff>274320</xdr:colOff>
      <xdr:row>38</xdr:row>
      <xdr:rowOff>53340</xdr:rowOff>
    </xdr:to>
    <xdr:graphicFrame macro="">
      <xdr:nvGraphicFramePr>
        <xdr:cNvPr id="5" name="Sales by Category">
          <a:extLst>
            <a:ext uri="{FF2B5EF4-FFF2-40B4-BE49-F238E27FC236}">
              <a16:creationId xmlns:a16="http://schemas.microsoft.com/office/drawing/2014/main" id="{B7829DD8-D817-4BE3-B129-F871ABE9D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39</xdr:row>
      <xdr:rowOff>167640</xdr:rowOff>
    </xdr:from>
    <xdr:to>
      <xdr:col>8</xdr:col>
      <xdr:colOff>1066800</xdr:colOff>
      <xdr:row>55</xdr:row>
      <xdr:rowOff>22860</xdr:rowOff>
    </xdr:to>
    <xdr:graphicFrame macro="">
      <xdr:nvGraphicFramePr>
        <xdr:cNvPr id="6" name="Top 10 Products by Sales">
          <a:extLst>
            <a:ext uri="{FF2B5EF4-FFF2-40B4-BE49-F238E27FC236}">
              <a16:creationId xmlns:a16="http://schemas.microsoft.com/office/drawing/2014/main" id="{4795C10F-85DE-4BDD-93CE-476B172F1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403860</xdr:colOff>
      <xdr:row>57</xdr:row>
      <xdr:rowOff>0</xdr:rowOff>
    </xdr:from>
    <xdr:to>
      <xdr:col>8</xdr:col>
      <xdr:colOff>853440</xdr:colOff>
      <xdr:row>73</xdr:row>
      <xdr:rowOff>140970</xdr:rowOff>
    </xdr:to>
    <xdr:graphicFrame macro="">
      <xdr:nvGraphicFramePr>
        <xdr:cNvPr id="7" name="Discount vs Profit">
          <a:extLst>
            <a:ext uri="{FF2B5EF4-FFF2-40B4-BE49-F238E27FC236}">
              <a16:creationId xmlns:a16="http://schemas.microsoft.com/office/drawing/2014/main" id="{ECCFCDCA-F093-4032-9C4B-62523FE75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6189120369" backgroundQuery="1" createdVersion="8" refreshedVersion="8" minRefreshableVersion="3" recordCount="0" supportSubquery="1" supportAdvancedDrill="1" xr:uid="{C3BB2CB4-75E8-4088-86D8-C5D509D479C6}">
  <cacheSource type="external" connectionId="1"/>
  <cacheFields count="2">
    <cacheField name="[Range 1].[Region].[Region]" caption="Region" numFmtId="0" hierarchy="5" level="1">
      <sharedItems count="4">
        <s v="East"/>
        <s v="North"/>
        <s v="South"/>
        <s v="West"/>
      </sharedItems>
    </cacheField>
    <cacheField name="[Measures].[Sum of Sales]" caption="Sum of Sales" numFmtId="0" hierarchy="17" level="32767"/>
  </cacheFields>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0"/>
      </fieldsUsage>
    </cacheHierarchy>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0" memberValueDatatype="130" unbalanced="0"/>
    <cacheHierarchy uniqueName="[Range 1].[Order_Date (Year)]" caption="Order_Date (Year)" attribute="1" defaultMemberUniqueName="[Range 1].[Order_Date (Year)].[All]" allUniqueName="[Range 1].[Order_Date (Year)].[All]" dimensionUniqueName="[Range 1]" displayFolder="" count="0" memberValueDatatype="130" unbalanced="0"/>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6189699077" backgroundQuery="1" createdVersion="8" refreshedVersion="8" minRefreshableVersion="3" recordCount="0" supportSubquery="1" supportAdvancedDrill="1" xr:uid="{EC9B53DE-5B26-432B-B267-6F7F97830A6F}">
  <cacheSource type="external" connectionId="1"/>
  <cacheFields count="4">
    <cacheField name="[Range 1].[Discount].[Discount]" caption="Discount" numFmtId="0" hierarchy="9" level="1">
      <sharedItems containsSemiMixedTypes="0" containsString="0" containsNumber="1" minValue="0" maxValue="0.25" count="6">
        <n v="0"/>
        <n v="0.05"/>
        <n v="0.1"/>
        <n v="0.15"/>
        <n v="0.2"/>
        <n v="0.25"/>
      </sharedItems>
    </cacheField>
    <cacheField name="[Measures].[Sum of Profit]" caption="Sum of Profit" numFmtId="0" hierarchy="18" level="32767"/>
    <cacheField name="[Measures].[Sum of Sales]" caption="Sum of Sales" numFmtId="0" hierarchy="17" level="32767"/>
    <cacheField name="[Range 1].[Region].[Region]" caption="Region" numFmtId="0" hierarchy="5" level="1">
      <sharedItems containsSemiMixedTypes="0" containsNonDate="0" containsString="0"/>
    </cacheField>
  </cacheFields>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3"/>
      </fieldsUsage>
    </cacheHierarchy>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0"/>
      </fieldsUsage>
    </cacheHierarchy>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0" memberValueDatatype="130" unbalanced="0"/>
    <cacheHierarchy uniqueName="[Range 1].[Order_Date (Year)]" caption="Order_Date (Year)" attribute="1" defaultMemberUniqueName="[Range 1].[Order_Date (Year)].[All]" allUniqueName="[Range 1].[Order_Date (Year)].[All]" dimensionUniqueName="[Range 1]" displayFolder="" count="0" memberValueDatatype="130" unbalanced="0"/>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6190046293" backgroundQuery="1" createdVersion="8" refreshedVersion="8" minRefreshableVersion="3" recordCount="0" supportSubquery="1" supportAdvancedDrill="1" xr:uid="{5B02A2AC-56C1-4CAA-B674-8FB34BFEEC44}">
  <cacheSource type="external" connectionId="1"/>
  <cacheFields count="5">
    <cacheField name="[Range 1].[Order_Date].[Order_Date]" caption="Order_Date" numFmtId="0" hierarchy="1" level="1">
      <sharedItems containsSemiMixedTypes="0" containsNonDate="0" containsDate="1" containsString="0" minDate="2025-01-01T00:00:00" maxDate="2026-01-01T00:00:00" count="349">
        <d v="2025-01-01T00:00:00"/>
        <d v="2025-01-02T00:00:00"/>
        <d v="2025-01-03T00:00:00"/>
        <d v="2025-01-04T00:00:00"/>
        <d v="2025-01-05T00:00:00"/>
        <d v="2025-01-06T00:00:00"/>
        <d v="2025-01-07T00:00:00"/>
        <d v="2025-01-08T00:00:00"/>
        <d v="2025-01-09T00:00:00"/>
        <d v="2025-01-10T00:00:00"/>
        <d v="2025-01-11T00:00:00"/>
        <d v="2025-01-12T00:00:00"/>
        <d v="2025-01-13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3T00:00:00"/>
        <d v="2025-03-25T00:00:00"/>
        <d v="2025-03-26T00:00:00"/>
        <d v="2025-03-27T00:00:00"/>
        <d v="2025-03-28T00:00:00"/>
        <d v="2025-03-29T00:00:00"/>
        <d v="2025-03-30T00:00:00"/>
        <d v="2025-03-31T00:00:00"/>
        <d v="2025-04-02T00:00:00"/>
        <d v="2025-04-03T00:00:00"/>
        <d v="2025-04-04T00:00:00"/>
        <d v="2025-04-05T00:00:00"/>
        <d v="2025-04-06T00:00:00"/>
        <d v="2025-04-07T00:00:00"/>
        <d v="2025-04-08T00:00:00"/>
        <d v="2025-04-09T00:00:00"/>
        <d v="2025-04-10T00:00:00"/>
        <d v="2025-04-11T00:00:00"/>
        <d v="2025-04-12T00:00:00"/>
        <d v="2025-04-13T00:00:00"/>
        <d v="2025-04-14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1T00:00:00"/>
        <d v="2025-05-02T00:00:00"/>
        <d v="2025-05-03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7T00:00:00"/>
        <d v="2025-10-18T00:00:00"/>
        <d v="2025-10-19T00:00:00"/>
        <d v="2025-10-20T00:00:00"/>
        <d v="2025-10-21T00:00:00"/>
        <d v="2025-10-22T00:00:00"/>
        <d v="2025-10-23T00:00:00"/>
        <d v="2025-10-24T00:00:00"/>
        <d v="2025-10-25T00:00:00"/>
        <d v="2025-10-26T00:00:00"/>
        <d v="2025-10-27T00:00:00"/>
        <d v="2025-10-28T00:00:00"/>
        <d v="2025-10-30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5T00:00:00"/>
        <d v="2025-12-26T00:00:00"/>
        <d v="2025-12-27T00:00:00"/>
        <d v="2025-12-28T00:00:00"/>
        <d v="2025-12-29T00:00:00"/>
        <d v="2025-12-30T00:00:00"/>
        <d v="2025-12-31T00:00:00"/>
      </sharedItems>
    </cacheField>
    <cacheField name="[Measures].[Sum of Sales]" caption="Sum of Sales" numFmtId="0" hierarchy="17" level="32767"/>
    <cacheField name="[Range 1].[Order_Date (Month)].[Order_Date (Month)]" caption="Order_Date (Month)" numFmtId="0" hierarchy="12" level="1">
      <sharedItems count="12">
        <s v="Jan"/>
        <s v="Feb"/>
        <s v="Mar"/>
        <s v="Apr"/>
        <s v="May"/>
        <s v="Jun"/>
        <s v="Jul"/>
        <s v="Aug"/>
        <s v="Sep"/>
        <s v="Oct"/>
        <s v="Nov"/>
        <s v="Dec"/>
      </sharedItems>
    </cacheField>
    <cacheField name="[Range 1].[Order_Date (Year)].[Order_Date (Year)]" caption="Order_Date (Year)" numFmtId="0" hierarchy="13" level="1">
      <sharedItems count="1">
        <s v="2025"/>
      </sharedItems>
    </cacheField>
    <cacheField name="[Range 1].[Region].[Region]" caption="Region" numFmtId="0" hierarchy="5" level="1">
      <sharedItems containsSemiMixedTypes="0" containsNonDate="0" containsString="0"/>
    </cacheField>
  </cacheFields>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2" memberValueDatatype="7" unbalanced="0">
      <fieldsUsage count="2">
        <fieldUsage x="-1"/>
        <fieldUsage x="0"/>
      </fieldsUsage>
    </cacheHierarchy>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4"/>
      </fieldsUsage>
    </cacheHierarchy>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2" memberValueDatatype="130" unbalanced="0">
      <fieldsUsage count="2">
        <fieldUsage x="-1"/>
        <fieldUsage x="2"/>
      </fieldsUsage>
    </cacheHierarchy>
    <cacheHierarchy uniqueName="[Range 1].[Order_Date (Year)]" caption="Order_Date (Year)" attribute="1" defaultMemberUniqueName="[Range 1].[Order_Date (Year)].[All]" allUniqueName="[Range 1].[Order_Date (Year)].[All]" dimensionUniqueName="[Range 1]" displayFolder="" count="2" memberValueDatatype="130" unbalanced="0">
      <fieldsUsage count="2">
        <fieldUsage x="-1"/>
        <fieldUsage x="3"/>
      </fieldsUsage>
    </cacheHierarchy>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6190625001" backgroundQuery="1" createdVersion="8" refreshedVersion="8" minRefreshableVersion="3" recordCount="0" supportSubquery="1" supportAdvancedDrill="1" xr:uid="{8E59B56F-4966-4FFB-9BC0-A0072DC0F777}">
  <cacheSource type="external" connectionId="1"/>
  <cacheFields count="3">
    <cacheField name="[Measures].[Sum of Profit]" caption="Sum of Profit" numFmtId="0" hierarchy="18" level="32767"/>
    <cacheField name="[Range 1].[Category].[Category]" caption="Category" numFmtId="0" hierarchy="4" level="1">
      <sharedItems count="5">
        <s v="Accessories"/>
        <s v="Electronics"/>
        <s v="Furniture"/>
        <s v="Home Appliances"/>
        <s v="Office Supplies"/>
      </sharedItems>
    </cacheField>
    <cacheField name="[Range 1].[Region].[Region]" caption="Region" numFmtId="0" hierarchy="5" level="1">
      <sharedItems containsSemiMixedTypes="0" containsNonDate="0" containsString="0"/>
    </cacheField>
  </cacheFields>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1"/>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2"/>
      </fieldsUsage>
    </cacheHierarchy>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0" memberValueDatatype="130" unbalanced="0"/>
    <cacheHierarchy uniqueName="[Range 1].[Order_Date (Year)]" caption="Order_Date (Year)" attribute="1" defaultMemberUniqueName="[Range 1].[Order_Date (Year)].[All]" allUniqueName="[Range 1].[Order_Date (Year)].[All]" dimensionUniqueName="[Range 1]" displayFolder="" count="0" memberValueDatatype="130" unbalanced="0"/>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6190972224" backgroundQuery="1" createdVersion="8" refreshedVersion="8" minRefreshableVersion="3" recordCount="0" supportSubquery="1" supportAdvancedDrill="1" xr:uid="{1E0B4745-0E07-49BF-9637-7C16551A34CE}">
  <cacheSource type="external" connectionId="1"/>
  <cacheFields count="3">
    <cacheField name="[Measures].[Sum of Sales]" caption="Sum of Sales" numFmtId="0" hierarchy="17" level="32767"/>
    <cacheField name="[Range 1].[Category].[Category]" caption="Category" numFmtId="0" hierarchy="4" level="1">
      <sharedItems count="5">
        <s v="Accessories"/>
        <s v="Electronics"/>
        <s v="Furniture"/>
        <s v="Home Appliances"/>
        <s v="Office Supplies"/>
      </sharedItems>
    </cacheField>
    <cacheField name="[Range 1].[Region].[Region]" caption="Region" numFmtId="0" hierarchy="5" level="1">
      <sharedItems containsSemiMixedTypes="0" containsNonDate="0" containsString="0"/>
    </cacheField>
  </cacheFields>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1"/>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2"/>
      </fieldsUsage>
    </cacheHierarchy>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0" memberValueDatatype="130" unbalanced="0"/>
    <cacheHierarchy uniqueName="[Range 1].[Order_Date (Year)]" caption="Order_Date (Year)" attribute="1" defaultMemberUniqueName="[Range 1].[Order_Date (Year)].[All]" allUniqueName="[Range 1].[Order_Date (Year)].[All]" dimensionUniqueName="[Range 1]" displayFolder="" count="0" memberValueDatatype="130" unbalanced="0"/>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6191319448" backgroundQuery="1" createdVersion="8" refreshedVersion="8" minRefreshableVersion="3" recordCount="0" supportSubquery="1" supportAdvancedDrill="1" xr:uid="{622E1645-81B2-4AC7-840E-44A6D7A41EBB}">
  <cacheSource type="external" connectionId="1"/>
  <cacheFields count="3">
    <cacheField name="[Range 1].[Product].[Product]" caption="Product" numFmtId="0" hierarchy="3" level="1">
      <sharedItems count="10">
        <s v="Air Purifier"/>
        <s v="Bookshelf"/>
        <s v="Coffee Maker"/>
        <s v="Desk"/>
        <s v="Filing Cabinet"/>
        <s v="Headphones"/>
        <s v="Laptop"/>
        <s v="Microwave"/>
        <s v="Monitor"/>
        <s v="Office Chair"/>
      </sharedItems>
    </cacheField>
    <cacheField name="[Measures].[Sum of Sales]" caption="Sum of Sales" numFmtId="0" hierarchy="17" level="32767"/>
    <cacheField name="[Range 1].[Region].[Region]" caption="Region" numFmtId="0" hierarchy="5" level="1">
      <sharedItems containsSemiMixedTypes="0" containsNonDate="0" containsString="0"/>
    </cacheField>
  </cacheFields>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0"/>
      </fieldsUsage>
    </cacheHierarchy>
    <cacheHierarchy uniqueName="[Range 1].[Category]" caption="Category" attribute="1" defaultMemberUniqueName="[Range 1].[Category].[All]" allUniqueName="[Range 1].[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fieldsUsage count="2">
        <fieldUsage x="-1"/>
        <fieldUsage x="2"/>
      </fieldsUsage>
    </cacheHierarchy>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0" memberValueDatatype="130" unbalanced="0"/>
    <cacheHierarchy uniqueName="[Range 1].[Order_Date (Year)]" caption="Order_Date (Year)" attribute="1" defaultMemberUniqueName="[Range 1].[Order_Date (Year)].[All]" allUniqueName="[Range 1].[Order_Date (Year)].[All]" dimensionUniqueName="[Range 1]" displayFolder="" count="0" memberValueDatatype="130" unbalanced="0"/>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qua" refreshedDate="46252.66480810185" backgroundQuery="1" createdVersion="3" refreshedVersion="8" minRefreshableVersion="3" recordCount="0" supportSubquery="1" supportAdvancedDrill="1" xr:uid="{FBC8FBF9-913D-4027-8E6C-991287CB6634}">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City]" caption="City" attribute="1" defaultMemberUniqueName="[Range 1].[City].[All]" allUniqueName="[Range 1].[Cit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_Date (Month)]" caption="Order_Date (Month)" attribute="1" defaultMemberUniqueName="[Range 1].[Order_Date (Month)].[All]" allUniqueName="[Range 1].[Order_Date (Month)].[All]" dimensionUniqueName="[Range 1]" displayFolder="" count="0" memberValueDatatype="130" unbalanced="0"/>
    <cacheHierarchy uniqueName="[Range 1].[Order_Date (Year)]" caption="Order_Date (Year)" attribute="1" defaultMemberUniqueName="[Range 1].[Order_Date (Year)].[All]" allUniqueName="[Range 1].[Order_Date (Year)].[All]" dimensionUniqueName="[Range 1]" displayFolder="" count="0" memberValueDatatype="130" unbalanced="0"/>
    <cacheHierarchy uniqueName="[Range 1].[Order_Date (Month Index)]" caption="Order_Date (Month Index)" attribute="1" defaultMemberUniqueName="[Range 1].[Order_Date (Month Index)].[All]" allUniqueName="[Range 1].[Order_Date (Month Index)].[All]" dimensionUniqueName="[Range 1]" displayFolder="" count="0" memberValueDatatype="20" unbalanced="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1"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7445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3B9A78-F2E9-4960-8C3B-392EBB025482}" name="PivotTable4" cacheId="2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3"/>
    </i>
    <i>
      <x v="2"/>
    </i>
    <i>
      <x/>
    </i>
    <i>
      <x v="4"/>
    </i>
    <i t="grand">
      <x/>
    </i>
  </rowItems>
  <colItems count="1">
    <i/>
  </colItems>
  <dataFields count="1">
    <dataField name="Sum of Sales"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L$120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AC07F-6612-4343-B249-D8569622A6F7}" name="PivotTable5" cacheId="2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3"/>
    </i>
    <i>
      <x v="2"/>
    </i>
    <i>
      <x/>
    </i>
    <i t="grand">
      <x/>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L$120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98C4EC-B40D-4E75-87B4-09FC7A6A853B}" name="PivotTable6"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3"/>
    </i>
    <i>
      <x v="2"/>
    </i>
    <i>
      <x/>
    </i>
    <i>
      <x v="4"/>
    </i>
    <i t="grand">
      <x/>
    </i>
  </rowItems>
  <colItems count="1">
    <i/>
  </colItems>
  <dataFields count="1">
    <dataField name="Sum of Profi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L$120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360063-9CE3-4B27-9A67-4EFA2FD02674}" name="PivotTable7"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7" firstHeaderRow="1" firstDataRow="1" firstDataCol="1"/>
  <pivotFields count="5">
    <pivotField axis="axisRow" allDrilled="1" subtotalTop="0" showAll="0" dataSourceSort="1" defaultSubtotal="0" defaultAttributeDrillState="1">
      <items count="3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3">
    <field x="3"/>
    <field x="2"/>
    <field x="0"/>
  </rowFields>
  <rowItems count="14">
    <i>
      <x/>
    </i>
    <i r="1">
      <x/>
    </i>
    <i r="1">
      <x v="1"/>
    </i>
    <i r="1">
      <x v="2"/>
    </i>
    <i r="1">
      <x v="3"/>
    </i>
    <i r="1">
      <x v="4"/>
    </i>
    <i r="1">
      <x v="5"/>
    </i>
    <i r="1">
      <x v="6"/>
    </i>
    <i r="1">
      <x v="7"/>
    </i>
    <i r="1">
      <x v="8"/>
    </i>
    <i r="1">
      <x v="9"/>
    </i>
    <i r="1">
      <x v="10"/>
    </i>
    <i r="1">
      <x v="11"/>
    </i>
    <i t="grand">
      <x/>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L$120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0153F3-EFBA-4A2A-B2C7-F7FC57B487B2}" name="PivotTable8" cacheId="2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8"/>
    </i>
    <i>
      <x v="3"/>
    </i>
    <i>
      <x v="7"/>
    </i>
    <i>
      <x v="4"/>
    </i>
    <i>
      <x v="1"/>
    </i>
    <i>
      <x v="9"/>
    </i>
    <i>
      <x v="2"/>
    </i>
    <i>
      <x v="5"/>
    </i>
    <i t="grand">
      <x/>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L$120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D97C63-729E-4174-834D-BE9CEBA98299}" name="PivotTable9" cacheId="2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Profit" fld="1" baseField="0" baseItem="0"/>
    <dataField name="Sum of Sales"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L$120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BA618C-2E73-4B6C-BEEF-25390B175D72}" sourceName="[Range 1].[Region]">
  <pivotTables>
    <pivotTable tabId="10" name="PivotTable5"/>
    <pivotTable tabId="14" name="PivotTable9"/>
    <pivotTable tabId="12" name="PivotTable7"/>
    <pivotTable tabId="11" name="PivotTable6"/>
    <pivotTable tabId="8" name="PivotTable4"/>
    <pivotTable tabId="13" name="PivotTable8"/>
  </pivotTables>
  <data>
    <olap pivotCacheId="147445659">
      <levels count="2">
        <level uniqueName="[Range 1].[Region].[(All)]" sourceCaption="(All)" count="0"/>
        <level uniqueName="[Range 1].[Region].[Region]" sourceCaption="Region" count="4">
          <ranges>
            <range startItem="0">
              <i n="[Range 1].[Region].&amp;[East]" c="East"/>
              <i n="[Range 1].[Region].&amp;[North]" c="North"/>
              <i n="[Range 1].[Region].&amp;[South]" c="South"/>
              <i n="[Range 1].[Region].&amp;[West]" c="West"/>
            </range>
          </ranges>
        </level>
      </levels>
      <selections count="1">
        <selection n="[Range 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536CB4-5F93-4ECB-81AE-2C4D193F8204}" sourceName="[Range 1].[Category]">
  <pivotTables>
    <pivotTable tabId="10" name="PivotTable5"/>
    <pivotTable tabId="14" name="PivotTable9"/>
    <pivotTable tabId="12" name="PivotTable7"/>
    <pivotTable tabId="11" name="PivotTable6"/>
    <pivotTable tabId="8" name="PivotTable4"/>
    <pivotTable tabId="13" name="PivotTable8"/>
  </pivotTables>
  <data>
    <olap pivotCacheId="147445659">
      <levels count="2">
        <level uniqueName="[Range 1].[Category].[(All)]" sourceCaption="(All)" count="0"/>
        <level uniqueName="[Range 1].[Category].[Category]" sourceCaption="Category" count="5">
          <ranges>
            <range startItem="0">
              <i n="[Range 1].[Category].&amp;[Accessories]" c="Accessories"/>
              <i n="[Range 1].[Category].&amp;[Electronics]" c="Electronics"/>
              <i n="[Range 1].[Category].&amp;[Furniture]" c="Furniture"/>
              <i n="[Range 1].[Category].&amp;[Home Appliances]" c="Home Appliances"/>
              <i n="[Range 1].[Category].&amp;[Office Supplies]" c="Office Supplies"/>
            </range>
          </ranges>
        </level>
      </levels>
      <selections count="1">
        <selection n="[Range 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89494E-0045-480E-97CF-E2364632F184}" cache="Slicer_Region" caption="Region" level="1" rowHeight="234950"/>
  <slicer name="Category 1" xr10:uid="{26BFE541-A5B7-49EE-B34B-A9EED1C85B92}" cache="Slicer_Categor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6D7B-B315-4729-950B-2379D68505F5}">
  <dimension ref="A3:B9"/>
  <sheetViews>
    <sheetView workbookViewId="0">
      <selection activeCell="D21" sqref="D21"/>
    </sheetView>
  </sheetViews>
  <sheetFormatPr defaultRowHeight="14.4" x14ac:dyDescent="0.3"/>
  <cols>
    <col min="1" max="1" width="15.109375" bestFit="1" customWidth="1"/>
    <col min="2" max="2" width="12" bestFit="1" customWidth="1"/>
  </cols>
  <sheetData>
    <row r="3" spans="1:2" x14ac:dyDescent="0.3">
      <c r="A3" s="4" t="s">
        <v>1447</v>
      </c>
      <c r="B3" t="s">
        <v>1473</v>
      </c>
    </row>
    <row r="4" spans="1:2" x14ac:dyDescent="0.3">
      <c r="A4" s="5" t="s">
        <v>51</v>
      </c>
      <c r="B4" s="6">
        <v>11533667.099999996</v>
      </c>
    </row>
    <row r="5" spans="1:2" x14ac:dyDescent="0.3">
      <c r="A5" s="5" t="s">
        <v>26</v>
      </c>
      <c r="B5" s="6">
        <v>4772299.4500000011</v>
      </c>
    </row>
    <row r="6" spans="1:2" x14ac:dyDescent="0.3">
      <c r="A6" s="5" t="s">
        <v>15</v>
      </c>
      <c r="B6" s="6">
        <v>4428292.0999999968</v>
      </c>
    </row>
    <row r="7" spans="1:2" x14ac:dyDescent="0.3">
      <c r="A7" s="5" t="s">
        <v>44</v>
      </c>
      <c r="B7" s="6">
        <v>860906.34999999951</v>
      </c>
    </row>
    <row r="8" spans="1:2" x14ac:dyDescent="0.3">
      <c r="A8" s="5" t="s">
        <v>73</v>
      </c>
      <c r="B8" s="6">
        <v>159888.14999999994</v>
      </c>
    </row>
    <row r="9" spans="1:2" x14ac:dyDescent="0.3">
      <c r="A9" s="5" t="s">
        <v>1448</v>
      </c>
      <c r="B9" s="6">
        <v>21755053.149999987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A456-66A3-4751-B0C9-2CC9A6E87003}">
  <dimension ref="A3:B8"/>
  <sheetViews>
    <sheetView workbookViewId="0">
      <selection activeCell="L21" sqref="L21"/>
    </sheetView>
  </sheetViews>
  <sheetFormatPr defaultRowHeight="14.4" x14ac:dyDescent="0.3"/>
  <cols>
    <col min="1" max="1" width="12.5546875" bestFit="1" customWidth="1"/>
    <col min="2" max="2" width="12" bestFit="1" customWidth="1"/>
  </cols>
  <sheetData>
    <row r="3" spans="1:2" x14ac:dyDescent="0.3">
      <c r="A3" s="4" t="s">
        <v>1447</v>
      </c>
      <c r="B3" t="s">
        <v>1473</v>
      </c>
    </row>
    <row r="4" spans="1:2" x14ac:dyDescent="0.3">
      <c r="A4" s="5" t="s">
        <v>58</v>
      </c>
      <c r="B4" s="6">
        <v>6020862.5500000007</v>
      </c>
    </row>
    <row r="5" spans="1:2" x14ac:dyDescent="0.3">
      <c r="A5" s="5" t="s">
        <v>21</v>
      </c>
      <c r="B5" s="6">
        <v>5483411.0000000028</v>
      </c>
    </row>
    <row r="6" spans="1:2" x14ac:dyDescent="0.3">
      <c r="A6" s="5" t="s">
        <v>27</v>
      </c>
      <c r="B6" s="6">
        <v>5418574.1999999974</v>
      </c>
    </row>
    <row r="7" spans="1:2" x14ac:dyDescent="0.3">
      <c r="A7" s="5" t="s">
        <v>16</v>
      </c>
      <c r="B7" s="6">
        <v>4832205.4000000022</v>
      </c>
    </row>
    <row r="8" spans="1:2" x14ac:dyDescent="0.3">
      <c r="A8" s="5" t="s">
        <v>1448</v>
      </c>
      <c r="B8" s="6">
        <v>21755053.149999987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E142-606B-48A0-81D7-E8446B3A3F6E}">
  <dimension ref="A3:B9"/>
  <sheetViews>
    <sheetView tabSelected="1" workbookViewId="0">
      <selection activeCell="F18" sqref="F18"/>
    </sheetView>
  </sheetViews>
  <sheetFormatPr defaultRowHeight="14.4" x14ac:dyDescent="0.3"/>
  <cols>
    <col min="1" max="1" width="15.109375" bestFit="1" customWidth="1"/>
    <col min="2" max="2" width="12.109375" bestFit="1" customWidth="1"/>
    <col min="3" max="3" width="12" bestFit="1" customWidth="1"/>
  </cols>
  <sheetData>
    <row r="3" spans="1:2" x14ac:dyDescent="0.3">
      <c r="A3" s="4" t="s">
        <v>1447</v>
      </c>
      <c r="B3" t="s">
        <v>1474</v>
      </c>
    </row>
    <row r="4" spans="1:2" x14ac:dyDescent="0.3">
      <c r="A4" s="5" t="s">
        <v>51</v>
      </c>
      <c r="B4" s="6">
        <v>2026286.67</v>
      </c>
    </row>
    <row r="5" spans="1:2" x14ac:dyDescent="0.3">
      <c r="A5" s="5" t="s">
        <v>26</v>
      </c>
      <c r="B5" s="6">
        <v>840663.08</v>
      </c>
    </row>
    <row r="6" spans="1:2" x14ac:dyDescent="0.3">
      <c r="A6" s="5" t="s">
        <v>15</v>
      </c>
      <c r="B6" s="6">
        <v>789464.62</v>
      </c>
    </row>
    <row r="7" spans="1:2" x14ac:dyDescent="0.3">
      <c r="A7" s="5" t="s">
        <v>44</v>
      </c>
      <c r="B7" s="6">
        <v>158711.39000000001</v>
      </c>
    </row>
    <row r="8" spans="1:2" x14ac:dyDescent="0.3">
      <c r="A8" s="5" t="s">
        <v>73</v>
      </c>
      <c r="B8" s="6">
        <v>27269.59</v>
      </c>
    </row>
    <row r="9" spans="1:2" x14ac:dyDescent="0.3">
      <c r="A9" s="5" t="s">
        <v>1448</v>
      </c>
      <c r="B9" s="6">
        <v>3842395.35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C5DE-445E-42B1-ACCD-7684C5A56F57}">
  <dimension ref="A3:B17"/>
  <sheetViews>
    <sheetView workbookViewId="0">
      <selection activeCell="C21" sqref="C21"/>
    </sheetView>
  </sheetViews>
  <sheetFormatPr defaultRowHeight="14.4" x14ac:dyDescent="0.3"/>
  <cols>
    <col min="1" max="1" width="12.5546875" bestFit="1" customWidth="1"/>
    <col min="2" max="2" width="12" bestFit="1" customWidth="1"/>
    <col min="3" max="5" width="10" bestFit="1" customWidth="1"/>
    <col min="6" max="6" width="11" bestFit="1" customWidth="1"/>
    <col min="7" max="8" width="10" bestFit="1" customWidth="1"/>
    <col min="9" max="10" width="11" bestFit="1" customWidth="1"/>
    <col min="11" max="13" width="10" bestFit="1" customWidth="1"/>
    <col min="14" max="14" width="12" bestFit="1" customWidth="1"/>
    <col min="15" max="349" width="15.5546875" bestFit="1" customWidth="1"/>
    <col min="350" max="350" width="10.77734375" bestFit="1" customWidth="1"/>
  </cols>
  <sheetData>
    <row r="3" spans="1:2" x14ac:dyDescent="0.3">
      <c r="A3" s="4" t="s">
        <v>1447</v>
      </c>
      <c r="B3" t="s">
        <v>1473</v>
      </c>
    </row>
    <row r="4" spans="1:2" x14ac:dyDescent="0.3">
      <c r="A4" s="5" t="s">
        <v>1487</v>
      </c>
      <c r="B4" s="6"/>
    </row>
    <row r="5" spans="1:2" x14ac:dyDescent="0.3">
      <c r="A5" s="12" t="s">
        <v>1475</v>
      </c>
      <c r="B5" s="6">
        <v>1009257.6000000001</v>
      </c>
    </row>
    <row r="6" spans="1:2" x14ac:dyDescent="0.3">
      <c r="A6" s="12" t="s">
        <v>1476</v>
      </c>
      <c r="B6" s="6">
        <v>1871145.5999999996</v>
      </c>
    </row>
    <row r="7" spans="1:2" x14ac:dyDescent="0.3">
      <c r="A7" s="12" t="s">
        <v>1477</v>
      </c>
      <c r="B7" s="6">
        <v>2098431.6</v>
      </c>
    </row>
    <row r="8" spans="1:2" x14ac:dyDescent="0.3">
      <c r="A8" s="12" t="s">
        <v>1478</v>
      </c>
      <c r="B8" s="6">
        <v>1948579.6999999995</v>
      </c>
    </row>
    <row r="9" spans="1:2" x14ac:dyDescent="0.3">
      <c r="A9" s="12" t="s">
        <v>1479</v>
      </c>
      <c r="B9" s="6">
        <v>2801578.9499999997</v>
      </c>
    </row>
    <row r="10" spans="1:2" x14ac:dyDescent="0.3">
      <c r="A10" s="12" t="s">
        <v>1480</v>
      </c>
      <c r="B10" s="6">
        <v>1632784.4000000001</v>
      </c>
    </row>
    <row r="11" spans="1:2" x14ac:dyDescent="0.3">
      <c r="A11" s="12" t="s">
        <v>1481</v>
      </c>
      <c r="B11" s="6">
        <v>1983762.5999999996</v>
      </c>
    </row>
    <row r="12" spans="1:2" x14ac:dyDescent="0.3">
      <c r="A12" s="12" t="s">
        <v>1482</v>
      </c>
      <c r="B12" s="6">
        <v>1596307.8499999992</v>
      </c>
    </row>
    <row r="13" spans="1:2" x14ac:dyDescent="0.3">
      <c r="A13" s="12" t="s">
        <v>1483</v>
      </c>
      <c r="B13" s="6">
        <v>2222953.75</v>
      </c>
    </row>
    <row r="14" spans="1:2" x14ac:dyDescent="0.3">
      <c r="A14" s="12" t="s">
        <v>1484</v>
      </c>
      <c r="B14" s="6">
        <v>1244483.8000000003</v>
      </c>
    </row>
    <row r="15" spans="1:2" x14ac:dyDescent="0.3">
      <c r="A15" s="12" t="s">
        <v>1485</v>
      </c>
      <c r="B15" s="6">
        <v>1589828.7000000004</v>
      </c>
    </row>
    <row r="16" spans="1:2" x14ac:dyDescent="0.3">
      <c r="A16" s="12" t="s">
        <v>1486</v>
      </c>
      <c r="B16" s="6">
        <v>1755938.6000000003</v>
      </c>
    </row>
    <row r="17" spans="1:2" x14ac:dyDescent="0.3">
      <c r="A17" s="5" t="s">
        <v>1448</v>
      </c>
      <c r="B17" s="6">
        <v>21755053.149999987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ACDC-E112-4D08-BA18-5D553C539E2B}">
  <dimension ref="A3:B14"/>
  <sheetViews>
    <sheetView workbookViewId="0">
      <selection activeCell="F25" sqref="F25"/>
    </sheetView>
  </sheetViews>
  <sheetFormatPr defaultRowHeight="14.4" x14ac:dyDescent="0.3"/>
  <cols>
    <col min="1" max="1" width="12.5546875" bestFit="1" customWidth="1"/>
    <col min="2" max="2" width="12" bestFit="1" customWidth="1"/>
  </cols>
  <sheetData>
    <row r="3" spans="1:2" x14ac:dyDescent="0.3">
      <c r="A3" s="4" t="s">
        <v>1447</v>
      </c>
      <c r="B3" t="s">
        <v>1473</v>
      </c>
    </row>
    <row r="4" spans="1:2" x14ac:dyDescent="0.3">
      <c r="A4" s="5" t="s">
        <v>80</v>
      </c>
      <c r="B4" s="6">
        <v>8331554.8999999994</v>
      </c>
    </row>
    <row r="5" spans="1:2" x14ac:dyDescent="0.3">
      <c r="A5" s="5" t="s">
        <v>47</v>
      </c>
      <c r="B5" s="6">
        <v>2542349.0499999998</v>
      </c>
    </row>
    <row r="6" spans="1:2" x14ac:dyDescent="0.3">
      <c r="A6" s="5" t="s">
        <v>92</v>
      </c>
      <c r="B6" s="6">
        <v>2203194.4499999997</v>
      </c>
    </row>
    <row r="7" spans="1:2" x14ac:dyDescent="0.3">
      <c r="A7" s="5" t="s">
        <v>34</v>
      </c>
      <c r="B7" s="6">
        <v>1484218.8</v>
      </c>
    </row>
    <row r="8" spans="1:2" x14ac:dyDescent="0.3">
      <c r="A8" s="5" t="s">
        <v>25</v>
      </c>
      <c r="B8" s="6">
        <v>1295531.9999999998</v>
      </c>
    </row>
    <row r="9" spans="1:2" x14ac:dyDescent="0.3">
      <c r="A9" s="5" t="s">
        <v>20</v>
      </c>
      <c r="B9" s="6">
        <v>1170482.05</v>
      </c>
    </row>
    <row r="10" spans="1:2" x14ac:dyDescent="0.3">
      <c r="A10" s="5" t="s">
        <v>30</v>
      </c>
      <c r="B10" s="6">
        <v>964107.49999999977</v>
      </c>
    </row>
    <row r="11" spans="1:2" x14ac:dyDescent="0.3">
      <c r="A11" s="5" t="s">
        <v>14</v>
      </c>
      <c r="B11" s="6">
        <v>829412.85000000009</v>
      </c>
    </row>
    <row r="12" spans="1:2" x14ac:dyDescent="0.3">
      <c r="A12" s="5" t="s">
        <v>153</v>
      </c>
      <c r="B12" s="6">
        <v>597762.25</v>
      </c>
    </row>
    <row r="13" spans="1:2" x14ac:dyDescent="0.3">
      <c r="A13" s="5" t="s">
        <v>103</v>
      </c>
      <c r="B13" s="6">
        <v>534309.6</v>
      </c>
    </row>
    <row r="14" spans="1:2" x14ac:dyDescent="0.3">
      <c r="A14" s="5" t="s">
        <v>1448</v>
      </c>
      <c r="B14" s="6">
        <v>19952923.449999988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588E-EBE0-4CF9-9E7B-43FB3EF3D728}">
  <dimension ref="A3:C10"/>
  <sheetViews>
    <sheetView workbookViewId="0">
      <selection activeCell="D23" sqref="D23"/>
    </sheetView>
  </sheetViews>
  <sheetFormatPr defaultRowHeight="14.4" x14ac:dyDescent="0.3"/>
  <cols>
    <col min="1" max="1" width="12.5546875" bestFit="1" customWidth="1"/>
    <col min="2" max="2" width="12.109375" bestFit="1" customWidth="1"/>
    <col min="3" max="3" width="12" bestFit="1" customWidth="1"/>
  </cols>
  <sheetData>
    <row r="3" spans="1:3" x14ac:dyDescent="0.3">
      <c r="A3" s="4" t="s">
        <v>1447</v>
      </c>
      <c r="B3" t="s">
        <v>1474</v>
      </c>
      <c r="C3" t="s">
        <v>1473</v>
      </c>
    </row>
    <row r="4" spans="1:3" x14ac:dyDescent="0.3">
      <c r="A4" s="5">
        <v>0</v>
      </c>
      <c r="B4" s="6">
        <v>968007.67</v>
      </c>
      <c r="C4" s="6">
        <v>5368148</v>
      </c>
    </row>
    <row r="5" spans="1:3" x14ac:dyDescent="0.3">
      <c r="A5" s="5">
        <v>0.05</v>
      </c>
      <c r="B5" s="6">
        <v>979727.86</v>
      </c>
      <c r="C5" s="6">
        <v>5558703.6500000004</v>
      </c>
    </row>
    <row r="6" spans="1:3" x14ac:dyDescent="0.3">
      <c r="A6" s="5">
        <v>0.1</v>
      </c>
      <c r="B6" s="6">
        <v>799810.12</v>
      </c>
      <c r="C6" s="6">
        <v>4718567.6999999983</v>
      </c>
    </row>
    <row r="7" spans="1:3" x14ac:dyDescent="0.3">
      <c r="A7" s="5">
        <v>0.15</v>
      </c>
      <c r="B7" s="6">
        <v>807009.32</v>
      </c>
      <c r="C7" s="6">
        <v>4527954.25</v>
      </c>
    </row>
    <row r="8" spans="1:3" x14ac:dyDescent="0.3">
      <c r="A8" s="5">
        <v>0.2</v>
      </c>
      <c r="B8" s="6">
        <v>266220.96000000002</v>
      </c>
      <c r="C8" s="6">
        <v>1456476.7999999996</v>
      </c>
    </row>
    <row r="9" spans="1:3" x14ac:dyDescent="0.3">
      <c r="A9" s="5">
        <v>0.25</v>
      </c>
      <c r="B9" s="6">
        <v>21619.42</v>
      </c>
      <c r="C9" s="6">
        <v>125202.75</v>
      </c>
    </row>
    <row r="10" spans="1:3" x14ac:dyDescent="0.3">
      <c r="A10" s="5" t="s">
        <v>1448</v>
      </c>
      <c r="B10" s="6">
        <v>3842395.35</v>
      </c>
      <c r="C10" s="6">
        <v>21755053.149999987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93F7-7838-4E21-B2D3-43CA64606E50}">
  <dimension ref="A1:M75"/>
  <sheetViews>
    <sheetView topLeftCell="A23" workbookViewId="0">
      <selection activeCell="I64" sqref="I64"/>
    </sheetView>
  </sheetViews>
  <sheetFormatPr defaultRowHeight="14.4" x14ac:dyDescent="0.3"/>
  <cols>
    <col min="1" max="1" width="36.21875" customWidth="1"/>
    <col min="3" max="3" width="17.5546875" customWidth="1"/>
    <col min="5" max="5" width="15.109375" customWidth="1"/>
    <col min="7" max="7" width="19.5546875" customWidth="1"/>
    <col min="9" max="9" width="30.33203125" customWidth="1"/>
  </cols>
  <sheetData>
    <row r="1" spans="1:13" ht="28.8" x14ac:dyDescent="0.55000000000000004">
      <c r="A1" s="18" t="s">
        <v>1488</v>
      </c>
      <c r="B1" s="18"/>
      <c r="C1" s="18"/>
      <c r="D1" s="18"/>
      <c r="E1" s="18"/>
      <c r="F1" s="18"/>
      <c r="G1" s="18"/>
      <c r="H1" s="18"/>
      <c r="I1" s="18"/>
      <c r="J1" s="13"/>
      <c r="K1" s="13"/>
      <c r="L1" s="13"/>
      <c r="M1" s="13"/>
    </row>
    <row r="2" spans="1:13" ht="15.6" x14ac:dyDescent="0.3">
      <c r="A2" s="19" t="s">
        <v>1489</v>
      </c>
      <c r="B2" s="19"/>
      <c r="C2" s="19"/>
      <c r="D2" s="19"/>
      <c r="E2" s="19"/>
      <c r="F2" s="19"/>
      <c r="G2" s="19"/>
      <c r="H2" s="19"/>
      <c r="I2" s="19"/>
      <c r="J2" s="13"/>
      <c r="K2" s="13"/>
      <c r="L2" s="13"/>
      <c r="M2" s="13"/>
    </row>
    <row r="3" spans="1:13" x14ac:dyDescent="0.3">
      <c r="A3" s="17"/>
      <c r="B3" s="17"/>
      <c r="C3" s="17"/>
      <c r="D3" s="17"/>
      <c r="E3" s="17"/>
      <c r="F3" s="17"/>
      <c r="G3" s="17"/>
      <c r="H3" s="17"/>
      <c r="I3" s="17"/>
      <c r="J3" s="13"/>
      <c r="K3" s="13"/>
      <c r="L3" s="13"/>
      <c r="M3" s="13"/>
    </row>
    <row r="4" spans="1:13" ht="18" x14ac:dyDescent="0.35">
      <c r="A4" s="14" t="s">
        <v>1490</v>
      </c>
      <c r="B4" s="14"/>
      <c r="C4" s="14" t="s">
        <v>1491</v>
      </c>
      <c r="D4" s="14"/>
      <c r="E4" s="14" t="s">
        <v>1492</v>
      </c>
      <c r="F4" s="14"/>
      <c r="G4" s="14" t="s">
        <v>1493</v>
      </c>
      <c r="H4" s="14"/>
      <c r="I4" s="14" t="s">
        <v>1494</v>
      </c>
      <c r="J4" s="13"/>
      <c r="K4" s="13"/>
      <c r="L4" s="13"/>
      <c r="M4" s="13"/>
    </row>
    <row r="5" spans="1:13" ht="18" x14ac:dyDescent="0.35">
      <c r="A5" s="14">
        <f>Analysis!B2</f>
        <v>21755053.149999987</v>
      </c>
      <c r="B5" s="14"/>
      <c r="C5" s="14">
        <f>Analysis!B3</f>
        <v>3842395.3499999968</v>
      </c>
      <c r="D5" s="14"/>
      <c r="E5" s="14">
        <f>Analysis!B5</f>
        <v>1200</v>
      </c>
      <c r="F5" s="14"/>
      <c r="G5" s="15">
        <f>Analysis!B6</f>
        <v>0.17662082108036584</v>
      </c>
      <c r="H5" s="14"/>
      <c r="I5" s="16">
        <f>Analysis!B7</f>
        <v>18129.210958333322</v>
      </c>
      <c r="J5" s="13"/>
      <c r="K5" s="13"/>
      <c r="L5" s="13"/>
      <c r="M5" s="13"/>
    </row>
    <row r="6" spans="1:13" x14ac:dyDescent="0.3">
      <c r="A6" s="17"/>
      <c r="B6" s="17"/>
      <c r="C6" s="17"/>
      <c r="D6" s="17"/>
      <c r="E6" s="17"/>
      <c r="F6" s="17"/>
      <c r="G6" s="17"/>
      <c r="H6" s="17"/>
      <c r="I6" s="17"/>
      <c r="J6" s="13"/>
      <c r="K6" s="13"/>
      <c r="L6" s="13"/>
      <c r="M6" s="13"/>
    </row>
    <row r="7" spans="1:13" x14ac:dyDescent="0.3">
      <c r="A7" s="17"/>
      <c r="B7" s="17"/>
      <c r="C7" s="17"/>
      <c r="D7" s="17"/>
      <c r="E7" s="17"/>
      <c r="F7" s="17"/>
      <c r="G7" s="17"/>
      <c r="H7" s="17"/>
      <c r="I7" s="17"/>
      <c r="J7" s="13"/>
      <c r="K7" s="13"/>
      <c r="L7" s="13"/>
      <c r="M7" s="13"/>
    </row>
    <row r="8" spans="1:13" x14ac:dyDescent="0.3">
      <c r="A8" s="17"/>
      <c r="B8" s="17"/>
      <c r="C8" s="17"/>
      <c r="D8" s="17"/>
      <c r="E8" s="17"/>
      <c r="F8" s="17"/>
      <c r="G8" s="17"/>
      <c r="H8" s="17"/>
      <c r="I8" s="17"/>
      <c r="J8" s="13"/>
      <c r="K8" s="13"/>
      <c r="L8" s="13"/>
      <c r="M8" s="13"/>
    </row>
    <row r="9" spans="1:13" x14ac:dyDescent="0.3">
      <c r="A9" s="17"/>
      <c r="B9" s="17"/>
      <c r="C9" s="17"/>
      <c r="D9" s="17"/>
      <c r="E9" s="17"/>
      <c r="F9" s="17"/>
      <c r="G9" s="17"/>
      <c r="H9" s="17"/>
      <c r="I9" s="17"/>
      <c r="J9" s="13"/>
      <c r="K9" s="13"/>
      <c r="L9" s="13"/>
      <c r="M9" s="13"/>
    </row>
    <row r="10" spans="1:13" x14ac:dyDescent="0.3">
      <c r="A10" s="17"/>
      <c r="B10" s="17"/>
      <c r="C10" s="17"/>
      <c r="D10" s="17"/>
      <c r="E10" s="17"/>
      <c r="F10" s="17"/>
      <c r="G10" s="17"/>
      <c r="H10" s="17"/>
      <c r="I10" s="17"/>
      <c r="J10" s="13"/>
      <c r="K10" s="13"/>
      <c r="L10" s="13"/>
      <c r="M10" s="13"/>
    </row>
    <row r="11" spans="1:13" x14ac:dyDescent="0.3">
      <c r="A11" s="17"/>
      <c r="B11" s="17"/>
      <c r="C11" s="17"/>
      <c r="D11" s="17"/>
      <c r="E11" s="17"/>
      <c r="F11" s="17"/>
      <c r="G11" s="17"/>
      <c r="H11" s="17"/>
      <c r="I11" s="17"/>
      <c r="J11" s="13"/>
      <c r="K11" s="13"/>
      <c r="L11" s="13"/>
      <c r="M11" s="13"/>
    </row>
    <row r="12" spans="1:13" x14ac:dyDescent="0.3">
      <c r="A12" s="17"/>
      <c r="B12" s="17"/>
      <c r="C12" s="17"/>
      <c r="D12" s="17"/>
      <c r="E12" s="17"/>
      <c r="F12" s="17"/>
      <c r="G12" s="17"/>
      <c r="H12" s="17"/>
      <c r="I12" s="17"/>
      <c r="J12" s="13"/>
      <c r="K12" s="13"/>
      <c r="L12" s="13"/>
      <c r="M12" s="13"/>
    </row>
    <row r="13" spans="1:13" x14ac:dyDescent="0.3">
      <c r="A13" s="17"/>
      <c r="B13" s="17"/>
      <c r="C13" s="17"/>
      <c r="D13" s="17"/>
      <c r="E13" s="17"/>
      <c r="F13" s="17"/>
      <c r="G13" s="17"/>
      <c r="H13" s="17"/>
      <c r="I13" s="17"/>
      <c r="J13" s="13"/>
      <c r="K13" s="13"/>
      <c r="L13" s="13"/>
      <c r="M13" s="13"/>
    </row>
    <row r="14" spans="1:13" x14ac:dyDescent="0.3">
      <c r="A14" s="17"/>
      <c r="B14" s="17"/>
      <c r="C14" s="17"/>
      <c r="D14" s="17"/>
      <c r="E14" s="17"/>
      <c r="F14" s="17"/>
      <c r="G14" s="17"/>
      <c r="H14" s="17"/>
      <c r="I14" s="17"/>
      <c r="J14" s="13"/>
      <c r="K14" s="13"/>
      <c r="L14" s="13"/>
      <c r="M14" s="13"/>
    </row>
    <row r="15" spans="1:13" x14ac:dyDescent="0.3">
      <c r="A15" s="17"/>
      <c r="B15" s="17"/>
      <c r="C15" s="17"/>
      <c r="D15" s="17"/>
      <c r="E15" s="17"/>
      <c r="F15" s="17"/>
      <c r="G15" s="17"/>
      <c r="H15" s="17"/>
      <c r="I15" s="17"/>
      <c r="J15" s="13"/>
      <c r="K15" s="13"/>
      <c r="L15" s="13"/>
      <c r="M15" s="13"/>
    </row>
    <row r="16" spans="1:13" x14ac:dyDescent="0.3">
      <c r="A16" s="17"/>
      <c r="B16" s="17"/>
      <c r="C16" s="17"/>
      <c r="D16" s="17"/>
      <c r="E16" s="17"/>
      <c r="F16" s="17"/>
      <c r="G16" s="17"/>
      <c r="H16" s="17"/>
      <c r="I16" s="17"/>
      <c r="J16" s="13"/>
      <c r="K16" s="13"/>
      <c r="L16" s="13"/>
      <c r="M16" s="13"/>
    </row>
    <row r="17" spans="1:13" x14ac:dyDescent="0.3">
      <c r="A17" s="17"/>
      <c r="B17" s="17"/>
      <c r="C17" s="17"/>
      <c r="D17" s="17"/>
      <c r="E17" s="17"/>
      <c r="F17" s="17"/>
      <c r="G17" s="17"/>
      <c r="H17" s="17"/>
      <c r="I17" s="17"/>
      <c r="J17" s="13"/>
      <c r="K17" s="13"/>
      <c r="L17" s="13"/>
      <c r="M17" s="13"/>
    </row>
    <row r="18" spans="1:13" x14ac:dyDescent="0.3">
      <c r="A18" s="17"/>
      <c r="B18" s="17"/>
      <c r="C18" s="17"/>
      <c r="D18" s="17"/>
      <c r="E18" s="17"/>
      <c r="F18" s="17"/>
      <c r="G18" s="17"/>
      <c r="H18" s="17"/>
      <c r="I18" s="17"/>
      <c r="J18" s="13"/>
      <c r="K18" s="13"/>
      <c r="L18" s="13"/>
      <c r="M18" s="13"/>
    </row>
    <row r="19" spans="1:13" x14ac:dyDescent="0.3">
      <c r="A19" s="17"/>
      <c r="B19" s="17"/>
      <c r="C19" s="17"/>
      <c r="D19" s="17"/>
      <c r="E19" s="17"/>
      <c r="F19" s="17"/>
      <c r="G19" s="17"/>
      <c r="H19" s="17"/>
      <c r="I19" s="17"/>
      <c r="J19" s="13"/>
      <c r="K19" s="13"/>
      <c r="L19" s="13"/>
      <c r="M19" s="13"/>
    </row>
    <row r="20" spans="1:13" x14ac:dyDescent="0.3">
      <c r="A20" s="17"/>
      <c r="B20" s="17"/>
      <c r="C20" s="17"/>
      <c r="D20" s="17"/>
      <c r="E20" s="17"/>
      <c r="F20" s="17"/>
      <c r="G20" s="17"/>
      <c r="H20" s="17"/>
      <c r="I20" s="17"/>
      <c r="J20" s="13"/>
      <c r="K20" s="13"/>
      <c r="L20" s="13"/>
      <c r="M20" s="13"/>
    </row>
    <row r="21" spans="1:13" x14ac:dyDescent="0.3">
      <c r="A21" s="17"/>
      <c r="B21" s="17"/>
      <c r="C21" s="17"/>
      <c r="D21" s="17"/>
      <c r="E21" s="17"/>
      <c r="F21" s="17"/>
      <c r="G21" s="17"/>
      <c r="H21" s="17"/>
      <c r="I21" s="17"/>
      <c r="J21" s="13"/>
      <c r="K21" s="13"/>
      <c r="L21" s="13"/>
      <c r="M21" s="13"/>
    </row>
    <row r="22" spans="1:13" x14ac:dyDescent="0.3">
      <c r="A22" s="17"/>
      <c r="B22" s="17"/>
      <c r="C22" s="17"/>
      <c r="D22" s="17"/>
      <c r="E22" s="17"/>
      <c r="F22" s="17"/>
      <c r="G22" s="17"/>
      <c r="H22" s="17"/>
      <c r="I22" s="17"/>
      <c r="J22" s="13"/>
      <c r="K22" s="13"/>
      <c r="L22" s="13"/>
      <c r="M22" s="13"/>
    </row>
    <row r="23" spans="1:13" x14ac:dyDescent="0.3">
      <c r="A23" s="17"/>
      <c r="B23" s="17"/>
      <c r="C23" s="17"/>
      <c r="D23" s="17"/>
      <c r="E23" s="17"/>
      <c r="F23" s="17"/>
      <c r="G23" s="17"/>
      <c r="H23" s="17"/>
      <c r="I23" s="17"/>
      <c r="J23" s="13"/>
      <c r="K23" s="13"/>
      <c r="L23" s="13"/>
      <c r="M23" s="13"/>
    </row>
    <row r="24" spans="1:13" x14ac:dyDescent="0.3">
      <c r="A24" s="17"/>
      <c r="B24" s="17"/>
      <c r="C24" s="17"/>
      <c r="D24" s="17"/>
      <c r="E24" s="17"/>
      <c r="F24" s="17"/>
      <c r="G24" s="17"/>
      <c r="H24" s="17"/>
      <c r="I24" s="17"/>
      <c r="J24" s="13"/>
      <c r="K24" s="13"/>
      <c r="L24" s="13"/>
      <c r="M24" s="13"/>
    </row>
    <row r="25" spans="1:13" x14ac:dyDescent="0.3">
      <c r="A25" s="17"/>
      <c r="B25" s="17"/>
      <c r="C25" s="17"/>
      <c r="D25" s="17"/>
      <c r="E25" s="17"/>
      <c r="F25" s="17"/>
      <c r="G25" s="17"/>
      <c r="H25" s="17"/>
      <c r="I25" s="17"/>
      <c r="J25" s="13"/>
      <c r="K25" s="13"/>
      <c r="L25" s="13"/>
      <c r="M25" s="13"/>
    </row>
    <row r="26" spans="1:13" x14ac:dyDescent="0.3">
      <c r="A26" s="17"/>
      <c r="B26" s="17"/>
      <c r="C26" s="17"/>
      <c r="D26" s="17"/>
      <c r="E26" s="17"/>
      <c r="F26" s="17"/>
      <c r="G26" s="17"/>
      <c r="H26" s="17"/>
      <c r="I26" s="17"/>
      <c r="J26" s="13"/>
      <c r="K26" s="13"/>
      <c r="L26" s="13"/>
      <c r="M26" s="13"/>
    </row>
    <row r="27" spans="1:13" x14ac:dyDescent="0.3">
      <c r="A27" s="17"/>
      <c r="B27" s="17"/>
      <c r="C27" s="17"/>
      <c r="D27" s="17"/>
      <c r="E27" s="17"/>
      <c r="F27" s="17"/>
      <c r="G27" s="17"/>
      <c r="H27" s="17"/>
      <c r="I27" s="17"/>
      <c r="J27" s="13"/>
      <c r="K27" s="13"/>
      <c r="L27" s="13"/>
      <c r="M27" s="13"/>
    </row>
    <row r="28" spans="1:13" x14ac:dyDescent="0.3">
      <c r="A28" s="17"/>
      <c r="B28" s="17"/>
      <c r="C28" s="17"/>
      <c r="D28" s="17"/>
      <c r="E28" s="17"/>
      <c r="F28" s="17"/>
      <c r="G28" s="17"/>
      <c r="H28" s="17"/>
      <c r="I28" s="17"/>
      <c r="J28" s="13"/>
      <c r="K28" s="13"/>
      <c r="L28" s="13"/>
      <c r="M28" s="13"/>
    </row>
    <row r="29" spans="1:13" x14ac:dyDescent="0.3">
      <c r="A29" s="17"/>
      <c r="B29" s="17"/>
      <c r="C29" s="17"/>
      <c r="D29" s="17"/>
      <c r="E29" s="17"/>
      <c r="F29" s="17"/>
      <c r="G29" s="17"/>
      <c r="H29" s="17"/>
      <c r="I29" s="17"/>
      <c r="J29" s="13"/>
      <c r="K29" s="13"/>
      <c r="L29" s="13"/>
      <c r="M29" s="13"/>
    </row>
    <row r="30" spans="1:13" x14ac:dyDescent="0.3">
      <c r="A30" s="17"/>
      <c r="B30" s="17"/>
      <c r="C30" s="17"/>
      <c r="D30" s="17"/>
      <c r="E30" s="17"/>
      <c r="F30" s="17"/>
      <c r="G30" s="17"/>
      <c r="H30" s="17"/>
      <c r="I30" s="17"/>
      <c r="J30" s="13"/>
      <c r="K30" s="13"/>
      <c r="L30" s="13"/>
      <c r="M30" s="13"/>
    </row>
    <row r="31" spans="1:13" x14ac:dyDescent="0.3">
      <c r="A31" s="17"/>
      <c r="B31" s="17"/>
      <c r="C31" s="17"/>
      <c r="D31" s="17"/>
      <c r="E31" s="17"/>
      <c r="F31" s="17"/>
      <c r="G31" s="17"/>
      <c r="H31" s="17"/>
      <c r="I31" s="17"/>
      <c r="J31" s="13"/>
      <c r="K31" s="13"/>
      <c r="L31" s="13"/>
      <c r="M31" s="13"/>
    </row>
    <row r="32" spans="1:13" x14ac:dyDescent="0.3">
      <c r="A32" s="17"/>
      <c r="B32" s="17"/>
      <c r="C32" s="17"/>
      <c r="D32" s="17"/>
      <c r="E32" s="17"/>
      <c r="F32" s="17"/>
      <c r="G32" s="17"/>
      <c r="H32" s="17"/>
      <c r="I32" s="17"/>
      <c r="J32" s="13"/>
      <c r="K32" s="13"/>
      <c r="L32" s="13"/>
      <c r="M32" s="13"/>
    </row>
    <row r="33" spans="1:13" x14ac:dyDescent="0.3">
      <c r="A33" s="17"/>
      <c r="B33" s="17"/>
      <c r="C33" s="17"/>
      <c r="D33" s="17"/>
      <c r="E33" s="17"/>
      <c r="F33" s="17"/>
      <c r="G33" s="17"/>
      <c r="H33" s="17"/>
      <c r="I33" s="17"/>
      <c r="J33" s="13"/>
      <c r="K33" s="13"/>
      <c r="L33" s="13"/>
      <c r="M33" s="13"/>
    </row>
    <row r="34" spans="1:13" x14ac:dyDescent="0.3">
      <c r="A34" s="17"/>
      <c r="B34" s="17"/>
      <c r="C34" s="17"/>
      <c r="D34" s="17"/>
      <c r="E34" s="17"/>
      <c r="F34" s="17"/>
      <c r="G34" s="17"/>
      <c r="H34" s="17"/>
      <c r="I34" s="17"/>
      <c r="J34" s="13"/>
      <c r="K34" s="13"/>
      <c r="L34" s="13"/>
      <c r="M34" s="13"/>
    </row>
    <row r="35" spans="1:13" x14ac:dyDescent="0.3">
      <c r="A35" s="17"/>
      <c r="B35" s="17"/>
      <c r="C35" s="17"/>
      <c r="D35" s="17"/>
      <c r="E35" s="17"/>
      <c r="F35" s="17"/>
      <c r="G35" s="17"/>
      <c r="H35" s="17"/>
      <c r="I35" s="17"/>
      <c r="J35" s="13"/>
      <c r="K35" s="13"/>
      <c r="L35" s="13"/>
      <c r="M35" s="13"/>
    </row>
    <row r="36" spans="1:13" x14ac:dyDescent="0.3">
      <c r="A36" s="17"/>
      <c r="B36" s="17"/>
      <c r="C36" s="17"/>
      <c r="D36" s="17"/>
      <c r="E36" s="17"/>
      <c r="F36" s="17"/>
      <c r="G36" s="17"/>
      <c r="H36" s="17"/>
      <c r="I36" s="17"/>
      <c r="J36" s="13"/>
      <c r="K36" s="13"/>
      <c r="L36" s="13"/>
      <c r="M36" s="13"/>
    </row>
    <row r="37" spans="1:13" x14ac:dyDescent="0.3">
      <c r="A37" s="17"/>
      <c r="B37" s="17"/>
      <c r="C37" s="17"/>
      <c r="D37" s="17"/>
      <c r="E37" s="17"/>
      <c r="F37" s="17"/>
      <c r="G37" s="17"/>
      <c r="H37" s="17"/>
      <c r="I37" s="17"/>
      <c r="J37" s="13"/>
      <c r="K37" s="13"/>
      <c r="L37" s="13"/>
      <c r="M37" s="13"/>
    </row>
    <row r="38" spans="1:13" x14ac:dyDescent="0.3">
      <c r="A38" s="17"/>
      <c r="B38" s="17"/>
      <c r="C38" s="17"/>
      <c r="D38" s="17"/>
      <c r="E38" s="17"/>
      <c r="F38" s="17"/>
      <c r="G38" s="17"/>
      <c r="H38" s="17"/>
      <c r="I38" s="17"/>
      <c r="J38" s="13"/>
      <c r="K38" s="13"/>
      <c r="L38" s="13"/>
      <c r="M38" s="13"/>
    </row>
    <row r="39" spans="1:13" x14ac:dyDescent="0.3">
      <c r="A39" s="17"/>
      <c r="B39" s="17"/>
      <c r="C39" s="17"/>
      <c r="D39" s="17"/>
      <c r="E39" s="17"/>
      <c r="F39" s="17"/>
      <c r="G39" s="17"/>
      <c r="H39" s="17"/>
      <c r="I39" s="17"/>
      <c r="J39" s="13"/>
      <c r="K39" s="13"/>
      <c r="L39" s="13"/>
      <c r="M39" s="13"/>
    </row>
    <row r="40" spans="1:13" x14ac:dyDescent="0.3">
      <c r="A40" s="17"/>
      <c r="B40" s="17"/>
      <c r="C40" s="17"/>
      <c r="D40" s="17"/>
      <c r="E40" s="17"/>
      <c r="F40" s="17"/>
      <c r="G40" s="17"/>
      <c r="H40" s="17"/>
      <c r="I40" s="17"/>
      <c r="J40" s="13"/>
      <c r="K40" s="13"/>
      <c r="L40" s="13"/>
      <c r="M40" s="13"/>
    </row>
    <row r="41" spans="1:13" x14ac:dyDescent="0.3">
      <c r="A41" s="17"/>
      <c r="B41" s="17"/>
      <c r="C41" s="17"/>
      <c r="D41" s="17"/>
      <c r="E41" s="17"/>
      <c r="F41" s="17"/>
      <c r="G41" s="17"/>
      <c r="H41" s="17"/>
      <c r="I41" s="17"/>
      <c r="J41" s="13"/>
      <c r="K41" s="13"/>
      <c r="L41" s="13"/>
      <c r="M41" s="13"/>
    </row>
    <row r="42" spans="1:13" x14ac:dyDescent="0.3">
      <c r="A42" s="17"/>
      <c r="B42" s="17"/>
      <c r="C42" s="17"/>
      <c r="D42" s="17"/>
      <c r="E42" s="17"/>
      <c r="F42" s="17"/>
      <c r="G42" s="17"/>
      <c r="H42" s="17"/>
      <c r="I42" s="17"/>
      <c r="J42" s="13"/>
      <c r="K42" s="13"/>
      <c r="L42" s="13"/>
      <c r="M42" s="13"/>
    </row>
    <row r="43" spans="1:13" x14ac:dyDescent="0.3">
      <c r="A43" s="17"/>
      <c r="B43" s="17"/>
      <c r="C43" s="17"/>
      <c r="D43" s="17"/>
      <c r="E43" s="17"/>
      <c r="F43" s="17"/>
      <c r="G43" s="17"/>
      <c r="H43" s="17"/>
      <c r="I43" s="17"/>
      <c r="J43" s="13"/>
      <c r="K43" s="13"/>
      <c r="L43" s="13"/>
      <c r="M43" s="13"/>
    </row>
    <row r="44" spans="1:13" x14ac:dyDescent="0.3">
      <c r="A44" s="17"/>
      <c r="B44" s="17"/>
      <c r="C44" s="17"/>
      <c r="D44" s="17"/>
      <c r="E44" s="17"/>
      <c r="F44" s="17"/>
      <c r="G44" s="17"/>
      <c r="H44" s="17"/>
      <c r="I44" s="17"/>
      <c r="J44" s="13"/>
      <c r="K44" s="13"/>
      <c r="L44" s="13"/>
      <c r="M44" s="13"/>
    </row>
    <row r="45" spans="1:13" x14ac:dyDescent="0.3">
      <c r="A45" s="17"/>
      <c r="B45" s="17"/>
      <c r="C45" s="17"/>
      <c r="D45" s="17"/>
      <c r="E45" s="17"/>
      <c r="F45" s="17"/>
      <c r="G45" s="17"/>
      <c r="H45" s="17"/>
      <c r="I45" s="17"/>
      <c r="J45" s="13"/>
      <c r="K45" s="13"/>
      <c r="L45" s="13"/>
      <c r="M45" s="13"/>
    </row>
    <row r="46" spans="1:13" x14ac:dyDescent="0.3">
      <c r="A46" s="17"/>
      <c r="B46" s="17"/>
      <c r="C46" s="17"/>
      <c r="D46" s="17"/>
      <c r="E46" s="17"/>
      <c r="F46" s="17"/>
      <c r="G46" s="17"/>
      <c r="H46" s="17"/>
      <c r="I46" s="17"/>
      <c r="J46" s="13"/>
      <c r="K46" s="13"/>
      <c r="L46" s="13"/>
      <c r="M46" s="13"/>
    </row>
    <row r="47" spans="1:13" x14ac:dyDescent="0.3">
      <c r="A47" s="17"/>
      <c r="B47" s="17"/>
      <c r="C47" s="17"/>
      <c r="D47" s="17"/>
      <c r="E47" s="17"/>
      <c r="F47" s="17"/>
      <c r="G47" s="17"/>
      <c r="H47" s="17"/>
      <c r="I47" s="17"/>
      <c r="J47" s="13"/>
      <c r="K47" s="13"/>
      <c r="L47" s="13"/>
      <c r="M47" s="13"/>
    </row>
    <row r="48" spans="1:13" x14ac:dyDescent="0.3">
      <c r="A48" s="17"/>
      <c r="B48" s="17"/>
      <c r="C48" s="17"/>
      <c r="D48" s="17"/>
      <c r="E48" s="17"/>
      <c r="F48" s="17"/>
      <c r="G48" s="17"/>
      <c r="H48" s="17"/>
      <c r="I48" s="17"/>
      <c r="J48" s="13"/>
      <c r="K48" s="13"/>
      <c r="L48" s="13"/>
      <c r="M48" s="13"/>
    </row>
    <row r="49" spans="1:13" x14ac:dyDescent="0.3">
      <c r="A49" s="17"/>
      <c r="B49" s="17"/>
      <c r="C49" s="17"/>
      <c r="D49" s="17"/>
      <c r="E49" s="17"/>
      <c r="F49" s="17"/>
      <c r="G49" s="17"/>
      <c r="H49" s="17"/>
      <c r="I49" s="17"/>
      <c r="J49" s="13"/>
      <c r="K49" s="13"/>
      <c r="L49" s="13"/>
      <c r="M49" s="13"/>
    </row>
    <row r="50" spans="1:13" x14ac:dyDescent="0.3">
      <c r="A50" s="17"/>
      <c r="B50" s="17"/>
      <c r="C50" s="17"/>
      <c r="D50" s="17"/>
      <c r="E50" s="17"/>
      <c r="F50" s="17"/>
      <c r="G50" s="17"/>
      <c r="H50" s="17"/>
      <c r="I50" s="17"/>
      <c r="J50" s="13"/>
      <c r="K50" s="13"/>
      <c r="L50" s="13"/>
      <c r="M50" s="13"/>
    </row>
    <row r="51" spans="1:13" x14ac:dyDescent="0.3">
      <c r="A51" s="17"/>
      <c r="B51" s="17"/>
      <c r="C51" s="17"/>
      <c r="D51" s="17"/>
      <c r="E51" s="17"/>
      <c r="F51" s="17"/>
      <c r="G51" s="17"/>
      <c r="H51" s="17"/>
      <c r="I51" s="17"/>
      <c r="J51" s="13"/>
      <c r="K51" s="13"/>
      <c r="L51" s="13"/>
      <c r="M51" s="13"/>
    </row>
    <row r="52" spans="1:13" x14ac:dyDescent="0.3">
      <c r="A52" s="17"/>
      <c r="B52" s="17"/>
      <c r="C52" s="17"/>
      <c r="D52" s="17"/>
      <c r="E52" s="17"/>
      <c r="F52" s="17"/>
      <c r="G52" s="17"/>
      <c r="H52" s="17"/>
      <c r="I52" s="17"/>
      <c r="J52" s="13"/>
      <c r="K52" s="13"/>
      <c r="L52" s="13"/>
      <c r="M52" s="13"/>
    </row>
    <row r="53" spans="1:13" x14ac:dyDescent="0.3">
      <c r="A53" s="17"/>
      <c r="B53" s="17"/>
      <c r="C53" s="17"/>
      <c r="D53" s="17"/>
      <c r="E53" s="17"/>
      <c r="F53" s="17"/>
      <c r="G53" s="17"/>
      <c r="H53" s="17"/>
      <c r="I53" s="17"/>
      <c r="J53" s="13"/>
      <c r="K53" s="13"/>
      <c r="L53" s="13"/>
      <c r="M53" s="13"/>
    </row>
    <row r="54" spans="1:13" x14ac:dyDescent="0.3">
      <c r="A54" s="17"/>
      <c r="B54" s="17"/>
      <c r="C54" s="17"/>
      <c r="D54" s="17"/>
      <c r="E54" s="17"/>
      <c r="F54" s="17"/>
      <c r="G54" s="17"/>
      <c r="H54" s="17"/>
      <c r="I54" s="17"/>
      <c r="J54" s="13"/>
      <c r="K54" s="13"/>
      <c r="L54" s="13"/>
      <c r="M54" s="13"/>
    </row>
    <row r="55" spans="1:13" x14ac:dyDescent="0.3">
      <c r="A55" s="17"/>
      <c r="B55" s="17"/>
      <c r="C55" s="17"/>
      <c r="D55" s="17"/>
      <c r="E55" s="17"/>
      <c r="F55" s="17"/>
      <c r="G55" s="17"/>
      <c r="H55" s="17"/>
      <c r="I55" s="17"/>
      <c r="J55" s="13"/>
      <c r="K55" s="13"/>
      <c r="L55" s="13"/>
      <c r="M55" s="13"/>
    </row>
    <row r="56" spans="1:13" x14ac:dyDescent="0.3">
      <c r="A56" s="17"/>
      <c r="B56" s="17"/>
      <c r="C56" s="17"/>
      <c r="D56" s="17"/>
      <c r="E56" s="17"/>
      <c r="F56" s="17"/>
      <c r="G56" s="17"/>
      <c r="H56" s="17"/>
      <c r="I56" s="17"/>
      <c r="J56" s="13"/>
      <c r="K56" s="13"/>
      <c r="L56" s="13"/>
      <c r="M56" s="13"/>
    </row>
    <row r="57" spans="1:13" x14ac:dyDescent="0.3">
      <c r="A57" s="17"/>
      <c r="B57" s="17"/>
      <c r="C57" s="17"/>
      <c r="D57" s="17"/>
      <c r="E57" s="17"/>
      <c r="F57" s="17"/>
      <c r="G57" s="17"/>
      <c r="H57" s="17"/>
      <c r="I57" s="17"/>
      <c r="J57" s="13"/>
      <c r="K57" s="13"/>
      <c r="L57" s="13"/>
      <c r="M57" s="13"/>
    </row>
    <row r="58" spans="1:13" x14ac:dyDescent="0.3">
      <c r="A58" s="17"/>
      <c r="B58" s="17"/>
      <c r="C58" s="17"/>
      <c r="D58" s="17"/>
      <c r="E58" s="17"/>
      <c r="F58" s="17"/>
      <c r="G58" s="17"/>
      <c r="H58" s="17"/>
      <c r="I58" s="17"/>
      <c r="J58" s="13"/>
      <c r="K58" s="13"/>
      <c r="L58" s="13"/>
      <c r="M58" s="13"/>
    </row>
    <row r="59" spans="1:13" x14ac:dyDescent="0.3">
      <c r="A59" s="17"/>
      <c r="B59" s="17"/>
      <c r="C59" s="17"/>
      <c r="D59" s="17"/>
      <c r="E59" s="17"/>
      <c r="F59" s="17"/>
      <c r="G59" s="17"/>
      <c r="H59" s="17"/>
      <c r="I59" s="17"/>
      <c r="J59" s="13"/>
      <c r="K59" s="13"/>
      <c r="L59" s="13"/>
      <c r="M59" s="13"/>
    </row>
    <row r="60" spans="1:13" x14ac:dyDescent="0.3">
      <c r="A60" s="17"/>
      <c r="B60" s="17"/>
      <c r="C60" s="17"/>
      <c r="D60" s="17"/>
      <c r="E60" s="17"/>
      <c r="F60" s="17"/>
      <c r="G60" s="17"/>
      <c r="H60" s="17"/>
      <c r="I60" s="17"/>
      <c r="J60" s="13"/>
      <c r="K60" s="13"/>
      <c r="L60" s="13"/>
      <c r="M60" s="13"/>
    </row>
    <row r="61" spans="1:13" x14ac:dyDescent="0.3">
      <c r="A61" s="17"/>
      <c r="B61" s="17"/>
      <c r="C61" s="17"/>
      <c r="D61" s="17"/>
      <c r="E61" s="17"/>
      <c r="F61" s="17"/>
      <c r="G61" s="17"/>
      <c r="H61" s="17"/>
      <c r="I61" s="17"/>
      <c r="J61" s="13"/>
      <c r="K61" s="13"/>
      <c r="L61" s="13"/>
      <c r="M61" s="13"/>
    </row>
    <row r="62" spans="1:13" x14ac:dyDescent="0.3">
      <c r="A62" s="17"/>
      <c r="B62" s="17"/>
      <c r="C62" s="17"/>
      <c r="D62" s="17"/>
      <c r="E62" s="17"/>
      <c r="F62" s="17"/>
      <c r="G62" s="17"/>
      <c r="H62" s="17"/>
      <c r="I62" s="17"/>
      <c r="J62" s="13"/>
      <c r="K62" s="13"/>
      <c r="L62" s="13"/>
      <c r="M62" s="13"/>
    </row>
    <row r="63" spans="1:13" x14ac:dyDescent="0.3">
      <c r="A63" s="17"/>
      <c r="B63" s="17"/>
      <c r="C63" s="17"/>
      <c r="D63" s="17"/>
      <c r="E63" s="17"/>
      <c r="F63" s="17"/>
      <c r="G63" s="17"/>
      <c r="H63" s="17"/>
      <c r="I63" s="17"/>
      <c r="J63" s="13"/>
      <c r="K63" s="13"/>
      <c r="L63" s="13"/>
      <c r="M63" s="13"/>
    </row>
    <row r="64" spans="1:13" x14ac:dyDescent="0.3">
      <c r="A64" s="17"/>
      <c r="B64" s="17"/>
      <c r="C64" s="17"/>
      <c r="D64" s="17"/>
      <c r="E64" s="17"/>
      <c r="F64" s="17"/>
      <c r="G64" s="17"/>
      <c r="H64" s="17"/>
      <c r="I64" s="17"/>
      <c r="J64" s="13"/>
      <c r="K64" s="13"/>
      <c r="L64" s="13"/>
      <c r="M64" s="13"/>
    </row>
    <row r="65" spans="1:13" x14ac:dyDescent="0.3">
      <c r="A65" s="17"/>
      <c r="B65" s="17"/>
      <c r="C65" s="17"/>
      <c r="D65" s="17"/>
      <c r="E65" s="17"/>
      <c r="F65" s="17"/>
      <c r="G65" s="17"/>
      <c r="H65" s="17"/>
      <c r="I65" s="17"/>
      <c r="J65" s="13"/>
      <c r="K65" s="13"/>
      <c r="L65" s="13"/>
      <c r="M65" s="13"/>
    </row>
    <row r="66" spans="1:13" x14ac:dyDescent="0.3">
      <c r="A66" s="17"/>
      <c r="B66" s="17"/>
      <c r="C66" s="17"/>
      <c r="D66" s="17"/>
      <c r="E66" s="17"/>
      <c r="F66" s="17"/>
      <c r="G66" s="17"/>
      <c r="H66" s="17"/>
      <c r="I66" s="17"/>
      <c r="J66" s="13"/>
      <c r="K66" s="13"/>
      <c r="L66" s="13"/>
      <c r="M66" s="13"/>
    </row>
    <row r="67" spans="1:13" x14ac:dyDescent="0.3">
      <c r="A67" s="17"/>
      <c r="B67" s="17"/>
      <c r="C67" s="17"/>
      <c r="D67" s="17"/>
      <c r="E67" s="17"/>
      <c r="F67" s="17"/>
      <c r="G67" s="17"/>
      <c r="H67" s="17"/>
      <c r="I67" s="17"/>
      <c r="J67" s="13"/>
      <c r="K67" s="13"/>
      <c r="L67" s="13"/>
      <c r="M67" s="13"/>
    </row>
    <row r="68" spans="1:13" x14ac:dyDescent="0.3">
      <c r="A68" s="17"/>
      <c r="B68" s="17"/>
      <c r="C68" s="17"/>
      <c r="D68" s="17"/>
      <c r="E68" s="17"/>
      <c r="F68" s="17"/>
      <c r="G68" s="17"/>
      <c r="H68" s="17"/>
      <c r="I68" s="17"/>
      <c r="J68" s="13"/>
      <c r="K68" s="13"/>
      <c r="L68" s="13"/>
      <c r="M68" s="13"/>
    </row>
    <row r="69" spans="1:13" x14ac:dyDescent="0.3">
      <c r="A69" s="17"/>
      <c r="B69" s="17"/>
      <c r="C69" s="17"/>
      <c r="D69" s="17"/>
      <c r="E69" s="17"/>
      <c r="F69" s="17"/>
      <c r="G69" s="17"/>
      <c r="H69" s="17"/>
      <c r="I69" s="17"/>
      <c r="J69" s="13"/>
      <c r="K69" s="13"/>
      <c r="L69" s="13"/>
      <c r="M69" s="13"/>
    </row>
    <row r="70" spans="1:13" x14ac:dyDescent="0.3">
      <c r="A70" s="17"/>
      <c r="B70" s="17"/>
      <c r="C70" s="17"/>
      <c r="D70" s="17"/>
      <c r="E70" s="17"/>
      <c r="F70" s="17"/>
      <c r="G70" s="17"/>
      <c r="H70" s="17"/>
      <c r="I70" s="17"/>
      <c r="J70" s="13"/>
      <c r="K70" s="13"/>
      <c r="L70" s="13"/>
      <c r="M70" s="13"/>
    </row>
    <row r="71" spans="1:13" x14ac:dyDescent="0.3">
      <c r="A71" s="17"/>
      <c r="B71" s="17"/>
      <c r="C71" s="17"/>
      <c r="D71" s="17"/>
      <c r="E71" s="17"/>
      <c r="F71" s="17"/>
      <c r="G71" s="17"/>
      <c r="H71" s="17"/>
      <c r="I71" s="17"/>
      <c r="J71" s="13"/>
      <c r="K71" s="13"/>
      <c r="L71" s="13"/>
      <c r="M71" s="13"/>
    </row>
    <row r="72" spans="1:13" x14ac:dyDescent="0.3">
      <c r="A72" s="17"/>
      <c r="B72" s="17"/>
      <c r="C72" s="17"/>
      <c r="D72" s="17"/>
      <c r="E72" s="17"/>
      <c r="F72" s="17"/>
      <c r="G72" s="17"/>
      <c r="H72" s="17"/>
      <c r="I72" s="17"/>
      <c r="J72" s="13"/>
      <c r="K72" s="13"/>
      <c r="L72" s="13"/>
      <c r="M72" s="13"/>
    </row>
    <row r="73" spans="1:13" x14ac:dyDescent="0.3">
      <c r="A73" s="17"/>
      <c r="B73" s="17"/>
      <c r="C73" s="17"/>
      <c r="D73" s="17"/>
      <c r="E73" s="17"/>
      <c r="F73" s="17"/>
      <c r="G73" s="17"/>
      <c r="H73" s="17"/>
      <c r="I73" s="17"/>
      <c r="J73" s="13"/>
      <c r="K73" s="13"/>
      <c r="L73" s="13"/>
      <c r="M73" s="13"/>
    </row>
    <row r="74" spans="1:13" x14ac:dyDescent="0.3">
      <c r="A74" s="17"/>
      <c r="B74" s="17"/>
      <c r="C74" s="17"/>
      <c r="D74" s="17"/>
      <c r="E74" s="17"/>
      <c r="F74" s="17"/>
      <c r="G74" s="17"/>
      <c r="H74" s="17"/>
      <c r="I74" s="17"/>
      <c r="J74" s="13"/>
      <c r="K74" s="13"/>
      <c r="L74" s="13"/>
      <c r="M74" s="13"/>
    </row>
    <row r="75" spans="1:13" x14ac:dyDescent="0.3">
      <c r="A75" s="17"/>
      <c r="B75" s="17"/>
      <c r="C75" s="17"/>
      <c r="D75" s="17"/>
      <c r="E75" s="17"/>
      <c r="F75" s="17"/>
      <c r="G75" s="17"/>
      <c r="H75" s="17"/>
      <c r="I75" s="17"/>
      <c r="J75" s="13"/>
      <c r="K75" s="13"/>
      <c r="L75" s="13"/>
      <c r="M75" s="13"/>
    </row>
  </sheetData>
  <mergeCells count="2">
    <mergeCell ref="A1:I1"/>
    <mergeCell ref="A2:I2"/>
  </mergeCells>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B6C1-CBAC-41AE-B9E2-A841305CD8F1}">
  <dimension ref="A1:R1210"/>
  <sheetViews>
    <sheetView zoomScale="130" zoomScaleNormal="130" workbookViewId="0">
      <selection activeCell="F1" sqref="A1:L1201"/>
    </sheetView>
  </sheetViews>
  <sheetFormatPr defaultRowHeight="14.4" x14ac:dyDescent="0.3"/>
  <cols>
    <col min="2" max="2" width="12.44140625" customWidth="1"/>
    <col min="5" max="5" width="18" customWidth="1"/>
    <col min="6" max="6" width="13.77734375" customWidth="1"/>
    <col min="7" max="7" width="13.33203125" customWidth="1"/>
    <col min="8" max="8" width="18.6640625" customWidth="1"/>
    <col min="9" max="9" width="14.21875" customWidth="1"/>
    <col min="10" max="10" width="14.6640625" customWidth="1"/>
    <col min="11" max="11" width="8.88671875" customWidth="1"/>
    <col min="13" max="13" width="18.33203125" style="10" customWidth="1"/>
    <col min="14" max="18" width="8.88671875" style="10"/>
  </cols>
  <sheetData>
    <row r="1" spans="1:12" x14ac:dyDescent="0.3">
      <c r="A1" s="1" t="s">
        <v>0</v>
      </c>
      <c r="B1" s="2" t="s">
        <v>1</v>
      </c>
      <c r="C1" s="1" t="s">
        <v>2</v>
      </c>
      <c r="D1" s="1" t="s">
        <v>3</v>
      </c>
      <c r="E1" s="1" t="s">
        <v>4</v>
      </c>
      <c r="F1" s="1" t="s">
        <v>5</v>
      </c>
      <c r="G1" s="1" t="s">
        <v>6</v>
      </c>
      <c r="H1" s="1" t="s">
        <v>7</v>
      </c>
      <c r="I1" s="1" t="s">
        <v>8</v>
      </c>
      <c r="J1" s="1" t="s">
        <v>9</v>
      </c>
      <c r="K1" s="1" t="s">
        <v>10</v>
      </c>
      <c r="L1" s="1" t="s">
        <v>11</v>
      </c>
    </row>
    <row r="2" spans="1:12" x14ac:dyDescent="0.3">
      <c r="A2" t="s">
        <v>12</v>
      </c>
      <c r="B2" s="3">
        <v>45729</v>
      </c>
      <c r="C2" t="s">
        <v>13</v>
      </c>
      <c r="D2" t="s">
        <v>14</v>
      </c>
      <c r="E2" t="s">
        <v>15</v>
      </c>
      <c r="F2" t="s">
        <v>16</v>
      </c>
      <c r="G2" t="s">
        <v>17</v>
      </c>
      <c r="H2">
        <v>2</v>
      </c>
      <c r="I2">
        <v>7872</v>
      </c>
      <c r="J2">
        <v>0</v>
      </c>
      <c r="K2">
        <v>15744</v>
      </c>
      <c r="L2">
        <v>1442.41</v>
      </c>
    </row>
    <row r="3" spans="1:12" x14ac:dyDescent="0.3">
      <c r="A3" t="s">
        <v>18</v>
      </c>
      <c r="B3" s="3">
        <v>45807</v>
      </c>
      <c r="C3" t="s">
        <v>19</v>
      </c>
      <c r="D3" t="s">
        <v>20</v>
      </c>
      <c r="E3" t="s">
        <v>15</v>
      </c>
      <c r="F3" t="s">
        <v>21</v>
      </c>
      <c r="G3" t="s">
        <v>22</v>
      </c>
      <c r="H3">
        <v>1</v>
      </c>
      <c r="I3">
        <v>12942</v>
      </c>
      <c r="J3">
        <v>0.2</v>
      </c>
      <c r="K3">
        <v>10353.6</v>
      </c>
      <c r="L3">
        <v>829.9</v>
      </c>
    </row>
    <row r="4" spans="1:12" x14ac:dyDescent="0.3">
      <c r="A4" t="s">
        <v>23</v>
      </c>
      <c r="B4" s="3">
        <v>45893</v>
      </c>
      <c r="C4" t="s">
        <v>24</v>
      </c>
      <c r="D4" t="s">
        <v>25</v>
      </c>
      <c r="E4" t="s">
        <v>26</v>
      </c>
      <c r="F4" t="s">
        <v>27</v>
      </c>
      <c r="G4" t="s">
        <v>28</v>
      </c>
      <c r="H4">
        <v>1</v>
      </c>
      <c r="I4">
        <v>12297</v>
      </c>
      <c r="J4">
        <v>0.05</v>
      </c>
      <c r="K4">
        <v>11682.15</v>
      </c>
      <c r="L4">
        <v>1043.5999999999999</v>
      </c>
    </row>
    <row r="5" spans="1:12" x14ac:dyDescent="0.3">
      <c r="A5" t="s">
        <v>29</v>
      </c>
      <c r="B5" s="3">
        <v>46021</v>
      </c>
      <c r="C5" t="s">
        <v>19</v>
      </c>
      <c r="D5" t="s">
        <v>30</v>
      </c>
      <c r="E5" t="s">
        <v>15</v>
      </c>
      <c r="F5" t="s">
        <v>27</v>
      </c>
      <c r="G5" t="s">
        <v>31</v>
      </c>
      <c r="H5">
        <v>2</v>
      </c>
      <c r="I5">
        <v>10128</v>
      </c>
      <c r="J5">
        <v>0</v>
      </c>
      <c r="K5">
        <v>20256</v>
      </c>
      <c r="L5">
        <v>4081.77</v>
      </c>
    </row>
    <row r="6" spans="1:12" x14ac:dyDescent="0.3">
      <c r="A6" t="s">
        <v>32</v>
      </c>
      <c r="B6" s="3">
        <v>45973</v>
      </c>
      <c r="C6" t="s">
        <v>33</v>
      </c>
      <c r="D6" t="s">
        <v>34</v>
      </c>
      <c r="E6" t="s">
        <v>15</v>
      </c>
      <c r="F6" t="s">
        <v>21</v>
      </c>
      <c r="G6" t="s">
        <v>35</v>
      </c>
      <c r="H6">
        <v>2</v>
      </c>
      <c r="I6">
        <v>13937</v>
      </c>
      <c r="J6">
        <v>0</v>
      </c>
      <c r="K6">
        <v>27874</v>
      </c>
      <c r="L6">
        <v>3517.11</v>
      </c>
    </row>
    <row r="7" spans="1:12" x14ac:dyDescent="0.3">
      <c r="A7" t="s">
        <v>36</v>
      </c>
      <c r="B7" s="3">
        <v>45921</v>
      </c>
      <c r="C7" t="s">
        <v>37</v>
      </c>
      <c r="D7" t="s">
        <v>30</v>
      </c>
      <c r="E7" t="s">
        <v>15</v>
      </c>
      <c r="F7" t="s">
        <v>21</v>
      </c>
      <c r="G7" t="s">
        <v>35</v>
      </c>
      <c r="H7">
        <v>1</v>
      </c>
      <c r="I7">
        <v>13139</v>
      </c>
      <c r="J7">
        <v>0.05</v>
      </c>
      <c r="K7">
        <v>12482.05</v>
      </c>
      <c r="L7">
        <v>2652.49</v>
      </c>
    </row>
    <row r="8" spans="1:12" x14ac:dyDescent="0.3">
      <c r="A8" t="s">
        <v>38</v>
      </c>
      <c r="B8" s="3">
        <v>45848</v>
      </c>
      <c r="C8" t="s">
        <v>39</v>
      </c>
      <c r="D8" t="s">
        <v>34</v>
      </c>
      <c r="E8" t="s">
        <v>15</v>
      </c>
      <c r="F8" t="s">
        <v>27</v>
      </c>
      <c r="G8" t="s">
        <v>40</v>
      </c>
      <c r="H8">
        <v>3</v>
      </c>
      <c r="I8">
        <v>15096</v>
      </c>
      <c r="J8">
        <v>0.05</v>
      </c>
      <c r="K8">
        <v>43023.6</v>
      </c>
      <c r="L8">
        <v>11415.53</v>
      </c>
    </row>
    <row r="9" spans="1:12" x14ac:dyDescent="0.3">
      <c r="A9" t="s">
        <v>41</v>
      </c>
      <c r="B9" s="3">
        <v>45909</v>
      </c>
      <c r="C9" t="s">
        <v>42</v>
      </c>
      <c r="D9" t="s">
        <v>43</v>
      </c>
      <c r="E9" t="s">
        <v>44</v>
      </c>
      <c r="F9" t="s">
        <v>27</v>
      </c>
      <c r="G9" t="s">
        <v>31</v>
      </c>
      <c r="H9">
        <v>1</v>
      </c>
      <c r="I9">
        <v>690</v>
      </c>
      <c r="J9">
        <v>0.05</v>
      </c>
      <c r="K9">
        <v>655.5</v>
      </c>
      <c r="L9">
        <v>88.01</v>
      </c>
    </row>
    <row r="10" spans="1:12" x14ac:dyDescent="0.3">
      <c r="A10" t="s">
        <v>45</v>
      </c>
      <c r="B10" s="3">
        <v>45698</v>
      </c>
      <c r="C10" t="s">
        <v>46</v>
      </c>
      <c r="D10" t="s">
        <v>47</v>
      </c>
      <c r="E10" t="s">
        <v>26</v>
      </c>
      <c r="F10" t="s">
        <v>21</v>
      </c>
      <c r="G10" t="s">
        <v>35</v>
      </c>
      <c r="H10">
        <v>1</v>
      </c>
      <c r="I10">
        <v>9479</v>
      </c>
      <c r="J10">
        <v>0</v>
      </c>
      <c r="K10">
        <v>9479</v>
      </c>
      <c r="L10">
        <v>1561</v>
      </c>
    </row>
    <row r="11" spans="1:12" x14ac:dyDescent="0.3">
      <c r="A11" t="s">
        <v>48</v>
      </c>
      <c r="B11" s="3">
        <v>45820</v>
      </c>
      <c r="C11" t="s">
        <v>49</v>
      </c>
      <c r="D11" t="s">
        <v>50</v>
      </c>
      <c r="E11" t="s">
        <v>51</v>
      </c>
      <c r="F11" t="s">
        <v>16</v>
      </c>
      <c r="G11" t="s">
        <v>52</v>
      </c>
      <c r="H11">
        <v>3</v>
      </c>
      <c r="I11">
        <v>2436</v>
      </c>
      <c r="J11">
        <v>0.2</v>
      </c>
      <c r="K11">
        <v>5846.4000000000005</v>
      </c>
      <c r="L11">
        <v>1229</v>
      </c>
    </row>
    <row r="12" spans="1:12" x14ac:dyDescent="0.3">
      <c r="A12" t="s">
        <v>53</v>
      </c>
      <c r="B12" s="3">
        <v>45690</v>
      </c>
      <c r="C12" t="s">
        <v>54</v>
      </c>
      <c r="D12" t="s">
        <v>43</v>
      </c>
      <c r="E12" t="s">
        <v>44</v>
      </c>
      <c r="F12" t="s">
        <v>21</v>
      </c>
      <c r="G12" t="s">
        <v>55</v>
      </c>
      <c r="H12">
        <v>1</v>
      </c>
      <c r="I12">
        <v>673</v>
      </c>
      <c r="J12">
        <v>0.05</v>
      </c>
      <c r="K12">
        <v>639.35</v>
      </c>
      <c r="L12">
        <v>144.44</v>
      </c>
    </row>
    <row r="13" spans="1:12" x14ac:dyDescent="0.3">
      <c r="A13" t="s">
        <v>56</v>
      </c>
      <c r="B13" s="3">
        <v>45758</v>
      </c>
      <c r="C13" t="s">
        <v>57</v>
      </c>
      <c r="D13" t="s">
        <v>50</v>
      </c>
      <c r="E13" t="s">
        <v>51</v>
      </c>
      <c r="F13" t="s">
        <v>58</v>
      </c>
      <c r="G13" t="s">
        <v>59</v>
      </c>
      <c r="H13">
        <v>5</v>
      </c>
      <c r="I13">
        <v>3092</v>
      </c>
      <c r="J13">
        <v>0.15</v>
      </c>
      <c r="K13">
        <v>13141</v>
      </c>
      <c r="L13">
        <v>1671.5</v>
      </c>
    </row>
    <row r="14" spans="1:12" x14ac:dyDescent="0.3">
      <c r="A14" t="s">
        <v>60</v>
      </c>
      <c r="B14" s="3">
        <v>46003</v>
      </c>
      <c r="C14" t="s">
        <v>61</v>
      </c>
      <c r="D14" t="s">
        <v>47</v>
      </c>
      <c r="E14" t="s">
        <v>26</v>
      </c>
      <c r="F14" t="s">
        <v>16</v>
      </c>
      <c r="G14" t="s">
        <v>55</v>
      </c>
      <c r="H14">
        <v>1</v>
      </c>
      <c r="I14">
        <v>8618</v>
      </c>
      <c r="J14">
        <v>0</v>
      </c>
      <c r="K14">
        <v>8618</v>
      </c>
      <c r="L14">
        <v>1786.36</v>
      </c>
    </row>
    <row r="15" spans="1:12" x14ac:dyDescent="0.3">
      <c r="A15" t="s">
        <v>63</v>
      </c>
      <c r="B15" s="3">
        <v>45888</v>
      </c>
      <c r="C15" t="s">
        <v>64</v>
      </c>
      <c r="D15" t="s">
        <v>65</v>
      </c>
      <c r="E15" t="s">
        <v>26</v>
      </c>
      <c r="F15" t="s">
        <v>27</v>
      </c>
      <c r="G15" t="s">
        <v>28</v>
      </c>
      <c r="H15">
        <v>1</v>
      </c>
      <c r="I15">
        <v>3693</v>
      </c>
      <c r="J15">
        <v>0.05</v>
      </c>
      <c r="K15">
        <v>3508.35</v>
      </c>
      <c r="L15">
        <v>334.68</v>
      </c>
    </row>
    <row r="16" spans="1:12" x14ac:dyDescent="0.3">
      <c r="A16" t="s">
        <v>66</v>
      </c>
      <c r="B16" s="3">
        <v>45791</v>
      </c>
      <c r="C16" t="s">
        <v>67</v>
      </c>
      <c r="D16" t="s">
        <v>68</v>
      </c>
      <c r="E16" t="s">
        <v>44</v>
      </c>
      <c r="F16" t="s">
        <v>58</v>
      </c>
      <c r="G16" t="s">
        <v>69</v>
      </c>
      <c r="H16">
        <v>2</v>
      </c>
      <c r="I16">
        <v>3154</v>
      </c>
      <c r="J16">
        <v>0.05</v>
      </c>
      <c r="K16">
        <v>5992.5999999999995</v>
      </c>
      <c r="L16">
        <v>1538.04</v>
      </c>
    </row>
    <row r="17" spans="1:12" x14ac:dyDescent="0.3">
      <c r="A17" t="s">
        <v>70</v>
      </c>
      <c r="B17" s="3">
        <v>45847</v>
      </c>
      <c r="C17" t="s">
        <v>71</v>
      </c>
      <c r="D17" t="s">
        <v>72</v>
      </c>
      <c r="E17" t="s">
        <v>73</v>
      </c>
      <c r="F17" t="s">
        <v>58</v>
      </c>
      <c r="G17" t="s">
        <v>59</v>
      </c>
      <c r="H17">
        <v>1</v>
      </c>
      <c r="I17">
        <v>467</v>
      </c>
      <c r="J17">
        <v>0.05</v>
      </c>
      <c r="K17">
        <v>443.65</v>
      </c>
      <c r="L17">
        <v>108.07</v>
      </c>
    </row>
    <row r="18" spans="1:12" x14ac:dyDescent="0.3">
      <c r="A18" t="s">
        <v>74</v>
      </c>
      <c r="B18" s="3">
        <v>45822</v>
      </c>
      <c r="C18" t="s">
        <v>75</v>
      </c>
      <c r="D18" t="s">
        <v>50</v>
      </c>
      <c r="E18" t="s">
        <v>51</v>
      </c>
      <c r="F18" t="s">
        <v>58</v>
      </c>
      <c r="G18" t="s">
        <v>69</v>
      </c>
      <c r="H18">
        <v>2</v>
      </c>
      <c r="I18">
        <v>1527</v>
      </c>
      <c r="J18">
        <v>0.05</v>
      </c>
      <c r="K18">
        <v>2901.2999999999997</v>
      </c>
      <c r="L18">
        <v>329.76</v>
      </c>
    </row>
    <row r="19" spans="1:12" x14ac:dyDescent="0.3">
      <c r="A19" t="s">
        <v>76</v>
      </c>
      <c r="B19" s="3">
        <v>45975</v>
      </c>
      <c r="C19" t="s">
        <v>77</v>
      </c>
      <c r="D19" t="s">
        <v>47</v>
      </c>
      <c r="E19" t="s">
        <v>26</v>
      </c>
      <c r="F19" t="s">
        <v>21</v>
      </c>
      <c r="G19" t="s">
        <v>35</v>
      </c>
      <c r="H19">
        <v>5</v>
      </c>
      <c r="I19">
        <v>21437</v>
      </c>
      <c r="J19">
        <v>0.05</v>
      </c>
      <c r="K19">
        <v>101825.75</v>
      </c>
      <c r="L19">
        <v>18272.599999999999</v>
      </c>
    </row>
    <row r="20" spans="1:12" x14ac:dyDescent="0.3">
      <c r="A20" t="s">
        <v>78</v>
      </c>
      <c r="B20" s="3">
        <v>45659</v>
      </c>
      <c r="C20" t="s">
        <v>79</v>
      </c>
      <c r="D20" t="s">
        <v>80</v>
      </c>
      <c r="E20" t="s">
        <v>51</v>
      </c>
      <c r="F20" t="s">
        <v>16</v>
      </c>
      <c r="G20" t="s">
        <v>52</v>
      </c>
      <c r="H20">
        <v>2</v>
      </c>
      <c r="I20">
        <v>47059</v>
      </c>
      <c r="J20">
        <v>0.05</v>
      </c>
      <c r="K20">
        <v>89412.099999999991</v>
      </c>
      <c r="L20">
        <v>23394.959999999999</v>
      </c>
    </row>
    <row r="21" spans="1:12" x14ac:dyDescent="0.3">
      <c r="A21" t="s">
        <v>81</v>
      </c>
      <c r="B21" s="3">
        <v>45817</v>
      </c>
      <c r="C21" t="s">
        <v>82</v>
      </c>
      <c r="D21" t="s">
        <v>83</v>
      </c>
      <c r="E21" t="s">
        <v>73</v>
      </c>
      <c r="F21" t="s">
        <v>21</v>
      </c>
      <c r="G21" t="s">
        <v>55</v>
      </c>
      <c r="H21">
        <v>2</v>
      </c>
      <c r="I21">
        <v>635</v>
      </c>
      <c r="J21">
        <v>0</v>
      </c>
      <c r="K21">
        <v>1270</v>
      </c>
      <c r="L21">
        <v>195.49</v>
      </c>
    </row>
    <row r="22" spans="1:12" x14ac:dyDescent="0.3">
      <c r="A22" t="s">
        <v>84</v>
      </c>
      <c r="B22" s="3">
        <v>45855</v>
      </c>
      <c r="C22" t="s">
        <v>85</v>
      </c>
      <c r="D22" t="s">
        <v>72</v>
      </c>
      <c r="E22" t="s">
        <v>73</v>
      </c>
      <c r="F22" t="s">
        <v>58</v>
      </c>
      <c r="G22" t="s">
        <v>69</v>
      </c>
      <c r="H22">
        <v>1</v>
      </c>
      <c r="I22">
        <v>1026</v>
      </c>
      <c r="J22">
        <v>0.15</v>
      </c>
      <c r="K22">
        <v>872.1</v>
      </c>
      <c r="L22">
        <v>96.06</v>
      </c>
    </row>
    <row r="23" spans="1:12" x14ac:dyDescent="0.3">
      <c r="A23" t="s">
        <v>86</v>
      </c>
      <c r="B23" s="3">
        <v>46003</v>
      </c>
      <c r="C23" t="s">
        <v>87</v>
      </c>
      <c r="D23" t="s">
        <v>88</v>
      </c>
      <c r="E23" t="s">
        <v>73</v>
      </c>
      <c r="F23" t="s">
        <v>21</v>
      </c>
      <c r="G23" t="s">
        <v>22</v>
      </c>
      <c r="H23">
        <v>2</v>
      </c>
      <c r="I23">
        <v>213</v>
      </c>
      <c r="J23">
        <v>0.1</v>
      </c>
      <c r="K23">
        <v>383.40000000000003</v>
      </c>
      <c r="L23">
        <v>44.04</v>
      </c>
    </row>
    <row r="24" spans="1:12" x14ac:dyDescent="0.3">
      <c r="A24" t="s">
        <v>89</v>
      </c>
      <c r="B24" s="3">
        <v>45924</v>
      </c>
      <c r="C24" t="s">
        <v>90</v>
      </c>
      <c r="D24" t="s">
        <v>30</v>
      </c>
      <c r="E24" t="s">
        <v>15</v>
      </c>
      <c r="F24" t="s">
        <v>27</v>
      </c>
      <c r="G24" t="s">
        <v>28</v>
      </c>
      <c r="H24">
        <v>1</v>
      </c>
      <c r="I24">
        <v>5578</v>
      </c>
      <c r="J24">
        <v>0.2</v>
      </c>
      <c r="K24">
        <v>4462.4000000000005</v>
      </c>
      <c r="L24">
        <v>1140</v>
      </c>
    </row>
    <row r="25" spans="1:12" x14ac:dyDescent="0.3">
      <c r="A25" t="s">
        <v>91</v>
      </c>
      <c r="B25" s="3">
        <v>45717</v>
      </c>
      <c r="C25" t="s">
        <v>75</v>
      </c>
      <c r="D25" t="s">
        <v>92</v>
      </c>
      <c r="E25" t="s">
        <v>51</v>
      </c>
      <c r="F25" t="s">
        <v>21</v>
      </c>
      <c r="G25" t="s">
        <v>35</v>
      </c>
      <c r="H25">
        <v>1</v>
      </c>
      <c r="I25">
        <v>24940</v>
      </c>
      <c r="J25">
        <v>0.2</v>
      </c>
      <c r="K25">
        <v>19952</v>
      </c>
      <c r="L25">
        <v>3823.97</v>
      </c>
    </row>
    <row r="26" spans="1:12" x14ac:dyDescent="0.3">
      <c r="A26" t="s">
        <v>93</v>
      </c>
      <c r="B26" s="3">
        <v>45804</v>
      </c>
      <c r="C26" t="s">
        <v>94</v>
      </c>
      <c r="D26" t="s">
        <v>47</v>
      </c>
      <c r="E26" t="s">
        <v>26</v>
      </c>
      <c r="F26" t="s">
        <v>58</v>
      </c>
      <c r="G26" t="s">
        <v>59</v>
      </c>
      <c r="H26">
        <v>3</v>
      </c>
      <c r="I26">
        <v>20457</v>
      </c>
      <c r="J26">
        <v>0.2</v>
      </c>
      <c r="K26">
        <v>49096.800000000003</v>
      </c>
      <c r="L26">
        <v>11585.62</v>
      </c>
    </row>
    <row r="27" spans="1:12" x14ac:dyDescent="0.3">
      <c r="A27" t="s">
        <v>95</v>
      </c>
      <c r="B27" s="3">
        <v>45761</v>
      </c>
      <c r="C27" t="s">
        <v>96</v>
      </c>
      <c r="D27" t="s">
        <v>97</v>
      </c>
      <c r="E27" t="s">
        <v>44</v>
      </c>
      <c r="F27" t="s">
        <v>21</v>
      </c>
      <c r="G27" t="s">
        <v>55</v>
      </c>
      <c r="H27">
        <v>2</v>
      </c>
      <c r="I27">
        <v>259</v>
      </c>
      <c r="J27">
        <v>0</v>
      </c>
      <c r="K27">
        <v>518</v>
      </c>
      <c r="L27">
        <v>110.18</v>
      </c>
    </row>
    <row r="28" spans="1:12" x14ac:dyDescent="0.3">
      <c r="A28" t="s">
        <v>98</v>
      </c>
      <c r="B28" s="3">
        <v>45967</v>
      </c>
      <c r="C28" t="s">
        <v>57</v>
      </c>
      <c r="D28" t="s">
        <v>34</v>
      </c>
      <c r="E28" t="s">
        <v>15</v>
      </c>
      <c r="F28" t="s">
        <v>27</v>
      </c>
      <c r="G28" t="s">
        <v>40</v>
      </c>
      <c r="H28">
        <v>2</v>
      </c>
      <c r="I28">
        <v>24900</v>
      </c>
      <c r="J28">
        <v>0</v>
      </c>
      <c r="K28">
        <v>49800</v>
      </c>
      <c r="L28">
        <v>4164.03</v>
      </c>
    </row>
    <row r="29" spans="1:12" x14ac:dyDescent="0.3">
      <c r="A29" t="s">
        <v>99</v>
      </c>
      <c r="B29" s="3">
        <v>45852</v>
      </c>
      <c r="C29" t="s">
        <v>100</v>
      </c>
      <c r="D29" t="s">
        <v>20</v>
      </c>
      <c r="E29" t="s">
        <v>15</v>
      </c>
      <c r="F29" t="s">
        <v>21</v>
      </c>
      <c r="G29" t="s">
        <v>22</v>
      </c>
      <c r="H29">
        <v>2</v>
      </c>
      <c r="I29">
        <v>11251</v>
      </c>
      <c r="J29">
        <v>0</v>
      </c>
      <c r="K29">
        <v>22502</v>
      </c>
      <c r="L29">
        <v>3455.03</v>
      </c>
    </row>
    <row r="30" spans="1:12" x14ac:dyDescent="0.3">
      <c r="A30" t="s">
        <v>101</v>
      </c>
      <c r="B30" s="3">
        <v>45921</v>
      </c>
      <c r="C30" t="s">
        <v>102</v>
      </c>
      <c r="D30" t="s">
        <v>103</v>
      </c>
      <c r="E30" t="s">
        <v>51</v>
      </c>
      <c r="F30" t="s">
        <v>16</v>
      </c>
      <c r="G30" t="s">
        <v>104</v>
      </c>
      <c r="H30">
        <v>2</v>
      </c>
      <c r="I30">
        <v>7400</v>
      </c>
      <c r="J30">
        <v>0.1</v>
      </c>
      <c r="K30">
        <v>13320</v>
      </c>
      <c r="L30">
        <v>2602.4699999999998</v>
      </c>
    </row>
    <row r="31" spans="1:12" x14ac:dyDescent="0.3">
      <c r="A31" t="s">
        <v>105</v>
      </c>
      <c r="B31" s="3">
        <v>45674</v>
      </c>
      <c r="C31" t="s">
        <v>106</v>
      </c>
      <c r="D31" t="s">
        <v>65</v>
      </c>
      <c r="E31" t="s">
        <v>26</v>
      </c>
      <c r="F31" t="s">
        <v>16</v>
      </c>
      <c r="G31" t="s">
        <v>52</v>
      </c>
      <c r="H31">
        <v>5</v>
      </c>
      <c r="I31">
        <v>2751</v>
      </c>
      <c r="J31">
        <v>0.05</v>
      </c>
      <c r="K31">
        <v>13067.25</v>
      </c>
      <c r="L31">
        <v>3354.35</v>
      </c>
    </row>
    <row r="32" spans="1:12" x14ac:dyDescent="0.3">
      <c r="A32" t="s">
        <v>107</v>
      </c>
      <c r="B32" s="3">
        <v>45838</v>
      </c>
      <c r="C32" t="s">
        <v>75</v>
      </c>
      <c r="D32" t="s">
        <v>103</v>
      </c>
      <c r="E32" t="s">
        <v>51</v>
      </c>
      <c r="F32" t="s">
        <v>58</v>
      </c>
      <c r="G32" t="s">
        <v>69</v>
      </c>
      <c r="H32">
        <v>2</v>
      </c>
      <c r="I32">
        <v>8847</v>
      </c>
      <c r="J32">
        <v>0</v>
      </c>
      <c r="K32">
        <v>17694</v>
      </c>
      <c r="L32">
        <v>2497.3200000000002</v>
      </c>
    </row>
    <row r="33" spans="1:12" x14ac:dyDescent="0.3">
      <c r="A33" t="s">
        <v>108</v>
      </c>
      <c r="B33" s="3">
        <v>45938</v>
      </c>
      <c r="C33" t="s">
        <v>109</v>
      </c>
      <c r="D33" t="s">
        <v>43</v>
      </c>
      <c r="E33" t="s">
        <v>44</v>
      </c>
      <c r="F33" t="s">
        <v>16</v>
      </c>
      <c r="G33" t="s">
        <v>104</v>
      </c>
      <c r="H33">
        <v>1</v>
      </c>
      <c r="I33">
        <v>1313</v>
      </c>
      <c r="J33">
        <v>0.2</v>
      </c>
      <c r="K33">
        <v>1050.4000000000001</v>
      </c>
      <c r="L33">
        <v>98.83</v>
      </c>
    </row>
    <row r="34" spans="1:12" x14ac:dyDescent="0.3">
      <c r="A34" t="s">
        <v>110</v>
      </c>
      <c r="B34" s="3">
        <v>45784</v>
      </c>
      <c r="C34" t="s">
        <v>111</v>
      </c>
      <c r="D34" t="s">
        <v>25</v>
      </c>
      <c r="E34" t="s">
        <v>26</v>
      </c>
      <c r="F34" t="s">
        <v>16</v>
      </c>
      <c r="G34" t="s">
        <v>104</v>
      </c>
      <c r="H34">
        <v>2</v>
      </c>
      <c r="I34">
        <v>16528</v>
      </c>
      <c r="J34">
        <v>0.15</v>
      </c>
      <c r="K34">
        <v>28097.599999999999</v>
      </c>
      <c r="L34">
        <v>6164.7</v>
      </c>
    </row>
    <row r="35" spans="1:12" x14ac:dyDescent="0.3">
      <c r="A35" t="s">
        <v>112</v>
      </c>
      <c r="B35" s="3">
        <v>45904</v>
      </c>
      <c r="C35" t="s">
        <v>113</v>
      </c>
      <c r="D35" t="s">
        <v>88</v>
      </c>
      <c r="E35" t="s">
        <v>73</v>
      </c>
      <c r="F35" t="s">
        <v>58</v>
      </c>
      <c r="G35" t="s">
        <v>69</v>
      </c>
      <c r="H35">
        <v>1</v>
      </c>
      <c r="I35">
        <v>228</v>
      </c>
      <c r="J35">
        <v>0.1</v>
      </c>
      <c r="K35">
        <v>205.20000000000002</v>
      </c>
      <c r="L35">
        <v>19.760000000000002</v>
      </c>
    </row>
    <row r="36" spans="1:12" x14ac:dyDescent="0.3">
      <c r="A36" t="s">
        <v>114</v>
      </c>
      <c r="B36" s="3">
        <v>45921</v>
      </c>
      <c r="C36" t="s">
        <v>33</v>
      </c>
      <c r="D36" t="s">
        <v>47</v>
      </c>
      <c r="E36" t="s">
        <v>26</v>
      </c>
      <c r="F36" t="s">
        <v>21</v>
      </c>
      <c r="G36" t="s">
        <v>35</v>
      </c>
      <c r="H36">
        <v>3</v>
      </c>
      <c r="I36">
        <v>18937</v>
      </c>
      <c r="J36">
        <v>0.2</v>
      </c>
      <c r="K36">
        <v>45448.800000000003</v>
      </c>
      <c r="L36">
        <v>6708.2</v>
      </c>
    </row>
    <row r="37" spans="1:12" x14ac:dyDescent="0.3">
      <c r="A37" t="s">
        <v>115</v>
      </c>
      <c r="B37" s="3">
        <v>45999</v>
      </c>
      <c r="C37" t="s">
        <v>116</v>
      </c>
      <c r="D37" t="s">
        <v>65</v>
      </c>
      <c r="E37" t="s">
        <v>51</v>
      </c>
      <c r="F37" t="s">
        <v>16</v>
      </c>
      <c r="G37" t="s">
        <v>17</v>
      </c>
      <c r="H37">
        <v>1</v>
      </c>
      <c r="I37">
        <v>1712</v>
      </c>
      <c r="J37">
        <v>0.25</v>
      </c>
      <c r="K37">
        <v>1284</v>
      </c>
      <c r="L37">
        <v>318.16000000000003</v>
      </c>
    </row>
    <row r="38" spans="1:12" x14ac:dyDescent="0.3">
      <c r="A38" t="s">
        <v>118</v>
      </c>
      <c r="B38" s="3">
        <v>45928</v>
      </c>
      <c r="C38" t="s">
        <v>119</v>
      </c>
      <c r="D38" t="s">
        <v>120</v>
      </c>
      <c r="E38" t="s">
        <v>51</v>
      </c>
      <c r="F38" t="s">
        <v>27</v>
      </c>
      <c r="G38" t="s">
        <v>40</v>
      </c>
      <c r="H38">
        <v>1</v>
      </c>
      <c r="I38">
        <v>629</v>
      </c>
      <c r="J38">
        <v>0.1</v>
      </c>
      <c r="K38">
        <v>566.1</v>
      </c>
      <c r="L38">
        <v>132.47</v>
      </c>
    </row>
    <row r="39" spans="1:12" x14ac:dyDescent="0.3">
      <c r="A39" t="s">
        <v>121</v>
      </c>
      <c r="B39" s="3">
        <v>46007</v>
      </c>
      <c r="C39" t="s">
        <v>106</v>
      </c>
      <c r="D39" t="s">
        <v>65</v>
      </c>
      <c r="E39" t="s">
        <v>26</v>
      </c>
      <c r="F39" t="s">
        <v>27</v>
      </c>
      <c r="G39" t="s">
        <v>28</v>
      </c>
      <c r="H39">
        <v>2</v>
      </c>
      <c r="I39">
        <v>3304</v>
      </c>
      <c r="J39">
        <v>0.15</v>
      </c>
      <c r="K39">
        <v>5616.8</v>
      </c>
      <c r="L39">
        <v>1545.58</v>
      </c>
    </row>
    <row r="40" spans="1:12" x14ac:dyDescent="0.3">
      <c r="A40" t="s">
        <v>122</v>
      </c>
      <c r="B40" s="3">
        <v>45932</v>
      </c>
      <c r="C40" t="s">
        <v>123</v>
      </c>
      <c r="D40" t="s">
        <v>88</v>
      </c>
      <c r="E40" t="s">
        <v>73</v>
      </c>
      <c r="F40" t="s">
        <v>58</v>
      </c>
      <c r="G40" t="s">
        <v>59</v>
      </c>
      <c r="H40">
        <v>2</v>
      </c>
      <c r="I40">
        <v>139</v>
      </c>
      <c r="J40">
        <v>0</v>
      </c>
      <c r="K40">
        <v>278</v>
      </c>
      <c r="L40">
        <v>75.760000000000005</v>
      </c>
    </row>
    <row r="41" spans="1:12" x14ac:dyDescent="0.3">
      <c r="A41" t="s">
        <v>124</v>
      </c>
      <c r="B41" s="3">
        <v>45715</v>
      </c>
      <c r="C41" t="s">
        <v>125</v>
      </c>
      <c r="D41" t="s">
        <v>20</v>
      </c>
      <c r="E41" t="s">
        <v>15</v>
      </c>
      <c r="F41" t="s">
        <v>58</v>
      </c>
      <c r="G41" t="s">
        <v>126</v>
      </c>
      <c r="H41">
        <v>4</v>
      </c>
      <c r="I41">
        <v>9866</v>
      </c>
      <c r="J41">
        <v>0.05</v>
      </c>
      <c r="K41">
        <v>37490.799999999996</v>
      </c>
      <c r="L41">
        <v>3703.14</v>
      </c>
    </row>
    <row r="42" spans="1:12" x14ac:dyDescent="0.3">
      <c r="A42" t="s">
        <v>127</v>
      </c>
      <c r="B42" s="3">
        <v>45849</v>
      </c>
      <c r="C42" t="s">
        <v>128</v>
      </c>
      <c r="D42" t="s">
        <v>83</v>
      </c>
      <c r="E42" t="s">
        <v>73</v>
      </c>
      <c r="F42" t="s">
        <v>58</v>
      </c>
      <c r="G42" t="s">
        <v>126</v>
      </c>
      <c r="H42">
        <v>2</v>
      </c>
      <c r="I42">
        <v>648</v>
      </c>
      <c r="J42">
        <v>0.05</v>
      </c>
      <c r="K42">
        <v>1231.2</v>
      </c>
      <c r="L42">
        <v>159.5</v>
      </c>
    </row>
    <row r="43" spans="1:12" x14ac:dyDescent="0.3">
      <c r="A43" t="s">
        <v>129</v>
      </c>
      <c r="B43" s="3">
        <v>45877</v>
      </c>
      <c r="C43" t="s">
        <v>128</v>
      </c>
      <c r="D43" t="s">
        <v>80</v>
      </c>
      <c r="E43" t="s">
        <v>51</v>
      </c>
      <c r="F43" t="s">
        <v>58</v>
      </c>
      <c r="G43" t="s">
        <v>69</v>
      </c>
      <c r="H43">
        <v>1</v>
      </c>
      <c r="I43">
        <v>46629</v>
      </c>
      <c r="J43">
        <v>0.15</v>
      </c>
      <c r="K43">
        <v>39634.65</v>
      </c>
      <c r="L43">
        <v>8748.6200000000008</v>
      </c>
    </row>
    <row r="44" spans="1:12" x14ac:dyDescent="0.3">
      <c r="A44" t="s">
        <v>130</v>
      </c>
      <c r="B44" s="3">
        <v>45911</v>
      </c>
      <c r="C44" t="s">
        <v>131</v>
      </c>
      <c r="D44" t="s">
        <v>103</v>
      </c>
      <c r="E44" t="s">
        <v>51</v>
      </c>
      <c r="F44" t="s">
        <v>16</v>
      </c>
      <c r="G44" t="s">
        <v>52</v>
      </c>
      <c r="H44">
        <v>2</v>
      </c>
      <c r="I44">
        <v>4308</v>
      </c>
      <c r="J44">
        <v>0.1</v>
      </c>
      <c r="K44">
        <v>7754.4000000000005</v>
      </c>
      <c r="L44">
        <v>1605.31</v>
      </c>
    </row>
    <row r="45" spans="1:12" x14ac:dyDescent="0.3">
      <c r="A45" t="s">
        <v>132</v>
      </c>
      <c r="B45" s="3">
        <v>45753</v>
      </c>
      <c r="C45" t="s">
        <v>37</v>
      </c>
      <c r="D45" t="s">
        <v>92</v>
      </c>
      <c r="E45" t="s">
        <v>51</v>
      </c>
      <c r="F45" t="s">
        <v>27</v>
      </c>
      <c r="G45" t="s">
        <v>31</v>
      </c>
      <c r="H45">
        <v>3</v>
      </c>
      <c r="I45">
        <v>19539</v>
      </c>
      <c r="J45">
        <v>0</v>
      </c>
      <c r="K45">
        <v>58617</v>
      </c>
      <c r="L45">
        <v>5516.67</v>
      </c>
    </row>
    <row r="46" spans="1:12" x14ac:dyDescent="0.3">
      <c r="A46" t="s">
        <v>133</v>
      </c>
      <c r="B46" s="3">
        <v>45820</v>
      </c>
      <c r="C46" t="s">
        <v>134</v>
      </c>
      <c r="D46" t="s">
        <v>50</v>
      </c>
      <c r="E46" t="s">
        <v>51</v>
      </c>
      <c r="F46" t="s">
        <v>21</v>
      </c>
      <c r="G46" t="s">
        <v>55</v>
      </c>
      <c r="H46">
        <v>2</v>
      </c>
      <c r="I46">
        <v>2037</v>
      </c>
      <c r="J46">
        <v>0.1</v>
      </c>
      <c r="K46">
        <v>3666.6</v>
      </c>
      <c r="L46">
        <v>983.72</v>
      </c>
    </row>
    <row r="47" spans="1:12" x14ac:dyDescent="0.3">
      <c r="A47" t="s">
        <v>135</v>
      </c>
      <c r="B47" s="3">
        <v>45701</v>
      </c>
      <c r="C47" t="s">
        <v>136</v>
      </c>
      <c r="D47" t="s">
        <v>43</v>
      </c>
      <c r="E47" t="s">
        <v>44</v>
      </c>
      <c r="F47" t="s">
        <v>27</v>
      </c>
      <c r="G47" t="s">
        <v>31</v>
      </c>
      <c r="H47">
        <v>1</v>
      </c>
      <c r="I47">
        <v>558</v>
      </c>
      <c r="J47">
        <v>0.05</v>
      </c>
      <c r="K47">
        <v>530.1</v>
      </c>
      <c r="L47">
        <v>46.54</v>
      </c>
    </row>
    <row r="48" spans="1:12" x14ac:dyDescent="0.3">
      <c r="A48" t="s">
        <v>137</v>
      </c>
      <c r="B48" s="3">
        <v>45747</v>
      </c>
      <c r="C48" t="s">
        <v>109</v>
      </c>
      <c r="D48" t="s">
        <v>34</v>
      </c>
      <c r="E48" t="s">
        <v>15</v>
      </c>
      <c r="F48" t="s">
        <v>21</v>
      </c>
      <c r="G48" t="s">
        <v>35</v>
      </c>
      <c r="H48">
        <v>1</v>
      </c>
      <c r="I48">
        <v>11693</v>
      </c>
      <c r="J48">
        <v>0.1</v>
      </c>
      <c r="K48">
        <v>10523.7</v>
      </c>
      <c r="L48">
        <v>2300.25</v>
      </c>
    </row>
    <row r="49" spans="1:12" x14ac:dyDescent="0.3">
      <c r="A49" t="s">
        <v>138</v>
      </c>
      <c r="B49" s="3">
        <v>45934</v>
      </c>
      <c r="C49" t="s">
        <v>139</v>
      </c>
      <c r="D49" t="s">
        <v>47</v>
      </c>
      <c r="E49" t="s">
        <v>26</v>
      </c>
      <c r="F49" t="s">
        <v>21</v>
      </c>
      <c r="G49" t="s">
        <v>35</v>
      </c>
      <c r="H49">
        <v>5</v>
      </c>
      <c r="I49">
        <v>15220</v>
      </c>
      <c r="J49">
        <v>0.05</v>
      </c>
      <c r="K49">
        <v>72295</v>
      </c>
      <c r="L49">
        <v>14003.83</v>
      </c>
    </row>
    <row r="50" spans="1:12" x14ac:dyDescent="0.3">
      <c r="A50" t="s">
        <v>140</v>
      </c>
      <c r="B50" s="3">
        <v>45753</v>
      </c>
      <c r="C50" t="s">
        <v>141</v>
      </c>
      <c r="D50" t="s">
        <v>72</v>
      </c>
      <c r="E50" t="s">
        <v>73</v>
      </c>
      <c r="F50" t="s">
        <v>27</v>
      </c>
      <c r="G50" t="s">
        <v>28</v>
      </c>
      <c r="H50">
        <v>1</v>
      </c>
      <c r="I50">
        <v>1134</v>
      </c>
      <c r="J50">
        <v>0.15</v>
      </c>
      <c r="K50">
        <v>963.9</v>
      </c>
      <c r="L50">
        <v>159.81</v>
      </c>
    </row>
    <row r="51" spans="1:12" x14ac:dyDescent="0.3">
      <c r="A51" t="s">
        <v>142</v>
      </c>
      <c r="B51" s="3">
        <v>45930</v>
      </c>
      <c r="C51" t="s">
        <v>143</v>
      </c>
      <c r="D51" t="s">
        <v>88</v>
      </c>
      <c r="E51" t="s">
        <v>73</v>
      </c>
      <c r="F51" t="s">
        <v>58</v>
      </c>
      <c r="G51" t="s">
        <v>69</v>
      </c>
      <c r="H51">
        <v>2</v>
      </c>
      <c r="I51">
        <v>348</v>
      </c>
      <c r="J51">
        <v>0.05</v>
      </c>
      <c r="K51">
        <v>661.19999999999993</v>
      </c>
      <c r="L51">
        <v>92.26</v>
      </c>
    </row>
    <row r="52" spans="1:12" x14ac:dyDescent="0.3">
      <c r="A52" t="s">
        <v>144</v>
      </c>
      <c r="B52" s="3">
        <v>45733</v>
      </c>
      <c r="C52" t="s">
        <v>145</v>
      </c>
      <c r="D52" t="s">
        <v>20</v>
      </c>
      <c r="E52" t="s">
        <v>15</v>
      </c>
      <c r="F52" t="s">
        <v>58</v>
      </c>
      <c r="G52" t="s">
        <v>126</v>
      </c>
      <c r="H52">
        <v>1</v>
      </c>
      <c r="I52">
        <v>15525</v>
      </c>
      <c r="J52">
        <v>0.1</v>
      </c>
      <c r="K52">
        <v>13972.5</v>
      </c>
      <c r="L52">
        <v>2466.1999999999998</v>
      </c>
    </row>
    <row r="53" spans="1:12" x14ac:dyDescent="0.3">
      <c r="A53" t="s">
        <v>146</v>
      </c>
      <c r="B53" s="3">
        <v>45710</v>
      </c>
      <c r="C53" t="s">
        <v>147</v>
      </c>
      <c r="D53" t="s">
        <v>103</v>
      </c>
      <c r="E53" t="s">
        <v>51</v>
      </c>
      <c r="F53" t="s">
        <v>16</v>
      </c>
      <c r="G53" t="s">
        <v>52</v>
      </c>
      <c r="H53">
        <v>3</v>
      </c>
      <c r="I53">
        <v>7359</v>
      </c>
      <c r="J53">
        <v>0</v>
      </c>
      <c r="K53">
        <v>22077</v>
      </c>
      <c r="L53">
        <v>3949.22</v>
      </c>
    </row>
    <row r="54" spans="1:12" x14ac:dyDescent="0.3">
      <c r="A54" t="s">
        <v>148</v>
      </c>
      <c r="B54" s="3">
        <v>45872</v>
      </c>
      <c r="C54" t="s">
        <v>82</v>
      </c>
      <c r="D54" t="s">
        <v>68</v>
      </c>
      <c r="E54" t="s">
        <v>44</v>
      </c>
      <c r="F54" t="s">
        <v>58</v>
      </c>
      <c r="G54" t="s">
        <v>59</v>
      </c>
      <c r="H54">
        <v>2</v>
      </c>
      <c r="I54">
        <v>6176</v>
      </c>
      <c r="J54">
        <v>0.2</v>
      </c>
      <c r="K54">
        <v>9881.6</v>
      </c>
      <c r="L54">
        <v>2150.3000000000002</v>
      </c>
    </row>
    <row r="55" spans="1:12" x14ac:dyDescent="0.3">
      <c r="A55" t="s">
        <v>149</v>
      </c>
      <c r="B55" s="3">
        <v>45940</v>
      </c>
      <c r="C55" t="s">
        <v>150</v>
      </c>
      <c r="D55" t="s">
        <v>103</v>
      </c>
      <c r="E55" t="s">
        <v>51</v>
      </c>
      <c r="F55" t="s">
        <v>21</v>
      </c>
      <c r="G55" t="s">
        <v>55</v>
      </c>
      <c r="H55">
        <v>3</v>
      </c>
      <c r="I55">
        <v>1835</v>
      </c>
      <c r="J55">
        <v>0</v>
      </c>
      <c r="K55">
        <v>5505</v>
      </c>
      <c r="L55">
        <v>1526.69</v>
      </c>
    </row>
    <row r="56" spans="1:12" x14ac:dyDescent="0.3">
      <c r="A56" t="s">
        <v>151</v>
      </c>
      <c r="B56" s="3">
        <v>45984</v>
      </c>
      <c r="C56" t="s">
        <v>119</v>
      </c>
      <c r="D56" t="s">
        <v>20</v>
      </c>
      <c r="E56" t="s">
        <v>15</v>
      </c>
      <c r="F56" t="s">
        <v>58</v>
      </c>
      <c r="G56" t="s">
        <v>59</v>
      </c>
      <c r="H56">
        <v>5</v>
      </c>
      <c r="I56">
        <v>13287</v>
      </c>
      <c r="J56">
        <v>0.05</v>
      </c>
      <c r="K56">
        <v>63113.25</v>
      </c>
      <c r="L56">
        <v>6103.06</v>
      </c>
    </row>
    <row r="57" spans="1:12" x14ac:dyDescent="0.3">
      <c r="A57" t="s">
        <v>152</v>
      </c>
      <c r="B57" s="3">
        <v>45676</v>
      </c>
      <c r="C57" t="s">
        <v>116</v>
      </c>
      <c r="D57" t="s">
        <v>153</v>
      </c>
      <c r="E57" t="s">
        <v>26</v>
      </c>
      <c r="F57" t="s">
        <v>27</v>
      </c>
      <c r="G57" t="s">
        <v>40</v>
      </c>
      <c r="H57">
        <v>1</v>
      </c>
      <c r="I57">
        <v>6195</v>
      </c>
      <c r="J57">
        <v>0</v>
      </c>
      <c r="K57">
        <v>6195</v>
      </c>
      <c r="L57">
        <v>1076.27</v>
      </c>
    </row>
    <row r="58" spans="1:12" x14ac:dyDescent="0.3">
      <c r="A58" t="s">
        <v>154</v>
      </c>
      <c r="B58" s="3">
        <v>46018</v>
      </c>
      <c r="C58" t="s">
        <v>77</v>
      </c>
      <c r="D58" t="s">
        <v>72</v>
      </c>
      <c r="E58" t="s">
        <v>73</v>
      </c>
      <c r="F58" t="s">
        <v>58</v>
      </c>
      <c r="G58" t="s">
        <v>59</v>
      </c>
      <c r="H58">
        <v>3</v>
      </c>
      <c r="I58">
        <v>897</v>
      </c>
      <c r="J58">
        <v>0.05</v>
      </c>
      <c r="K58">
        <v>2556.4499999999998</v>
      </c>
      <c r="L58">
        <v>409.15</v>
      </c>
    </row>
    <row r="59" spans="1:12" x14ac:dyDescent="0.3">
      <c r="A59" t="s">
        <v>155</v>
      </c>
      <c r="B59" s="3">
        <v>45791</v>
      </c>
      <c r="C59" t="s">
        <v>156</v>
      </c>
      <c r="D59" t="s">
        <v>157</v>
      </c>
      <c r="E59" t="s">
        <v>51</v>
      </c>
      <c r="F59" t="s">
        <v>27</v>
      </c>
      <c r="G59" t="s">
        <v>28</v>
      </c>
      <c r="H59">
        <v>3</v>
      </c>
      <c r="I59">
        <v>84116</v>
      </c>
      <c r="J59">
        <v>0.1</v>
      </c>
      <c r="K59">
        <v>227113.2</v>
      </c>
      <c r="L59">
        <v>32826.32</v>
      </c>
    </row>
    <row r="60" spans="1:12" x14ac:dyDescent="0.3">
      <c r="A60" t="s">
        <v>158</v>
      </c>
      <c r="B60" s="3">
        <v>45821</v>
      </c>
      <c r="C60" t="s">
        <v>159</v>
      </c>
      <c r="D60" t="s">
        <v>153</v>
      </c>
      <c r="E60" t="s">
        <v>26</v>
      </c>
      <c r="F60" t="s">
        <v>21</v>
      </c>
      <c r="G60" t="s">
        <v>35</v>
      </c>
      <c r="H60">
        <v>2</v>
      </c>
      <c r="I60">
        <v>9770</v>
      </c>
      <c r="J60">
        <v>0.1</v>
      </c>
      <c r="K60">
        <v>17586</v>
      </c>
      <c r="L60">
        <v>3620.6</v>
      </c>
    </row>
    <row r="61" spans="1:12" x14ac:dyDescent="0.3">
      <c r="A61" t="s">
        <v>160</v>
      </c>
      <c r="B61" s="3">
        <v>45916</v>
      </c>
      <c r="C61" t="s">
        <v>161</v>
      </c>
      <c r="D61" t="s">
        <v>14</v>
      </c>
      <c r="E61" t="s">
        <v>15</v>
      </c>
      <c r="F61" t="s">
        <v>58</v>
      </c>
      <c r="G61" t="s">
        <v>69</v>
      </c>
      <c r="H61">
        <v>4</v>
      </c>
      <c r="I61">
        <v>6545</v>
      </c>
      <c r="J61">
        <v>0.05</v>
      </c>
      <c r="K61">
        <v>24871</v>
      </c>
      <c r="L61">
        <v>6717.22</v>
      </c>
    </row>
    <row r="62" spans="1:12" x14ac:dyDescent="0.3">
      <c r="A62" t="s">
        <v>162</v>
      </c>
      <c r="B62" s="3">
        <v>46005</v>
      </c>
      <c r="C62" t="s">
        <v>163</v>
      </c>
      <c r="D62" t="s">
        <v>20</v>
      </c>
      <c r="E62" t="s">
        <v>15</v>
      </c>
      <c r="F62" t="s">
        <v>58</v>
      </c>
      <c r="G62" t="s">
        <v>69</v>
      </c>
      <c r="H62">
        <v>2</v>
      </c>
      <c r="I62">
        <v>9271</v>
      </c>
      <c r="J62">
        <v>0.05</v>
      </c>
      <c r="K62">
        <v>17614.899999999998</v>
      </c>
      <c r="L62">
        <v>2346.09</v>
      </c>
    </row>
    <row r="63" spans="1:12" x14ac:dyDescent="0.3">
      <c r="A63" t="s">
        <v>164</v>
      </c>
      <c r="B63" s="3">
        <v>45802</v>
      </c>
      <c r="C63" t="s">
        <v>165</v>
      </c>
      <c r="D63" t="s">
        <v>43</v>
      </c>
      <c r="E63" t="s">
        <v>44</v>
      </c>
      <c r="F63" t="s">
        <v>16</v>
      </c>
      <c r="G63" t="s">
        <v>104</v>
      </c>
      <c r="H63">
        <v>1</v>
      </c>
      <c r="I63">
        <v>793</v>
      </c>
      <c r="J63">
        <v>0.1</v>
      </c>
      <c r="K63">
        <v>713.7</v>
      </c>
      <c r="L63">
        <v>95.77</v>
      </c>
    </row>
    <row r="64" spans="1:12" x14ac:dyDescent="0.3">
      <c r="A64" t="s">
        <v>166</v>
      </c>
      <c r="B64" s="3">
        <v>45913</v>
      </c>
      <c r="C64" t="s">
        <v>150</v>
      </c>
      <c r="D64" t="s">
        <v>97</v>
      </c>
      <c r="E64" t="s">
        <v>44</v>
      </c>
      <c r="F64" t="s">
        <v>27</v>
      </c>
      <c r="G64" t="s">
        <v>40</v>
      </c>
      <c r="H64">
        <v>2</v>
      </c>
      <c r="I64">
        <v>1123</v>
      </c>
      <c r="J64">
        <v>0</v>
      </c>
      <c r="K64">
        <v>2246</v>
      </c>
      <c r="L64">
        <v>573.48</v>
      </c>
    </row>
    <row r="65" spans="1:12" x14ac:dyDescent="0.3">
      <c r="A65" t="s">
        <v>167</v>
      </c>
      <c r="B65" s="3">
        <v>45803</v>
      </c>
      <c r="C65" t="s">
        <v>64</v>
      </c>
      <c r="D65" t="s">
        <v>80</v>
      </c>
      <c r="E65" t="s">
        <v>51</v>
      </c>
      <c r="F65" t="s">
        <v>27</v>
      </c>
      <c r="G65" t="s">
        <v>28</v>
      </c>
      <c r="H65">
        <v>5</v>
      </c>
      <c r="I65">
        <v>51017</v>
      </c>
      <c r="J65">
        <v>0.1</v>
      </c>
      <c r="K65">
        <v>229576.5</v>
      </c>
      <c r="L65">
        <v>35854.839999999997</v>
      </c>
    </row>
    <row r="66" spans="1:12" x14ac:dyDescent="0.3">
      <c r="A66" t="s">
        <v>168</v>
      </c>
      <c r="B66" s="3">
        <v>45755</v>
      </c>
      <c r="C66" t="s">
        <v>39</v>
      </c>
      <c r="D66" t="s">
        <v>97</v>
      </c>
      <c r="E66" t="s">
        <v>44</v>
      </c>
      <c r="F66" t="s">
        <v>58</v>
      </c>
      <c r="G66" t="s">
        <v>126</v>
      </c>
      <c r="H66">
        <v>1</v>
      </c>
      <c r="I66">
        <v>377</v>
      </c>
      <c r="J66">
        <v>0</v>
      </c>
      <c r="K66">
        <v>377</v>
      </c>
      <c r="L66">
        <v>35.840000000000003</v>
      </c>
    </row>
    <row r="67" spans="1:12" x14ac:dyDescent="0.3">
      <c r="A67" t="s">
        <v>169</v>
      </c>
      <c r="B67" s="3">
        <v>45710</v>
      </c>
      <c r="C67" t="s">
        <v>170</v>
      </c>
      <c r="D67" t="s">
        <v>88</v>
      </c>
      <c r="E67" t="s">
        <v>73</v>
      </c>
      <c r="F67" t="s">
        <v>58</v>
      </c>
      <c r="G67" t="s">
        <v>59</v>
      </c>
      <c r="H67">
        <v>4</v>
      </c>
      <c r="I67">
        <v>525</v>
      </c>
      <c r="J67">
        <v>0.05</v>
      </c>
      <c r="K67">
        <v>1995</v>
      </c>
      <c r="L67">
        <v>339.37</v>
      </c>
    </row>
    <row r="68" spans="1:12" x14ac:dyDescent="0.3">
      <c r="A68" t="s">
        <v>171</v>
      </c>
      <c r="B68" s="3">
        <v>45945</v>
      </c>
      <c r="C68" t="s">
        <v>172</v>
      </c>
      <c r="D68" t="s">
        <v>103</v>
      </c>
      <c r="E68" t="s">
        <v>51</v>
      </c>
      <c r="F68" t="s">
        <v>58</v>
      </c>
      <c r="G68" t="s">
        <v>69</v>
      </c>
      <c r="H68">
        <v>1</v>
      </c>
      <c r="I68">
        <v>3296</v>
      </c>
      <c r="J68">
        <v>0</v>
      </c>
      <c r="K68">
        <v>3296</v>
      </c>
      <c r="L68">
        <v>592.07000000000005</v>
      </c>
    </row>
    <row r="69" spans="1:12" x14ac:dyDescent="0.3">
      <c r="A69" t="s">
        <v>173</v>
      </c>
      <c r="B69" s="3">
        <v>45711</v>
      </c>
      <c r="C69" t="s">
        <v>174</v>
      </c>
      <c r="D69" t="s">
        <v>68</v>
      </c>
      <c r="E69" t="s">
        <v>44</v>
      </c>
      <c r="F69" t="s">
        <v>21</v>
      </c>
      <c r="G69" t="s">
        <v>35</v>
      </c>
      <c r="H69">
        <v>5</v>
      </c>
      <c r="I69">
        <v>2348</v>
      </c>
      <c r="J69">
        <v>0.15</v>
      </c>
      <c r="K69">
        <v>9979</v>
      </c>
      <c r="L69">
        <v>1975.75</v>
      </c>
    </row>
    <row r="70" spans="1:12" x14ac:dyDescent="0.3">
      <c r="A70" t="s">
        <v>175</v>
      </c>
      <c r="B70" s="3">
        <v>45723</v>
      </c>
      <c r="C70" t="s">
        <v>176</v>
      </c>
      <c r="D70" t="s">
        <v>14</v>
      </c>
      <c r="E70" t="s">
        <v>15</v>
      </c>
      <c r="F70" t="s">
        <v>58</v>
      </c>
      <c r="G70" t="s">
        <v>69</v>
      </c>
      <c r="H70">
        <v>3</v>
      </c>
      <c r="I70">
        <v>16838</v>
      </c>
      <c r="J70">
        <v>0.1</v>
      </c>
      <c r="K70">
        <v>45462.6</v>
      </c>
      <c r="L70">
        <v>12551.88</v>
      </c>
    </row>
    <row r="71" spans="1:12" x14ac:dyDescent="0.3">
      <c r="A71" t="s">
        <v>177</v>
      </c>
      <c r="B71" s="3">
        <v>45965</v>
      </c>
      <c r="C71" t="s">
        <v>178</v>
      </c>
      <c r="D71" t="s">
        <v>25</v>
      </c>
      <c r="E71" t="s">
        <v>26</v>
      </c>
      <c r="F71" t="s">
        <v>16</v>
      </c>
      <c r="G71" t="s">
        <v>17</v>
      </c>
      <c r="H71">
        <v>2</v>
      </c>
      <c r="I71">
        <v>11411</v>
      </c>
      <c r="J71">
        <v>0.2</v>
      </c>
      <c r="K71">
        <v>18257.600000000002</v>
      </c>
      <c r="L71">
        <v>2548.61</v>
      </c>
    </row>
    <row r="72" spans="1:12" x14ac:dyDescent="0.3">
      <c r="A72" t="s">
        <v>179</v>
      </c>
      <c r="B72" s="3">
        <v>45841</v>
      </c>
      <c r="C72" t="s">
        <v>180</v>
      </c>
      <c r="D72" t="s">
        <v>97</v>
      </c>
      <c r="E72" t="s">
        <v>44</v>
      </c>
      <c r="F72" t="s">
        <v>58</v>
      </c>
      <c r="G72" t="s">
        <v>69</v>
      </c>
      <c r="H72">
        <v>3</v>
      </c>
      <c r="I72">
        <v>980</v>
      </c>
      <c r="J72">
        <v>0</v>
      </c>
      <c r="K72">
        <v>2940</v>
      </c>
      <c r="L72">
        <v>262.17</v>
      </c>
    </row>
    <row r="73" spans="1:12" x14ac:dyDescent="0.3">
      <c r="A73" t="s">
        <v>181</v>
      </c>
      <c r="B73" s="3">
        <v>45700</v>
      </c>
      <c r="C73" t="s">
        <v>39</v>
      </c>
      <c r="D73" t="s">
        <v>47</v>
      </c>
      <c r="E73" t="s">
        <v>26</v>
      </c>
      <c r="F73" t="s">
        <v>27</v>
      </c>
      <c r="G73" t="s">
        <v>31</v>
      </c>
      <c r="H73">
        <v>1</v>
      </c>
      <c r="I73">
        <v>8138</v>
      </c>
      <c r="J73">
        <v>0</v>
      </c>
      <c r="K73">
        <v>8138</v>
      </c>
      <c r="L73">
        <v>859.45</v>
      </c>
    </row>
    <row r="74" spans="1:12" x14ac:dyDescent="0.3">
      <c r="A74" t="s">
        <v>182</v>
      </c>
      <c r="B74" s="3">
        <v>45852</v>
      </c>
      <c r="C74" t="s">
        <v>183</v>
      </c>
      <c r="D74" t="s">
        <v>20</v>
      </c>
      <c r="E74" t="s">
        <v>15</v>
      </c>
      <c r="F74" t="s">
        <v>21</v>
      </c>
      <c r="G74" t="s">
        <v>35</v>
      </c>
      <c r="H74">
        <v>4</v>
      </c>
      <c r="I74">
        <v>10668</v>
      </c>
      <c r="J74">
        <v>0.25</v>
      </c>
      <c r="K74">
        <v>32004</v>
      </c>
      <c r="L74">
        <v>6413.19</v>
      </c>
    </row>
    <row r="75" spans="1:12" x14ac:dyDescent="0.3">
      <c r="A75" t="s">
        <v>184</v>
      </c>
      <c r="B75" s="3">
        <v>45974</v>
      </c>
      <c r="C75" t="s">
        <v>185</v>
      </c>
      <c r="D75" t="s">
        <v>103</v>
      </c>
      <c r="E75" t="s">
        <v>51</v>
      </c>
      <c r="F75" t="s">
        <v>27</v>
      </c>
      <c r="G75" t="s">
        <v>40</v>
      </c>
      <c r="H75">
        <v>1</v>
      </c>
      <c r="I75">
        <v>5480</v>
      </c>
      <c r="J75">
        <v>0.1</v>
      </c>
      <c r="K75">
        <v>4932</v>
      </c>
      <c r="L75">
        <v>745.71</v>
      </c>
    </row>
    <row r="76" spans="1:12" x14ac:dyDescent="0.3">
      <c r="A76" t="s">
        <v>186</v>
      </c>
      <c r="B76" s="3">
        <v>45730</v>
      </c>
      <c r="C76" t="s">
        <v>187</v>
      </c>
      <c r="D76" t="s">
        <v>34</v>
      </c>
      <c r="E76" t="s">
        <v>15</v>
      </c>
      <c r="F76" t="s">
        <v>27</v>
      </c>
      <c r="G76" t="s">
        <v>28</v>
      </c>
      <c r="H76">
        <v>1</v>
      </c>
      <c r="I76">
        <v>15661</v>
      </c>
      <c r="J76">
        <v>0.1</v>
      </c>
      <c r="K76">
        <v>14094.9</v>
      </c>
      <c r="L76">
        <v>2569.94</v>
      </c>
    </row>
    <row r="77" spans="1:12" x14ac:dyDescent="0.3">
      <c r="A77" t="s">
        <v>188</v>
      </c>
      <c r="B77" s="3">
        <v>45949</v>
      </c>
      <c r="C77" t="s">
        <v>189</v>
      </c>
      <c r="D77" t="s">
        <v>97</v>
      </c>
      <c r="E77" t="s">
        <v>44</v>
      </c>
      <c r="F77" t="s">
        <v>58</v>
      </c>
      <c r="G77" t="s">
        <v>69</v>
      </c>
      <c r="H77">
        <v>3</v>
      </c>
      <c r="I77">
        <v>961</v>
      </c>
      <c r="J77">
        <v>0</v>
      </c>
      <c r="K77">
        <v>2883</v>
      </c>
      <c r="L77">
        <v>351.35</v>
      </c>
    </row>
    <row r="78" spans="1:12" x14ac:dyDescent="0.3">
      <c r="A78" t="s">
        <v>190</v>
      </c>
      <c r="B78" s="3">
        <v>45735</v>
      </c>
      <c r="C78" t="s">
        <v>191</v>
      </c>
      <c r="D78" t="s">
        <v>68</v>
      </c>
      <c r="E78" t="s">
        <v>44</v>
      </c>
      <c r="F78" t="s">
        <v>27</v>
      </c>
      <c r="G78" t="s">
        <v>31</v>
      </c>
      <c r="H78">
        <v>2</v>
      </c>
      <c r="I78">
        <v>6434</v>
      </c>
      <c r="J78">
        <v>0</v>
      </c>
      <c r="K78">
        <v>12868</v>
      </c>
      <c r="L78">
        <v>1679.11</v>
      </c>
    </row>
    <row r="79" spans="1:12" x14ac:dyDescent="0.3">
      <c r="A79" t="s">
        <v>192</v>
      </c>
      <c r="B79" s="3">
        <v>45896</v>
      </c>
      <c r="C79" t="s">
        <v>100</v>
      </c>
      <c r="D79" t="s">
        <v>88</v>
      </c>
      <c r="E79" t="s">
        <v>73</v>
      </c>
      <c r="F79" t="s">
        <v>27</v>
      </c>
      <c r="G79" t="s">
        <v>31</v>
      </c>
      <c r="H79">
        <v>1</v>
      </c>
      <c r="I79">
        <v>534</v>
      </c>
      <c r="J79">
        <v>0.05</v>
      </c>
      <c r="K79">
        <v>507.29999999999995</v>
      </c>
      <c r="L79">
        <v>80.88</v>
      </c>
    </row>
    <row r="80" spans="1:12" x14ac:dyDescent="0.3">
      <c r="A80" t="s">
        <v>193</v>
      </c>
      <c r="B80" s="3">
        <v>45930</v>
      </c>
      <c r="C80" t="s">
        <v>194</v>
      </c>
      <c r="D80" t="s">
        <v>34</v>
      </c>
      <c r="E80" t="s">
        <v>15</v>
      </c>
      <c r="F80" t="s">
        <v>16</v>
      </c>
      <c r="G80" t="s">
        <v>52</v>
      </c>
      <c r="H80">
        <v>1</v>
      </c>
      <c r="I80">
        <v>12895</v>
      </c>
      <c r="J80">
        <v>0</v>
      </c>
      <c r="K80">
        <v>12895</v>
      </c>
      <c r="L80">
        <v>3328.27</v>
      </c>
    </row>
    <row r="81" spans="1:12" x14ac:dyDescent="0.3">
      <c r="A81" t="s">
        <v>195</v>
      </c>
      <c r="B81" s="3">
        <v>45803</v>
      </c>
      <c r="C81" t="s">
        <v>77</v>
      </c>
      <c r="D81" t="s">
        <v>88</v>
      </c>
      <c r="E81" t="s">
        <v>73</v>
      </c>
      <c r="F81" t="s">
        <v>58</v>
      </c>
      <c r="G81" t="s">
        <v>126</v>
      </c>
      <c r="H81">
        <v>1</v>
      </c>
      <c r="I81">
        <v>369</v>
      </c>
      <c r="J81">
        <v>0.1</v>
      </c>
      <c r="K81">
        <v>332.1</v>
      </c>
      <c r="L81">
        <v>76.08</v>
      </c>
    </row>
    <row r="82" spans="1:12" x14ac:dyDescent="0.3">
      <c r="A82" t="s">
        <v>196</v>
      </c>
      <c r="B82" s="3">
        <v>45663</v>
      </c>
      <c r="C82" t="s">
        <v>197</v>
      </c>
      <c r="D82" t="s">
        <v>25</v>
      </c>
      <c r="E82" t="s">
        <v>26</v>
      </c>
      <c r="F82" t="s">
        <v>58</v>
      </c>
      <c r="G82" t="s">
        <v>126</v>
      </c>
      <c r="H82">
        <v>4</v>
      </c>
      <c r="I82">
        <v>13291</v>
      </c>
      <c r="J82">
        <v>0.05</v>
      </c>
      <c r="K82">
        <v>50505.799999999996</v>
      </c>
      <c r="L82">
        <v>9073.34</v>
      </c>
    </row>
    <row r="83" spans="1:12" x14ac:dyDescent="0.3">
      <c r="A83" t="s">
        <v>198</v>
      </c>
      <c r="B83" s="3">
        <v>45769</v>
      </c>
      <c r="C83" t="s">
        <v>199</v>
      </c>
      <c r="D83" t="s">
        <v>103</v>
      </c>
      <c r="E83" t="s">
        <v>51</v>
      </c>
      <c r="F83" t="s">
        <v>27</v>
      </c>
      <c r="G83" t="s">
        <v>40</v>
      </c>
      <c r="H83">
        <v>1</v>
      </c>
      <c r="I83">
        <v>2655</v>
      </c>
      <c r="J83">
        <v>0.05</v>
      </c>
      <c r="K83">
        <v>2522.25</v>
      </c>
      <c r="L83">
        <v>289.24</v>
      </c>
    </row>
    <row r="84" spans="1:12" x14ac:dyDescent="0.3">
      <c r="A84" t="s">
        <v>200</v>
      </c>
      <c r="B84" s="3">
        <v>45697</v>
      </c>
      <c r="C84" t="s">
        <v>201</v>
      </c>
      <c r="D84" t="s">
        <v>202</v>
      </c>
      <c r="E84" t="s">
        <v>44</v>
      </c>
      <c r="F84" t="s">
        <v>16</v>
      </c>
      <c r="G84" t="s">
        <v>17</v>
      </c>
      <c r="H84">
        <v>2</v>
      </c>
      <c r="I84">
        <v>3493</v>
      </c>
      <c r="J84">
        <v>0.2</v>
      </c>
      <c r="K84">
        <v>5588.8</v>
      </c>
      <c r="L84">
        <v>1090.93</v>
      </c>
    </row>
    <row r="85" spans="1:12" x14ac:dyDescent="0.3">
      <c r="A85" t="s">
        <v>203</v>
      </c>
      <c r="B85" s="3">
        <v>45751</v>
      </c>
      <c r="C85" t="s">
        <v>204</v>
      </c>
      <c r="D85" t="s">
        <v>68</v>
      </c>
      <c r="E85" t="s">
        <v>44</v>
      </c>
      <c r="F85" t="s">
        <v>27</v>
      </c>
      <c r="G85" t="s">
        <v>28</v>
      </c>
      <c r="H85">
        <v>1</v>
      </c>
      <c r="I85">
        <v>5946</v>
      </c>
      <c r="J85">
        <v>0.2</v>
      </c>
      <c r="K85">
        <v>4756.8</v>
      </c>
      <c r="L85">
        <v>910.23</v>
      </c>
    </row>
    <row r="86" spans="1:12" x14ac:dyDescent="0.3">
      <c r="A86" t="s">
        <v>205</v>
      </c>
      <c r="B86" s="3">
        <v>45983</v>
      </c>
      <c r="C86" t="s">
        <v>206</v>
      </c>
      <c r="D86" t="s">
        <v>47</v>
      </c>
      <c r="E86" t="s">
        <v>26</v>
      </c>
      <c r="F86" t="s">
        <v>21</v>
      </c>
      <c r="G86" t="s">
        <v>35</v>
      </c>
      <c r="H86">
        <v>5</v>
      </c>
      <c r="I86">
        <v>17664</v>
      </c>
      <c r="J86">
        <v>0</v>
      </c>
      <c r="K86">
        <v>88320</v>
      </c>
      <c r="L86">
        <v>20070.669999999998</v>
      </c>
    </row>
    <row r="87" spans="1:12" x14ac:dyDescent="0.3">
      <c r="A87" t="s">
        <v>207</v>
      </c>
      <c r="B87" s="3">
        <v>45950</v>
      </c>
      <c r="C87" t="s">
        <v>208</v>
      </c>
      <c r="D87" t="s">
        <v>92</v>
      </c>
      <c r="E87" t="s">
        <v>51</v>
      </c>
      <c r="F87" t="s">
        <v>27</v>
      </c>
      <c r="G87" t="s">
        <v>40</v>
      </c>
      <c r="H87">
        <v>2</v>
      </c>
      <c r="I87">
        <v>23912</v>
      </c>
      <c r="J87">
        <v>0.05</v>
      </c>
      <c r="K87">
        <v>45432.799999999996</v>
      </c>
      <c r="L87">
        <v>9030.98</v>
      </c>
    </row>
    <row r="88" spans="1:12" x14ac:dyDescent="0.3">
      <c r="A88" t="s">
        <v>209</v>
      </c>
      <c r="B88" s="3">
        <v>45795</v>
      </c>
      <c r="C88" t="s">
        <v>163</v>
      </c>
      <c r="D88" t="s">
        <v>34</v>
      </c>
      <c r="E88" t="s">
        <v>15</v>
      </c>
      <c r="F88" t="s">
        <v>58</v>
      </c>
      <c r="G88" t="s">
        <v>59</v>
      </c>
      <c r="H88">
        <v>5</v>
      </c>
      <c r="I88">
        <v>12802</v>
      </c>
      <c r="J88">
        <v>0.15</v>
      </c>
      <c r="K88">
        <v>54408.5</v>
      </c>
      <c r="L88">
        <v>7123.6</v>
      </c>
    </row>
    <row r="89" spans="1:12" x14ac:dyDescent="0.3">
      <c r="A89" t="s">
        <v>210</v>
      </c>
      <c r="B89" s="3">
        <v>45695</v>
      </c>
      <c r="C89" t="s">
        <v>211</v>
      </c>
      <c r="D89" t="s">
        <v>80</v>
      </c>
      <c r="E89" t="s">
        <v>51</v>
      </c>
      <c r="F89" t="s">
        <v>16</v>
      </c>
      <c r="G89" t="s">
        <v>17</v>
      </c>
      <c r="H89">
        <v>1</v>
      </c>
      <c r="I89">
        <v>58955</v>
      </c>
      <c r="J89">
        <v>0.2</v>
      </c>
      <c r="K89">
        <v>47164</v>
      </c>
      <c r="L89">
        <v>11608.19</v>
      </c>
    </row>
    <row r="90" spans="1:12" x14ac:dyDescent="0.3">
      <c r="A90" t="s">
        <v>212</v>
      </c>
      <c r="B90" s="3">
        <v>45733</v>
      </c>
      <c r="C90" t="s">
        <v>96</v>
      </c>
      <c r="D90" t="s">
        <v>50</v>
      </c>
      <c r="E90" t="s">
        <v>51</v>
      </c>
      <c r="F90" t="s">
        <v>21</v>
      </c>
      <c r="G90" t="s">
        <v>69</v>
      </c>
      <c r="H90">
        <v>1</v>
      </c>
      <c r="I90">
        <v>3301</v>
      </c>
      <c r="J90">
        <v>0.15</v>
      </c>
      <c r="K90">
        <v>2805.85</v>
      </c>
      <c r="L90">
        <v>251.46</v>
      </c>
    </row>
    <row r="91" spans="1:12" x14ac:dyDescent="0.3">
      <c r="A91" t="s">
        <v>214</v>
      </c>
      <c r="B91" s="3">
        <v>45973</v>
      </c>
      <c r="C91" t="s">
        <v>215</v>
      </c>
      <c r="D91" t="s">
        <v>80</v>
      </c>
      <c r="E91" t="s">
        <v>51</v>
      </c>
      <c r="F91" t="s">
        <v>58</v>
      </c>
      <c r="G91" t="s">
        <v>69</v>
      </c>
      <c r="H91">
        <v>1</v>
      </c>
      <c r="I91">
        <v>51571</v>
      </c>
      <c r="J91">
        <v>0.15</v>
      </c>
      <c r="K91">
        <v>43835.35</v>
      </c>
      <c r="L91">
        <v>9338.66</v>
      </c>
    </row>
    <row r="92" spans="1:12" x14ac:dyDescent="0.3">
      <c r="A92" t="s">
        <v>216</v>
      </c>
      <c r="B92" s="3">
        <v>45746</v>
      </c>
      <c r="C92" t="s">
        <v>217</v>
      </c>
      <c r="D92" t="s">
        <v>97</v>
      </c>
      <c r="E92" t="s">
        <v>44</v>
      </c>
      <c r="F92" t="s">
        <v>58</v>
      </c>
      <c r="G92" t="s">
        <v>69</v>
      </c>
      <c r="H92">
        <v>2</v>
      </c>
      <c r="I92">
        <v>679</v>
      </c>
      <c r="J92">
        <v>0.1</v>
      </c>
      <c r="K92">
        <v>1222.2</v>
      </c>
      <c r="L92">
        <v>317.69</v>
      </c>
    </row>
    <row r="93" spans="1:12" x14ac:dyDescent="0.3">
      <c r="A93" t="s">
        <v>218</v>
      </c>
      <c r="B93" s="3">
        <v>45810</v>
      </c>
      <c r="C93" t="s">
        <v>54</v>
      </c>
      <c r="D93" t="s">
        <v>30</v>
      </c>
      <c r="E93" t="s">
        <v>15</v>
      </c>
      <c r="F93" t="s">
        <v>16</v>
      </c>
      <c r="G93" t="s">
        <v>17</v>
      </c>
      <c r="H93">
        <v>1</v>
      </c>
      <c r="I93">
        <v>8219</v>
      </c>
      <c r="J93">
        <v>0.1</v>
      </c>
      <c r="K93">
        <v>7397.1</v>
      </c>
      <c r="L93">
        <v>690.33</v>
      </c>
    </row>
    <row r="94" spans="1:12" x14ac:dyDescent="0.3">
      <c r="A94" t="s">
        <v>219</v>
      </c>
      <c r="B94" s="3">
        <v>45724</v>
      </c>
      <c r="C94" t="s">
        <v>220</v>
      </c>
      <c r="D94" t="s">
        <v>153</v>
      </c>
      <c r="E94" t="s">
        <v>26</v>
      </c>
      <c r="F94" t="s">
        <v>27</v>
      </c>
      <c r="G94" t="s">
        <v>40</v>
      </c>
      <c r="H94">
        <v>2</v>
      </c>
      <c r="I94">
        <v>5012</v>
      </c>
      <c r="J94">
        <v>0</v>
      </c>
      <c r="K94">
        <v>10024</v>
      </c>
      <c r="L94">
        <v>2393.7800000000002</v>
      </c>
    </row>
    <row r="95" spans="1:12" x14ac:dyDescent="0.3">
      <c r="A95" t="s">
        <v>221</v>
      </c>
      <c r="B95" s="3">
        <v>45814</v>
      </c>
      <c r="C95" t="s">
        <v>64</v>
      </c>
      <c r="D95" t="s">
        <v>25</v>
      </c>
      <c r="E95" t="s">
        <v>26</v>
      </c>
      <c r="F95" t="s">
        <v>16</v>
      </c>
      <c r="G95" t="s">
        <v>17</v>
      </c>
      <c r="H95">
        <v>1</v>
      </c>
      <c r="I95">
        <v>9741</v>
      </c>
      <c r="J95">
        <v>0.05</v>
      </c>
      <c r="K95">
        <v>9253.9499999999989</v>
      </c>
      <c r="L95">
        <v>2117.1999999999998</v>
      </c>
    </row>
    <row r="96" spans="1:12" x14ac:dyDescent="0.3">
      <c r="A96" t="s">
        <v>222</v>
      </c>
      <c r="B96" s="3">
        <v>46010</v>
      </c>
      <c r="C96" t="s">
        <v>223</v>
      </c>
      <c r="D96" t="s">
        <v>83</v>
      </c>
      <c r="E96" t="s">
        <v>73</v>
      </c>
      <c r="F96" t="s">
        <v>16</v>
      </c>
      <c r="G96" t="s">
        <v>104</v>
      </c>
      <c r="H96">
        <v>1</v>
      </c>
      <c r="I96">
        <v>599</v>
      </c>
      <c r="J96">
        <v>0.05</v>
      </c>
      <c r="K96">
        <v>569.04999999999995</v>
      </c>
      <c r="L96">
        <v>97.54</v>
      </c>
    </row>
    <row r="97" spans="1:12" x14ac:dyDescent="0.3">
      <c r="A97" t="s">
        <v>224</v>
      </c>
      <c r="B97" s="3">
        <v>45814</v>
      </c>
      <c r="C97" t="s">
        <v>225</v>
      </c>
      <c r="D97" t="s">
        <v>14</v>
      </c>
      <c r="E97" t="s">
        <v>15</v>
      </c>
      <c r="F97" t="s">
        <v>21</v>
      </c>
      <c r="G97" t="s">
        <v>35</v>
      </c>
      <c r="H97">
        <v>1</v>
      </c>
      <c r="I97">
        <v>14667</v>
      </c>
      <c r="J97">
        <v>0.15</v>
      </c>
      <c r="K97">
        <v>12466.949999999999</v>
      </c>
      <c r="L97">
        <v>2595.9899999999998</v>
      </c>
    </row>
    <row r="98" spans="1:12" x14ac:dyDescent="0.3">
      <c r="A98" t="s">
        <v>226</v>
      </c>
      <c r="B98" s="3">
        <v>45805</v>
      </c>
      <c r="C98" t="s">
        <v>174</v>
      </c>
      <c r="D98" t="s">
        <v>153</v>
      </c>
      <c r="E98" t="s">
        <v>26</v>
      </c>
      <c r="F98" t="s">
        <v>16</v>
      </c>
      <c r="G98" t="s">
        <v>52</v>
      </c>
      <c r="H98">
        <v>1</v>
      </c>
      <c r="I98">
        <v>9313</v>
      </c>
      <c r="J98">
        <v>0.1</v>
      </c>
      <c r="K98">
        <v>8381.7000000000007</v>
      </c>
      <c r="L98">
        <v>1342.5</v>
      </c>
    </row>
    <row r="99" spans="1:12" x14ac:dyDescent="0.3">
      <c r="A99" t="s">
        <v>227</v>
      </c>
      <c r="B99" s="3">
        <v>45798</v>
      </c>
      <c r="C99" t="s">
        <v>228</v>
      </c>
      <c r="D99" t="s">
        <v>30</v>
      </c>
      <c r="E99" t="s">
        <v>15</v>
      </c>
      <c r="F99" t="s">
        <v>21</v>
      </c>
      <c r="G99" t="s">
        <v>55</v>
      </c>
      <c r="H99">
        <v>1</v>
      </c>
      <c r="I99">
        <v>5458</v>
      </c>
      <c r="J99">
        <v>0.05</v>
      </c>
      <c r="K99">
        <v>5185.0999999999995</v>
      </c>
      <c r="L99">
        <v>1167.78</v>
      </c>
    </row>
    <row r="100" spans="1:12" x14ac:dyDescent="0.3">
      <c r="A100" t="s">
        <v>229</v>
      </c>
      <c r="B100" s="3">
        <v>45950</v>
      </c>
      <c r="C100" t="s">
        <v>183</v>
      </c>
      <c r="D100" t="s">
        <v>43</v>
      </c>
      <c r="E100" t="s">
        <v>44</v>
      </c>
      <c r="F100" t="s">
        <v>21</v>
      </c>
      <c r="G100" t="s">
        <v>35</v>
      </c>
      <c r="H100">
        <v>3</v>
      </c>
      <c r="I100">
        <v>483</v>
      </c>
      <c r="J100">
        <v>0.1</v>
      </c>
      <c r="K100">
        <v>1304.1000000000001</v>
      </c>
      <c r="L100">
        <v>262.57</v>
      </c>
    </row>
    <row r="101" spans="1:12" x14ac:dyDescent="0.3">
      <c r="A101" t="s">
        <v>230</v>
      </c>
      <c r="B101" s="3">
        <v>45924</v>
      </c>
      <c r="C101" t="s">
        <v>231</v>
      </c>
      <c r="D101" t="s">
        <v>72</v>
      </c>
      <c r="E101" t="s">
        <v>73</v>
      </c>
      <c r="F101" t="s">
        <v>58</v>
      </c>
      <c r="G101" t="s">
        <v>69</v>
      </c>
      <c r="H101">
        <v>2</v>
      </c>
      <c r="I101">
        <v>358</v>
      </c>
      <c r="J101">
        <v>0.25</v>
      </c>
      <c r="K101">
        <v>537</v>
      </c>
      <c r="L101">
        <v>133.06</v>
      </c>
    </row>
    <row r="102" spans="1:12" x14ac:dyDescent="0.3">
      <c r="A102" t="s">
        <v>232</v>
      </c>
      <c r="B102" s="3">
        <v>45806</v>
      </c>
      <c r="C102" t="s">
        <v>215</v>
      </c>
      <c r="D102" t="s">
        <v>34</v>
      </c>
      <c r="E102" t="s">
        <v>15</v>
      </c>
      <c r="F102" t="s">
        <v>16</v>
      </c>
      <c r="G102" t="s">
        <v>17</v>
      </c>
      <c r="H102">
        <v>1</v>
      </c>
      <c r="I102">
        <v>20396</v>
      </c>
      <c r="J102">
        <v>0</v>
      </c>
      <c r="K102">
        <v>20396</v>
      </c>
      <c r="L102">
        <v>4845.2299999999996</v>
      </c>
    </row>
    <row r="103" spans="1:12" x14ac:dyDescent="0.3">
      <c r="A103" t="s">
        <v>233</v>
      </c>
      <c r="B103" s="3">
        <v>45747</v>
      </c>
      <c r="C103" t="s">
        <v>234</v>
      </c>
      <c r="D103" t="s">
        <v>30</v>
      </c>
      <c r="E103" t="s">
        <v>15</v>
      </c>
      <c r="F103" t="s">
        <v>21</v>
      </c>
      <c r="G103" t="s">
        <v>35</v>
      </c>
      <c r="H103">
        <v>4</v>
      </c>
      <c r="I103">
        <v>7790</v>
      </c>
      <c r="J103">
        <v>0.05</v>
      </c>
      <c r="K103">
        <v>29602</v>
      </c>
      <c r="L103">
        <v>6734.46</v>
      </c>
    </row>
    <row r="104" spans="1:12" x14ac:dyDescent="0.3">
      <c r="A104" t="s">
        <v>235</v>
      </c>
      <c r="B104" s="3">
        <v>45836</v>
      </c>
      <c r="C104" t="s">
        <v>87</v>
      </c>
      <c r="D104" t="s">
        <v>153</v>
      </c>
      <c r="E104" t="s">
        <v>26</v>
      </c>
      <c r="F104" t="s">
        <v>21</v>
      </c>
      <c r="G104" t="s">
        <v>22</v>
      </c>
      <c r="H104">
        <v>1</v>
      </c>
      <c r="I104">
        <v>6832</v>
      </c>
      <c r="J104">
        <v>0</v>
      </c>
      <c r="K104">
        <v>6832</v>
      </c>
      <c r="L104">
        <v>592.85</v>
      </c>
    </row>
    <row r="105" spans="1:12" x14ac:dyDescent="0.3">
      <c r="A105" t="s">
        <v>236</v>
      </c>
      <c r="B105" s="3">
        <v>45811</v>
      </c>
      <c r="C105" t="s">
        <v>139</v>
      </c>
      <c r="D105" t="s">
        <v>30</v>
      </c>
      <c r="E105" t="s">
        <v>15</v>
      </c>
      <c r="F105" t="s">
        <v>16</v>
      </c>
      <c r="G105" t="s">
        <v>104</v>
      </c>
      <c r="H105">
        <v>1</v>
      </c>
      <c r="I105">
        <v>10804</v>
      </c>
      <c r="J105">
        <v>0</v>
      </c>
      <c r="K105">
        <v>10804</v>
      </c>
      <c r="L105">
        <v>2941</v>
      </c>
    </row>
    <row r="106" spans="1:12" x14ac:dyDescent="0.3">
      <c r="A106" t="s">
        <v>237</v>
      </c>
      <c r="B106" s="3">
        <v>45846</v>
      </c>
      <c r="C106" t="s">
        <v>238</v>
      </c>
      <c r="D106" t="s">
        <v>25</v>
      </c>
      <c r="E106" t="s">
        <v>26</v>
      </c>
      <c r="F106" t="s">
        <v>21</v>
      </c>
      <c r="G106" t="s">
        <v>22</v>
      </c>
      <c r="H106">
        <v>1</v>
      </c>
      <c r="I106">
        <v>9595</v>
      </c>
      <c r="J106">
        <v>0.05</v>
      </c>
      <c r="K106">
        <v>9115.25</v>
      </c>
      <c r="L106">
        <v>1453.55</v>
      </c>
    </row>
    <row r="107" spans="1:12" x14ac:dyDescent="0.3">
      <c r="A107" t="s">
        <v>239</v>
      </c>
      <c r="B107" s="3">
        <v>45942</v>
      </c>
      <c r="C107" t="s">
        <v>240</v>
      </c>
      <c r="D107" t="s">
        <v>50</v>
      </c>
      <c r="E107" t="s">
        <v>51</v>
      </c>
      <c r="F107" t="s">
        <v>27</v>
      </c>
      <c r="G107" t="s">
        <v>40</v>
      </c>
      <c r="H107">
        <v>2</v>
      </c>
      <c r="I107">
        <v>1820</v>
      </c>
      <c r="J107">
        <v>0.15</v>
      </c>
      <c r="K107">
        <v>3094</v>
      </c>
      <c r="L107">
        <v>611.04</v>
      </c>
    </row>
    <row r="108" spans="1:12" x14ac:dyDescent="0.3">
      <c r="A108" t="s">
        <v>241</v>
      </c>
      <c r="B108" s="3">
        <v>45770</v>
      </c>
      <c r="C108" t="s">
        <v>220</v>
      </c>
      <c r="D108" t="s">
        <v>88</v>
      </c>
      <c r="E108" t="s">
        <v>73</v>
      </c>
      <c r="F108" t="s">
        <v>27</v>
      </c>
      <c r="G108" t="s">
        <v>40</v>
      </c>
      <c r="H108">
        <v>1</v>
      </c>
      <c r="I108">
        <v>380</v>
      </c>
      <c r="J108">
        <v>0</v>
      </c>
      <c r="K108">
        <v>380</v>
      </c>
      <c r="L108">
        <v>44.23</v>
      </c>
    </row>
    <row r="109" spans="1:12" x14ac:dyDescent="0.3">
      <c r="A109" t="s">
        <v>242</v>
      </c>
      <c r="B109" s="3">
        <v>45819</v>
      </c>
      <c r="C109" t="s">
        <v>96</v>
      </c>
      <c r="D109" t="s">
        <v>50</v>
      </c>
      <c r="E109" t="s">
        <v>51</v>
      </c>
      <c r="F109" t="s">
        <v>21</v>
      </c>
      <c r="G109" t="s">
        <v>55</v>
      </c>
      <c r="H109">
        <v>1</v>
      </c>
      <c r="I109">
        <v>869</v>
      </c>
      <c r="J109">
        <v>0</v>
      </c>
      <c r="K109">
        <v>869</v>
      </c>
      <c r="L109">
        <v>193.96</v>
      </c>
    </row>
    <row r="110" spans="1:12" x14ac:dyDescent="0.3">
      <c r="A110" t="s">
        <v>243</v>
      </c>
      <c r="B110" s="3">
        <v>45912</v>
      </c>
      <c r="C110" t="s">
        <v>244</v>
      </c>
      <c r="D110" t="s">
        <v>14</v>
      </c>
      <c r="E110" t="s">
        <v>15</v>
      </c>
      <c r="F110" t="s">
        <v>16</v>
      </c>
      <c r="G110" t="s">
        <v>17</v>
      </c>
      <c r="H110">
        <v>1</v>
      </c>
      <c r="I110">
        <v>7249</v>
      </c>
      <c r="J110">
        <v>0.15</v>
      </c>
      <c r="K110">
        <v>6161.65</v>
      </c>
      <c r="L110">
        <v>712.96</v>
      </c>
    </row>
    <row r="111" spans="1:12" x14ac:dyDescent="0.3">
      <c r="A111" t="s">
        <v>245</v>
      </c>
      <c r="B111" s="3">
        <v>45753</v>
      </c>
      <c r="C111" t="s">
        <v>246</v>
      </c>
      <c r="D111" t="s">
        <v>65</v>
      </c>
      <c r="E111" t="s">
        <v>26</v>
      </c>
      <c r="F111" t="s">
        <v>27</v>
      </c>
      <c r="G111" t="s">
        <v>31</v>
      </c>
      <c r="H111">
        <v>5</v>
      </c>
      <c r="I111">
        <v>3191</v>
      </c>
      <c r="J111">
        <v>0.15</v>
      </c>
      <c r="K111">
        <v>13561.75</v>
      </c>
      <c r="L111">
        <v>3695.98</v>
      </c>
    </row>
    <row r="112" spans="1:12" x14ac:dyDescent="0.3">
      <c r="A112" t="s">
        <v>247</v>
      </c>
      <c r="B112" s="3">
        <v>45920</v>
      </c>
      <c r="C112" t="s">
        <v>248</v>
      </c>
      <c r="D112" t="s">
        <v>92</v>
      </c>
      <c r="E112" t="s">
        <v>51</v>
      </c>
      <c r="F112" t="s">
        <v>16</v>
      </c>
      <c r="G112" t="s">
        <v>104</v>
      </c>
      <c r="H112">
        <v>3</v>
      </c>
      <c r="I112">
        <v>22570</v>
      </c>
      <c r="J112">
        <v>0</v>
      </c>
      <c r="K112">
        <v>67710</v>
      </c>
      <c r="L112">
        <v>17285.61</v>
      </c>
    </row>
    <row r="113" spans="1:12" x14ac:dyDescent="0.3">
      <c r="A113" t="s">
        <v>249</v>
      </c>
      <c r="B113" s="3">
        <v>45854</v>
      </c>
      <c r="C113" t="s">
        <v>206</v>
      </c>
      <c r="D113" t="s">
        <v>34</v>
      </c>
      <c r="E113" t="s">
        <v>15</v>
      </c>
      <c r="F113" t="s">
        <v>58</v>
      </c>
      <c r="G113" t="s">
        <v>59</v>
      </c>
      <c r="H113">
        <v>1</v>
      </c>
      <c r="I113">
        <v>11670</v>
      </c>
      <c r="J113">
        <v>0.05</v>
      </c>
      <c r="K113">
        <v>11086.5</v>
      </c>
      <c r="L113">
        <v>2195.7800000000002</v>
      </c>
    </row>
    <row r="114" spans="1:12" x14ac:dyDescent="0.3">
      <c r="A114" t="s">
        <v>250</v>
      </c>
      <c r="B114" s="3">
        <v>45883</v>
      </c>
      <c r="C114" t="s">
        <v>251</v>
      </c>
      <c r="D114" t="s">
        <v>97</v>
      </c>
      <c r="E114" t="s">
        <v>44</v>
      </c>
      <c r="F114" t="s">
        <v>27</v>
      </c>
      <c r="G114" t="s">
        <v>40</v>
      </c>
      <c r="H114">
        <v>4</v>
      </c>
      <c r="I114">
        <v>459</v>
      </c>
      <c r="J114">
        <v>0.25</v>
      </c>
      <c r="K114">
        <v>1377</v>
      </c>
      <c r="L114">
        <v>324.91000000000003</v>
      </c>
    </row>
    <row r="115" spans="1:12" x14ac:dyDescent="0.3">
      <c r="A115" t="s">
        <v>252</v>
      </c>
      <c r="B115" s="3">
        <v>45872</v>
      </c>
      <c r="C115" t="s">
        <v>253</v>
      </c>
      <c r="D115" t="s">
        <v>43</v>
      </c>
      <c r="E115" t="s">
        <v>44</v>
      </c>
      <c r="F115" t="s">
        <v>16</v>
      </c>
      <c r="G115" t="s">
        <v>104</v>
      </c>
      <c r="H115">
        <v>3</v>
      </c>
      <c r="I115">
        <v>810</v>
      </c>
      <c r="J115">
        <v>0</v>
      </c>
      <c r="K115">
        <v>2430</v>
      </c>
      <c r="L115">
        <v>324.98</v>
      </c>
    </row>
    <row r="116" spans="1:12" x14ac:dyDescent="0.3">
      <c r="A116" t="s">
        <v>254</v>
      </c>
      <c r="B116" s="3">
        <v>45903</v>
      </c>
      <c r="C116" t="s">
        <v>255</v>
      </c>
      <c r="D116" t="s">
        <v>83</v>
      </c>
      <c r="E116" t="s">
        <v>73</v>
      </c>
      <c r="F116" t="s">
        <v>16</v>
      </c>
      <c r="G116" t="s">
        <v>52</v>
      </c>
      <c r="H116">
        <v>2</v>
      </c>
      <c r="I116">
        <v>524</v>
      </c>
      <c r="J116">
        <v>0</v>
      </c>
      <c r="K116">
        <v>1048</v>
      </c>
      <c r="L116">
        <v>272.60000000000002</v>
      </c>
    </row>
    <row r="117" spans="1:12" x14ac:dyDescent="0.3">
      <c r="A117" t="s">
        <v>256</v>
      </c>
      <c r="B117" s="3">
        <v>45785</v>
      </c>
      <c r="C117" t="s">
        <v>257</v>
      </c>
      <c r="D117" t="s">
        <v>50</v>
      </c>
      <c r="E117" t="s">
        <v>51</v>
      </c>
      <c r="F117" t="s">
        <v>27</v>
      </c>
      <c r="G117" t="s">
        <v>40</v>
      </c>
      <c r="H117">
        <v>1</v>
      </c>
      <c r="I117">
        <v>2357</v>
      </c>
      <c r="J117">
        <v>0.05</v>
      </c>
      <c r="K117">
        <v>2239.15</v>
      </c>
      <c r="L117">
        <v>427.31</v>
      </c>
    </row>
    <row r="118" spans="1:12" x14ac:dyDescent="0.3">
      <c r="A118" t="s">
        <v>258</v>
      </c>
      <c r="B118" s="3">
        <v>46019</v>
      </c>
      <c r="C118" t="s">
        <v>255</v>
      </c>
      <c r="D118" t="s">
        <v>65</v>
      </c>
      <c r="E118" t="s">
        <v>26</v>
      </c>
      <c r="F118" t="s">
        <v>16</v>
      </c>
      <c r="G118" t="s">
        <v>52</v>
      </c>
      <c r="H118">
        <v>1</v>
      </c>
      <c r="I118">
        <v>2070</v>
      </c>
      <c r="J118">
        <v>0.05</v>
      </c>
      <c r="K118">
        <v>1966.5</v>
      </c>
      <c r="L118">
        <v>445.29</v>
      </c>
    </row>
    <row r="119" spans="1:12" x14ac:dyDescent="0.3">
      <c r="A119" t="s">
        <v>259</v>
      </c>
      <c r="B119" s="3">
        <v>45830</v>
      </c>
      <c r="C119" t="s">
        <v>260</v>
      </c>
      <c r="D119" t="s">
        <v>47</v>
      </c>
      <c r="E119" t="s">
        <v>26</v>
      </c>
      <c r="F119" t="s">
        <v>58</v>
      </c>
      <c r="G119" t="s">
        <v>59</v>
      </c>
      <c r="H119">
        <v>3</v>
      </c>
      <c r="I119">
        <v>13066</v>
      </c>
      <c r="J119">
        <v>0.15</v>
      </c>
      <c r="K119">
        <v>33318.299999999996</v>
      </c>
      <c r="L119">
        <v>5477.77</v>
      </c>
    </row>
    <row r="120" spans="1:12" x14ac:dyDescent="0.3">
      <c r="A120" t="s">
        <v>261</v>
      </c>
      <c r="B120" s="3">
        <v>45838</v>
      </c>
      <c r="C120" t="s">
        <v>225</v>
      </c>
      <c r="D120" t="s">
        <v>50</v>
      </c>
      <c r="E120" t="s">
        <v>51</v>
      </c>
      <c r="F120" t="s">
        <v>58</v>
      </c>
      <c r="G120" t="s">
        <v>59</v>
      </c>
      <c r="H120">
        <v>2</v>
      </c>
      <c r="I120">
        <v>1462</v>
      </c>
      <c r="J120">
        <v>0.05</v>
      </c>
      <c r="K120">
        <v>2777.7999999999997</v>
      </c>
      <c r="L120">
        <v>382.61</v>
      </c>
    </row>
    <row r="121" spans="1:12" x14ac:dyDescent="0.3">
      <c r="A121" t="s">
        <v>262</v>
      </c>
      <c r="B121" s="3">
        <v>45967</v>
      </c>
      <c r="C121" t="s">
        <v>263</v>
      </c>
      <c r="D121" t="s">
        <v>88</v>
      </c>
      <c r="E121" t="s">
        <v>73</v>
      </c>
      <c r="F121" t="s">
        <v>21</v>
      </c>
      <c r="G121" t="s">
        <v>22</v>
      </c>
      <c r="H121">
        <v>2</v>
      </c>
      <c r="I121">
        <v>432</v>
      </c>
      <c r="J121">
        <v>0.2</v>
      </c>
      <c r="K121">
        <v>691.2</v>
      </c>
      <c r="L121">
        <v>156.57</v>
      </c>
    </row>
    <row r="122" spans="1:12" x14ac:dyDescent="0.3">
      <c r="A122" t="s">
        <v>264</v>
      </c>
      <c r="B122" s="3">
        <v>45901</v>
      </c>
      <c r="C122" t="s">
        <v>215</v>
      </c>
      <c r="D122" t="s">
        <v>120</v>
      </c>
      <c r="E122" t="s">
        <v>51</v>
      </c>
      <c r="F122" t="s">
        <v>16</v>
      </c>
      <c r="G122" t="s">
        <v>17</v>
      </c>
      <c r="H122">
        <v>1</v>
      </c>
      <c r="I122">
        <v>1293</v>
      </c>
      <c r="J122">
        <v>0.1</v>
      </c>
      <c r="K122">
        <v>1163.7</v>
      </c>
      <c r="L122">
        <v>170.89</v>
      </c>
    </row>
    <row r="123" spans="1:12" x14ac:dyDescent="0.3">
      <c r="A123" t="s">
        <v>265</v>
      </c>
      <c r="B123" s="3">
        <v>45786</v>
      </c>
      <c r="C123" t="s">
        <v>266</v>
      </c>
      <c r="D123" t="s">
        <v>47</v>
      </c>
      <c r="E123" t="s">
        <v>26</v>
      </c>
      <c r="F123" t="s">
        <v>58</v>
      </c>
      <c r="G123" t="s">
        <v>126</v>
      </c>
      <c r="H123">
        <v>2</v>
      </c>
      <c r="I123">
        <v>17326</v>
      </c>
      <c r="J123">
        <v>0.05</v>
      </c>
      <c r="K123">
        <v>32919.4</v>
      </c>
      <c r="L123">
        <v>4255.83</v>
      </c>
    </row>
    <row r="124" spans="1:12" x14ac:dyDescent="0.3">
      <c r="A124" t="s">
        <v>267</v>
      </c>
      <c r="B124" s="3">
        <v>45759</v>
      </c>
      <c r="C124" t="s">
        <v>234</v>
      </c>
      <c r="D124" t="s">
        <v>120</v>
      </c>
      <c r="E124" t="s">
        <v>51</v>
      </c>
      <c r="F124" t="s">
        <v>21</v>
      </c>
      <c r="G124" t="s">
        <v>22</v>
      </c>
      <c r="H124">
        <v>2</v>
      </c>
      <c r="I124">
        <v>1050</v>
      </c>
      <c r="J124">
        <v>0</v>
      </c>
      <c r="K124">
        <v>2100</v>
      </c>
      <c r="L124">
        <v>553.27</v>
      </c>
    </row>
    <row r="125" spans="1:12" x14ac:dyDescent="0.3">
      <c r="A125" t="s">
        <v>268</v>
      </c>
      <c r="B125" s="3">
        <v>45669</v>
      </c>
      <c r="C125" t="s">
        <v>172</v>
      </c>
      <c r="D125" t="s">
        <v>202</v>
      </c>
      <c r="E125" t="s">
        <v>44</v>
      </c>
      <c r="F125" t="s">
        <v>58</v>
      </c>
      <c r="G125" t="s">
        <v>59</v>
      </c>
      <c r="H125">
        <v>2</v>
      </c>
      <c r="I125">
        <v>3170</v>
      </c>
      <c r="J125">
        <v>0.15</v>
      </c>
      <c r="K125">
        <v>5389</v>
      </c>
      <c r="L125">
        <v>1300.43</v>
      </c>
    </row>
    <row r="126" spans="1:12" x14ac:dyDescent="0.3">
      <c r="A126" t="s">
        <v>269</v>
      </c>
      <c r="B126" s="3">
        <v>45746</v>
      </c>
      <c r="C126" t="s">
        <v>270</v>
      </c>
      <c r="D126" t="s">
        <v>65</v>
      </c>
      <c r="E126" t="s">
        <v>26</v>
      </c>
      <c r="F126" t="s">
        <v>58</v>
      </c>
      <c r="G126" t="s">
        <v>69</v>
      </c>
      <c r="H126">
        <v>2</v>
      </c>
      <c r="I126">
        <v>3487</v>
      </c>
      <c r="J126">
        <v>0</v>
      </c>
      <c r="K126">
        <v>6974</v>
      </c>
      <c r="L126">
        <v>1492.32</v>
      </c>
    </row>
    <row r="127" spans="1:12" x14ac:dyDescent="0.3">
      <c r="A127" t="s">
        <v>271</v>
      </c>
      <c r="B127" s="3">
        <v>45939</v>
      </c>
      <c r="C127" t="s">
        <v>272</v>
      </c>
      <c r="D127" t="s">
        <v>88</v>
      </c>
      <c r="E127" t="s">
        <v>73</v>
      </c>
      <c r="F127" t="s">
        <v>58</v>
      </c>
      <c r="G127" t="s">
        <v>59</v>
      </c>
      <c r="H127">
        <v>2</v>
      </c>
      <c r="I127">
        <v>558</v>
      </c>
      <c r="J127">
        <v>0</v>
      </c>
      <c r="K127">
        <v>1116</v>
      </c>
      <c r="L127">
        <v>244.94</v>
      </c>
    </row>
    <row r="128" spans="1:12" x14ac:dyDescent="0.3">
      <c r="A128" t="s">
        <v>273</v>
      </c>
      <c r="B128" s="3">
        <v>45739</v>
      </c>
      <c r="C128" t="s">
        <v>274</v>
      </c>
      <c r="D128" t="s">
        <v>92</v>
      </c>
      <c r="E128" t="s">
        <v>51</v>
      </c>
      <c r="F128" t="s">
        <v>16</v>
      </c>
      <c r="G128" t="s">
        <v>17</v>
      </c>
      <c r="H128">
        <v>3</v>
      </c>
      <c r="I128">
        <v>9878</v>
      </c>
      <c r="J128">
        <v>0.05</v>
      </c>
      <c r="K128">
        <v>28152.3</v>
      </c>
      <c r="L128">
        <v>5193.7299999999996</v>
      </c>
    </row>
    <row r="129" spans="1:12" x14ac:dyDescent="0.3">
      <c r="A129" t="s">
        <v>275</v>
      </c>
      <c r="B129" s="3">
        <v>45755</v>
      </c>
      <c r="C129" t="s">
        <v>276</v>
      </c>
      <c r="D129" t="s">
        <v>50</v>
      </c>
      <c r="E129" t="s">
        <v>51</v>
      </c>
      <c r="F129" t="s">
        <v>21</v>
      </c>
      <c r="G129" t="s">
        <v>35</v>
      </c>
      <c r="H129">
        <v>4</v>
      </c>
      <c r="I129">
        <v>2232</v>
      </c>
      <c r="J129">
        <v>0.05</v>
      </c>
      <c r="K129">
        <v>8481.6</v>
      </c>
      <c r="L129">
        <v>1364.66</v>
      </c>
    </row>
    <row r="130" spans="1:12" x14ac:dyDescent="0.3">
      <c r="A130" t="s">
        <v>277</v>
      </c>
      <c r="B130" s="3">
        <v>45867</v>
      </c>
      <c r="C130" t="s">
        <v>278</v>
      </c>
      <c r="D130" t="s">
        <v>14</v>
      </c>
      <c r="E130" t="s">
        <v>15</v>
      </c>
      <c r="F130" t="s">
        <v>21</v>
      </c>
      <c r="G130" t="s">
        <v>35</v>
      </c>
      <c r="H130">
        <v>2</v>
      </c>
      <c r="I130">
        <v>11122</v>
      </c>
      <c r="J130">
        <v>0.15</v>
      </c>
      <c r="K130">
        <v>18907.399999999998</v>
      </c>
      <c r="L130">
        <v>3091.38</v>
      </c>
    </row>
    <row r="131" spans="1:12" x14ac:dyDescent="0.3">
      <c r="A131" t="s">
        <v>279</v>
      </c>
      <c r="B131" s="3">
        <v>45798</v>
      </c>
      <c r="C131" t="s">
        <v>248</v>
      </c>
      <c r="D131" t="s">
        <v>202</v>
      </c>
      <c r="E131" t="s">
        <v>44</v>
      </c>
      <c r="F131" t="s">
        <v>16</v>
      </c>
      <c r="G131" t="s">
        <v>52</v>
      </c>
      <c r="H131">
        <v>1</v>
      </c>
      <c r="I131">
        <v>3325</v>
      </c>
      <c r="J131">
        <v>0</v>
      </c>
      <c r="K131">
        <v>3325</v>
      </c>
      <c r="L131">
        <v>272.31</v>
      </c>
    </row>
    <row r="132" spans="1:12" x14ac:dyDescent="0.3">
      <c r="A132" t="s">
        <v>280</v>
      </c>
      <c r="B132" s="3">
        <v>45893</v>
      </c>
      <c r="C132" t="s">
        <v>257</v>
      </c>
      <c r="D132" t="s">
        <v>83</v>
      </c>
      <c r="E132" t="s">
        <v>73</v>
      </c>
      <c r="F132" t="s">
        <v>27</v>
      </c>
      <c r="G132" t="s">
        <v>28</v>
      </c>
      <c r="H132">
        <v>2</v>
      </c>
      <c r="I132">
        <v>818</v>
      </c>
      <c r="J132">
        <v>0.25</v>
      </c>
      <c r="K132">
        <v>1227</v>
      </c>
      <c r="L132">
        <v>286.69</v>
      </c>
    </row>
    <row r="133" spans="1:12" x14ac:dyDescent="0.3">
      <c r="A133" t="s">
        <v>281</v>
      </c>
      <c r="B133" s="3">
        <v>45834</v>
      </c>
      <c r="C133" t="s">
        <v>282</v>
      </c>
      <c r="D133" t="s">
        <v>20</v>
      </c>
      <c r="E133" t="s">
        <v>15</v>
      </c>
      <c r="F133" t="s">
        <v>58</v>
      </c>
      <c r="G133" t="s">
        <v>126</v>
      </c>
      <c r="H133">
        <v>1</v>
      </c>
      <c r="I133">
        <v>8901</v>
      </c>
      <c r="J133">
        <v>0.05</v>
      </c>
      <c r="K133">
        <v>8455.9499999999989</v>
      </c>
      <c r="L133">
        <v>1177.5899999999999</v>
      </c>
    </row>
    <row r="134" spans="1:12" x14ac:dyDescent="0.3">
      <c r="A134" t="s">
        <v>283</v>
      </c>
      <c r="B134" s="3">
        <v>45730</v>
      </c>
      <c r="C134" t="s">
        <v>282</v>
      </c>
      <c r="D134" t="s">
        <v>80</v>
      </c>
      <c r="E134" t="s">
        <v>51</v>
      </c>
      <c r="F134" t="s">
        <v>58</v>
      </c>
      <c r="G134" t="s">
        <v>69</v>
      </c>
      <c r="H134">
        <v>1</v>
      </c>
      <c r="I134">
        <v>60665</v>
      </c>
      <c r="J134">
        <v>0</v>
      </c>
      <c r="K134">
        <v>60665</v>
      </c>
      <c r="L134">
        <v>16457.39</v>
      </c>
    </row>
    <row r="135" spans="1:12" x14ac:dyDescent="0.3">
      <c r="A135" t="s">
        <v>284</v>
      </c>
      <c r="B135" s="3">
        <v>45952</v>
      </c>
      <c r="C135" t="s">
        <v>257</v>
      </c>
      <c r="D135" t="s">
        <v>88</v>
      </c>
      <c r="E135" t="s">
        <v>73</v>
      </c>
      <c r="F135" t="s">
        <v>21</v>
      </c>
      <c r="G135" t="s">
        <v>55</v>
      </c>
      <c r="H135">
        <v>4</v>
      </c>
      <c r="I135">
        <v>572</v>
      </c>
      <c r="J135">
        <v>0.05</v>
      </c>
      <c r="K135">
        <v>2173.6</v>
      </c>
      <c r="L135">
        <v>440.55</v>
      </c>
    </row>
    <row r="136" spans="1:12" x14ac:dyDescent="0.3">
      <c r="A136" t="s">
        <v>285</v>
      </c>
      <c r="B136" s="3">
        <v>45720</v>
      </c>
      <c r="C136" t="s">
        <v>231</v>
      </c>
      <c r="D136" t="s">
        <v>72</v>
      </c>
      <c r="E136" t="s">
        <v>73</v>
      </c>
      <c r="F136" t="s">
        <v>16</v>
      </c>
      <c r="G136" t="s">
        <v>52</v>
      </c>
      <c r="H136">
        <v>1</v>
      </c>
      <c r="I136">
        <v>1039</v>
      </c>
      <c r="J136">
        <v>0</v>
      </c>
      <c r="K136">
        <v>1039</v>
      </c>
      <c r="L136">
        <v>92.88</v>
      </c>
    </row>
    <row r="137" spans="1:12" x14ac:dyDescent="0.3">
      <c r="A137" t="s">
        <v>286</v>
      </c>
      <c r="B137" s="3">
        <v>45919</v>
      </c>
      <c r="C137" t="s">
        <v>287</v>
      </c>
      <c r="D137" t="s">
        <v>80</v>
      </c>
      <c r="E137" t="s">
        <v>51</v>
      </c>
      <c r="F137" t="s">
        <v>27</v>
      </c>
      <c r="G137" t="s">
        <v>31</v>
      </c>
      <c r="H137">
        <v>3</v>
      </c>
      <c r="I137">
        <v>70191</v>
      </c>
      <c r="J137">
        <v>0</v>
      </c>
      <c r="K137">
        <v>210573</v>
      </c>
      <c r="L137">
        <v>38672.17</v>
      </c>
    </row>
    <row r="138" spans="1:12" x14ac:dyDescent="0.3">
      <c r="A138" t="s">
        <v>288</v>
      </c>
      <c r="B138" s="3">
        <v>45835</v>
      </c>
      <c r="C138" t="s">
        <v>141</v>
      </c>
      <c r="D138" t="s">
        <v>97</v>
      </c>
      <c r="E138" t="s">
        <v>44</v>
      </c>
      <c r="F138" t="s">
        <v>16</v>
      </c>
      <c r="G138" t="s">
        <v>104</v>
      </c>
      <c r="H138">
        <v>2</v>
      </c>
      <c r="I138">
        <v>1197</v>
      </c>
      <c r="J138">
        <v>0.2</v>
      </c>
      <c r="K138">
        <v>1915.2</v>
      </c>
      <c r="L138">
        <v>330.71</v>
      </c>
    </row>
    <row r="139" spans="1:12" x14ac:dyDescent="0.3">
      <c r="A139" t="s">
        <v>289</v>
      </c>
      <c r="B139" s="3">
        <v>46014</v>
      </c>
      <c r="C139" t="s">
        <v>272</v>
      </c>
      <c r="D139" t="s">
        <v>80</v>
      </c>
      <c r="E139" t="s">
        <v>51</v>
      </c>
      <c r="F139" t="s">
        <v>58</v>
      </c>
      <c r="G139" t="s">
        <v>69</v>
      </c>
      <c r="H139">
        <v>1</v>
      </c>
      <c r="I139">
        <v>80098</v>
      </c>
      <c r="J139">
        <v>0.05</v>
      </c>
      <c r="K139">
        <v>76093.099999999991</v>
      </c>
      <c r="L139">
        <v>8058.49</v>
      </c>
    </row>
    <row r="140" spans="1:12" x14ac:dyDescent="0.3">
      <c r="A140" t="s">
        <v>290</v>
      </c>
      <c r="B140" s="3">
        <v>45666</v>
      </c>
      <c r="C140" t="s">
        <v>106</v>
      </c>
      <c r="D140" t="s">
        <v>92</v>
      </c>
      <c r="E140" t="s">
        <v>51</v>
      </c>
      <c r="F140" t="s">
        <v>21</v>
      </c>
      <c r="G140" t="s">
        <v>55</v>
      </c>
      <c r="H140">
        <v>1</v>
      </c>
      <c r="I140">
        <v>23905</v>
      </c>
      <c r="J140">
        <v>0.15</v>
      </c>
      <c r="K140">
        <v>20319.25</v>
      </c>
      <c r="L140">
        <v>2769.07</v>
      </c>
    </row>
    <row r="141" spans="1:12" x14ac:dyDescent="0.3">
      <c r="A141" t="s">
        <v>291</v>
      </c>
      <c r="B141" s="3">
        <v>45833</v>
      </c>
      <c r="C141" t="s">
        <v>251</v>
      </c>
      <c r="D141" t="s">
        <v>20</v>
      </c>
      <c r="E141" t="s">
        <v>15</v>
      </c>
      <c r="F141" t="s">
        <v>16</v>
      </c>
      <c r="G141" t="s">
        <v>52</v>
      </c>
      <c r="H141">
        <v>2</v>
      </c>
      <c r="I141">
        <v>5892</v>
      </c>
      <c r="J141">
        <v>0.05</v>
      </c>
      <c r="K141">
        <v>11194.8</v>
      </c>
      <c r="L141">
        <v>2425.37</v>
      </c>
    </row>
    <row r="142" spans="1:12" x14ac:dyDescent="0.3">
      <c r="A142" t="s">
        <v>292</v>
      </c>
      <c r="B142" s="3">
        <v>46006</v>
      </c>
      <c r="C142" t="s">
        <v>263</v>
      </c>
      <c r="D142" t="s">
        <v>103</v>
      </c>
      <c r="E142" t="s">
        <v>51</v>
      </c>
      <c r="F142" t="s">
        <v>21</v>
      </c>
      <c r="G142" t="s">
        <v>55</v>
      </c>
      <c r="H142">
        <v>4</v>
      </c>
      <c r="I142">
        <v>5656</v>
      </c>
      <c r="J142">
        <v>0.1</v>
      </c>
      <c r="K142">
        <v>20361.600000000002</v>
      </c>
      <c r="L142">
        <v>3843.37</v>
      </c>
    </row>
    <row r="143" spans="1:12" x14ac:dyDescent="0.3">
      <c r="A143" t="s">
        <v>293</v>
      </c>
      <c r="B143" s="3">
        <v>45716</v>
      </c>
      <c r="C143" t="s">
        <v>278</v>
      </c>
      <c r="D143" t="s">
        <v>202</v>
      </c>
      <c r="E143" t="s">
        <v>44</v>
      </c>
      <c r="F143" t="s">
        <v>21</v>
      </c>
      <c r="G143" t="s">
        <v>35</v>
      </c>
      <c r="H143">
        <v>4</v>
      </c>
      <c r="I143">
        <v>2742</v>
      </c>
      <c r="J143">
        <v>0.15</v>
      </c>
      <c r="K143">
        <v>9322.7999999999993</v>
      </c>
      <c r="L143">
        <v>2046.3</v>
      </c>
    </row>
    <row r="144" spans="1:12" x14ac:dyDescent="0.3">
      <c r="A144" t="s">
        <v>294</v>
      </c>
      <c r="B144" s="3">
        <v>45790</v>
      </c>
      <c r="C144" t="s">
        <v>295</v>
      </c>
      <c r="D144" t="s">
        <v>50</v>
      </c>
      <c r="E144" t="s">
        <v>51</v>
      </c>
      <c r="F144" t="s">
        <v>27</v>
      </c>
      <c r="G144" t="s">
        <v>31</v>
      </c>
      <c r="H144">
        <v>4</v>
      </c>
      <c r="I144">
        <v>3154</v>
      </c>
      <c r="J144">
        <v>0</v>
      </c>
      <c r="K144">
        <v>12616</v>
      </c>
      <c r="L144">
        <v>3092.98</v>
      </c>
    </row>
    <row r="145" spans="1:12" x14ac:dyDescent="0.3">
      <c r="A145" t="s">
        <v>296</v>
      </c>
      <c r="B145" s="3">
        <v>45739</v>
      </c>
      <c r="C145" t="s">
        <v>141</v>
      </c>
      <c r="D145" t="s">
        <v>83</v>
      </c>
      <c r="E145" t="s">
        <v>73</v>
      </c>
      <c r="F145" t="s">
        <v>27</v>
      </c>
      <c r="G145" t="s">
        <v>31</v>
      </c>
      <c r="H145">
        <v>3</v>
      </c>
      <c r="I145">
        <v>791</v>
      </c>
      <c r="J145">
        <v>0.1</v>
      </c>
      <c r="K145">
        <v>2135.7000000000003</v>
      </c>
      <c r="L145">
        <v>173.58</v>
      </c>
    </row>
    <row r="146" spans="1:12" x14ac:dyDescent="0.3">
      <c r="A146" t="s">
        <v>297</v>
      </c>
      <c r="B146" s="3">
        <v>46017</v>
      </c>
      <c r="C146" t="s">
        <v>85</v>
      </c>
      <c r="D146" t="s">
        <v>47</v>
      </c>
      <c r="E146" t="s">
        <v>26</v>
      </c>
      <c r="F146" t="s">
        <v>58</v>
      </c>
      <c r="G146" t="s">
        <v>126</v>
      </c>
      <c r="H146">
        <v>1</v>
      </c>
      <c r="I146">
        <v>16510</v>
      </c>
      <c r="J146">
        <v>0.1</v>
      </c>
      <c r="K146">
        <v>14859</v>
      </c>
      <c r="L146">
        <v>3506.26</v>
      </c>
    </row>
    <row r="147" spans="1:12" x14ac:dyDescent="0.3">
      <c r="A147" t="s">
        <v>298</v>
      </c>
      <c r="B147" s="3">
        <v>45881</v>
      </c>
      <c r="D147" t="s">
        <v>30</v>
      </c>
      <c r="E147" t="s">
        <v>15</v>
      </c>
      <c r="F147" t="s">
        <v>27</v>
      </c>
      <c r="G147" t="s">
        <v>28</v>
      </c>
      <c r="H147">
        <v>3</v>
      </c>
      <c r="I147">
        <v>8225</v>
      </c>
      <c r="J147">
        <v>0</v>
      </c>
      <c r="K147">
        <v>24675</v>
      </c>
      <c r="L147">
        <v>5693.5</v>
      </c>
    </row>
    <row r="148" spans="1:12" x14ac:dyDescent="0.3">
      <c r="A148" t="s">
        <v>299</v>
      </c>
      <c r="B148" s="3">
        <v>45981</v>
      </c>
      <c r="C148" t="s">
        <v>300</v>
      </c>
      <c r="D148" t="s">
        <v>43</v>
      </c>
      <c r="E148" t="s">
        <v>44</v>
      </c>
      <c r="F148" t="s">
        <v>21</v>
      </c>
      <c r="G148" t="s">
        <v>55</v>
      </c>
      <c r="H148">
        <v>1</v>
      </c>
      <c r="I148">
        <v>1150</v>
      </c>
      <c r="J148">
        <v>0</v>
      </c>
      <c r="K148">
        <v>1150</v>
      </c>
      <c r="L148">
        <v>225.9</v>
      </c>
    </row>
    <row r="149" spans="1:12" x14ac:dyDescent="0.3">
      <c r="A149" t="s">
        <v>301</v>
      </c>
      <c r="B149" s="3">
        <v>45927</v>
      </c>
      <c r="C149" t="s">
        <v>217</v>
      </c>
      <c r="D149" t="s">
        <v>153</v>
      </c>
      <c r="E149" t="s">
        <v>26</v>
      </c>
      <c r="F149" t="s">
        <v>27</v>
      </c>
      <c r="G149" t="s">
        <v>40</v>
      </c>
      <c r="H149">
        <v>5</v>
      </c>
      <c r="I149">
        <v>9767</v>
      </c>
      <c r="J149">
        <v>0.15</v>
      </c>
      <c r="K149">
        <v>41509.75</v>
      </c>
      <c r="L149">
        <v>4400.75</v>
      </c>
    </row>
    <row r="150" spans="1:12" x14ac:dyDescent="0.3">
      <c r="A150" t="s">
        <v>302</v>
      </c>
      <c r="B150" s="3">
        <v>45791</v>
      </c>
      <c r="C150" t="s">
        <v>303</v>
      </c>
      <c r="D150" t="s">
        <v>14</v>
      </c>
      <c r="E150" t="s">
        <v>15</v>
      </c>
      <c r="F150" t="s">
        <v>16</v>
      </c>
      <c r="G150" t="s">
        <v>52</v>
      </c>
      <c r="H150">
        <v>1</v>
      </c>
      <c r="I150">
        <v>15825</v>
      </c>
      <c r="J150">
        <v>0.05</v>
      </c>
      <c r="K150">
        <v>15033.75</v>
      </c>
      <c r="L150">
        <v>1205.8</v>
      </c>
    </row>
    <row r="151" spans="1:12" x14ac:dyDescent="0.3">
      <c r="A151" t="s">
        <v>304</v>
      </c>
      <c r="B151" s="3">
        <v>45696</v>
      </c>
      <c r="C151" t="s">
        <v>305</v>
      </c>
      <c r="D151" t="s">
        <v>65</v>
      </c>
      <c r="E151" t="s">
        <v>26</v>
      </c>
      <c r="F151" t="s">
        <v>58</v>
      </c>
      <c r="G151" t="s">
        <v>59</v>
      </c>
      <c r="H151">
        <v>2</v>
      </c>
      <c r="I151">
        <v>3926</v>
      </c>
      <c r="J151">
        <v>0.05</v>
      </c>
      <c r="K151">
        <v>7459.4</v>
      </c>
      <c r="L151">
        <v>1849.85</v>
      </c>
    </row>
    <row r="152" spans="1:12" x14ac:dyDescent="0.3">
      <c r="A152" t="s">
        <v>306</v>
      </c>
      <c r="B152" s="3">
        <v>45852</v>
      </c>
      <c r="C152" t="s">
        <v>163</v>
      </c>
      <c r="D152" t="s">
        <v>307</v>
      </c>
      <c r="E152" t="s">
        <v>73</v>
      </c>
      <c r="F152" t="s">
        <v>16</v>
      </c>
      <c r="G152" t="s">
        <v>17</v>
      </c>
      <c r="H152">
        <v>5</v>
      </c>
      <c r="I152">
        <v>136</v>
      </c>
      <c r="J152">
        <v>0.05</v>
      </c>
      <c r="K152">
        <v>646</v>
      </c>
      <c r="L152">
        <v>173.6</v>
      </c>
    </row>
    <row r="153" spans="1:12" x14ac:dyDescent="0.3">
      <c r="A153" t="s">
        <v>308</v>
      </c>
      <c r="B153" s="3">
        <v>45914</v>
      </c>
      <c r="C153" t="s">
        <v>194</v>
      </c>
      <c r="D153" t="s">
        <v>25</v>
      </c>
      <c r="E153" t="s">
        <v>26</v>
      </c>
      <c r="F153" t="s">
        <v>16</v>
      </c>
      <c r="G153" t="s">
        <v>52</v>
      </c>
      <c r="H153">
        <v>1</v>
      </c>
      <c r="I153">
        <v>14693</v>
      </c>
      <c r="J153">
        <v>0.15</v>
      </c>
      <c r="K153">
        <v>12489.05</v>
      </c>
      <c r="L153">
        <v>1499.58</v>
      </c>
    </row>
    <row r="154" spans="1:12" x14ac:dyDescent="0.3">
      <c r="A154" t="s">
        <v>309</v>
      </c>
      <c r="B154" s="3">
        <v>45729</v>
      </c>
      <c r="C154" t="s">
        <v>310</v>
      </c>
      <c r="D154" t="s">
        <v>307</v>
      </c>
      <c r="E154" t="s">
        <v>73</v>
      </c>
      <c r="F154" t="s">
        <v>16</v>
      </c>
      <c r="G154" t="s">
        <v>17</v>
      </c>
      <c r="H154">
        <v>1</v>
      </c>
      <c r="I154">
        <v>155</v>
      </c>
      <c r="J154">
        <v>0</v>
      </c>
      <c r="K154">
        <v>155</v>
      </c>
      <c r="L154">
        <v>17.16</v>
      </c>
    </row>
    <row r="155" spans="1:12" x14ac:dyDescent="0.3">
      <c r="A155" t="s">
        <v>311</v>
      </c>
      <c r="B155" s="3">
        <v>46006</v>
      </c>
      <c r="C155" t="s">
        <v>185</v>
      </c>
      <c r="D155" t="s">
        <v>43</v>
      </c>
      <c r="E155" t="s">
        <v>44</v>
      </c>
      <c r="F155" t="s">
        <v>16</v>
      </c>
      <c r="G155" t="s">
        <v>17</v>
      </c>
      <c r="H155">
        <v>1</v>
      </c>
      <c r="I155">
        <v>339</v>
      </c>
      <c r="J155">
        <v>0.2</v>
      </c>
      <c r="K155">
        <v>271.2</v>
      </c>
      <c r="L155">
        <v>55.14</v>
      </c>
    </row>
    <row r="156" spans="1:12" x14ac:dyDescent="0.3">
      <c r="A156" t="s">
        <v>312</v>
      </c>
      <c r="B156" s="3">
        <v>45930</v>
      </c>
      <c r="C156" t="s">
        <v>313</v>
      </c>
      <c r="D156" t="s">
        <v>25</v>
      </c>
      <c r="E156" t="s">
        <v>26</v>
      </c>
      <c r="F156" t="s">
        <v>27</v>
      </c>
      <c r="G156" t="s">
        <v>31</v>
      </c>
      <c r="H156">
        <v>2</v>
      </c>
      <c r="I156">
        <v>8970</v>
      </c>
      <c r="J156">
        <v>0.1</v>
      </c>
      <c r="K156">
        <v>16146</v>
      </c>
      <c r="L156">
        <v>2019.99</v>
      </c>
    </row>
    <row r="157" spans="1:12" x14ac:dyDescent="0.3">
      <c r="A157" t="s">
        <v>314</v>
      </c>
      <c r="B157" s="3">
        <v>46001</v>
      </c>
      <c r="C157" t="s">
        <v>315</v>
      </c>
      <c r="D157" t="s">
        <v>47</v>
      </c>
      <c r="E157" t="s">
        <v>26</v>
      </c>
      <c r="F157" t="s">
        <v>58</v>
      </c>
      <c r="G157" t="s">
        <v>69</v>
      </c>
      <c r="H157">
        <v>2</v>
      </c>
      <c r="I157">
        <v>21765</v>
      </c>
      <c r="J157">
        <v>0</v>
      </c>
      <c r="K157">
        <v>43530</v>
      </c>
      <c r="L157">
        <v>7527.2</v>
      </c>
    </row>
    <row r="158" spans="1:12" x14ac:dyDescent="0.3">
      <c r="A158" t="s">
        <v>316</v>
      </c>
      <c r="B158" s="3">
        <v>45689</v>
      </c>
      <c r="C158" t="s">
        <v>317</v>
      </c>
      <c r="D158" t="s">
        <v>30</v>
      </c>
      <c r="E158" t="s">
        <v>15</v>
      </c>
      <c r="F158" t="s">
        <v>16</v>
      </c>
      <c r="G158" t="s">
        <v>104</v>
      </c>
      <c r="H158">
        <v>2</v>
      </c>
      <c r="I158">
        <v>11692</v>
      </c>
      <c r="J158">
        <v>0.2</v>
      </c>
      <c r="K158">
        <v>18707.2</v>
      </c>
      <c r="L158">
        <v>4893.13</v>
      </c>
    </row>
    <row r="159" spans="1:12" x14ac:dyDescent="0.3">
      <c r="A159" t="s">
        <v>318</v>
      </c>
      <c r="B159" s="3">
        <v>45733</v>
      </c>
      <c r="C159" t="s">
        <v>319</v>
      </c>
      <c r="D159" t="s">
        <v>65</v>
      </c>
      <c r="E159" t="s">
        <v>26</v>
      </c>
      <c r="F159" t="s">
        <v>58</v>
      </c>
      <c r="G159" t="s">
        <v>126</v>
      </c>
      <c r="H159">
        <v>5</v>
      </c>
      <c r="I159">
        <v>1670</v>
      </c>
      <c r="J159">
        <v>0.1</v>
      </c>
      <c r="K159">
        <v>7515</v>
      </c>
      <c r="L159">
        <v>1530.29</v>
      </c>
    </row>
    <row r="160" spans="1:12" x14ac:dyDescent="0.3">
      <c r="A160" t="s">
        <v>320</v>
      </c>
      <c r="B160" s="3">
        <v>46010</v>
      </c>
      <c r="C160" t="s">
        <v>321</v>
      </c>
      <c r="D160" t="s">
        <v>20</v>
      </c>
      <c r="E160" t="s">
        <v>15</v>
      </c>
      <c r="F160" t="s">
        <v>21</v>
      </c>
      <c r="G160" t="s">
        <v>55</v>
      </c>
      <c r="H160">
        <v>2</v>
      </c>
      <c r="I160">
        <v>5967</v>
      </c>
      <c r="J160">
        <v>0.05</v>
      </c>
      <c r="K160">
        <v>11337.3</v>
      </c>
      <c r="L160">
        <v>982.27</v>
      </c>
    </row>
    <row r="161" spans="1:12" x14ac:dyDescent="0.3">
      <c r="A161" t="s">
        <v>322</v>
      </c>
      <c r="B161" s="3">
        <v>46016</v>
      </c>
      <c r="C161" t="s">
        <v>323</v>
      </c>
      <c r="D161" t="s">
        <v>30</v>
      </c>
      <c r="E161" t="s">
        <v>15</v>
      </c>
      <c r="F161" t="s">
        <v>27</v>
      </c>
      <c r="G161" t="s">
        <v>40</v>
      </c>
      <c r="H161">
        <v>1</v>
      </c>
      <c r="I161">
        <v>11085</v>
      </c>
      <c r="J161">
        <v>0.15</v>
      </c>
      <c r="K161">
        <v>9422.25</v>
      </c>
      <c r="L161">
        <v>831.39</v>
      </c>
    </row>
    <row r="162" spans="1:12" x14ac:dyDescent="0.3">
      <c r="A162" t="s">
        <v>324</v>
      </c>
      <c r="B162" s="3">
        <v>45780</v>
      </c>
      <c r="C162" t="s">
        <v>109</v>
      </c>
      <c r="D162" t="s">
        <v>50</v>
      </c>
      <c r="E162" t="s">
        <v>51</v>
      </c>
      <c r="F162" t="s">
        <v>58</v>
      </c>
      <c r="G162" t="s">
        <v>59</v>
      </c>
      <c r="H162">
        <v>1</v>
      </c>
      <c r="I162">
        <v>3328</v>
      </c>
      <c r="J162">
        <v>0</v>
      </c>
      <c r="K162">
        <v>3328</v>
      </c>
      <c r="L162">
        <v>626.53</v>
      </c>
    </row>
    <row r="163" spans="1:12" x14ac:dyDescent="0.3">
      <c r="A163" t="s">
        <v>325</v>
      </c>
      <c r="B163" s="3">
        <v>45741</v>
      </c>
      <c r="C163" t="s">
        <v>326</v>
      </c>
      <c r="D163" t="s">
        <v>43</v>
      </c>
      <c r="E163" t="s">
        <v>44</v>
      </c>
      <c r="F163" t="s">
        <v>27</v>
      </c>
      <c r="G163" t="s">
        <v>40</v>
      </c>
      <c r="H163">
        <v>1</v>
      </c>
      <c r="I163">
        <v>1278</v>
      </c>
      <c r="J163">
        <v>0</v>
      </c>
      <c r="K163">
        <v>1278</v>
      </c>
      <c r="L163">
        <v>330.96</v>
      </c>
    </row>
    <row r="164" spans="1:12" x14ac:dyDescent="0.3">
      <c r="A164" t="s">
        <v>327</v>
      </c>
      <c r="B164" s="3">
        <v>45660</v>
      </c>
      <c r="C164" t="s">
        <v>328</v>
      </c>
      <c r="D164" t="s">
        <v>25</v>
      </c>
      <c r="E164" t="s">
        <v>26</v>
      </c>
      <c r="F164" t="s">
        <v>27</v>
      </c>
      <c r="G164" t="s">
        <v>31</v>
      </c>
      <c r="H164">
        <v>1</v>
      </c>
      <c r="I164">
        <v>7968</v>
      </c>
      <c r="J164">
        <v>0.05</v>
      </c>
      <c r="K164">
        <v>7569.5999999999995</v>
      </c>
      <c r="L164">
        <v>1702.9</v>
      </c>
    </row>
    <row r="165" spans="1:12" x14ac:dyDescent="0.3">
      <c r="A165" t="s">
        <v>329</v>
      </c>
      <c r="B165" s="3">
        <v>45900</v>
      </c>
      <c r="C165" t="s">
        <v>100</v>
      </c>
      <c r="D165" t="s">
        <v>103</v>
      </c>
      <c r="E165" t="s">
        <v>51</v>
      </c>
      <c r="F165" t="s">
        <v>58</v>
      </c>
      <c r="G165" t="s">
        <v>126</v>
      </c>
      <c r="H165">
        <v>1</v>
      </c>
      <c r="I165">
        <v>8812</v>
      </c>
      <c r="J165">
        <v>0.05</v>
      </c>
      <c r="K165">
        <v>8371.4</v>
      </c>
      <c r="L165">
        <v>974.63</v>
      </c>
    </row>
    <row r="166" spans="1:12" x14ac:dyDescent="0.3">
      <c r="A166" t="s">
        <v>330</v>
      </c>
      <c r="B166" s="3">
        <v>45868</v>
      </c>
      <c r="C166" t="s">
        <v>136</v>
      </c>
      <c r="D166" t="s">
        <v>20</v>
      </c>
      <c r="E166" t="s">
        <v>15</v>
      </c>
      <c r="F166" t="s">
        <v>16</v>
      </c>
      <c r="G166" t="s">
        <v>104</v>
      </c>
      <c r="H166">
        <v>1</v>
      </c>
      <c r="I166">
        <v>15960</v>
      </c>
      <c r="J166">
        <v>0.25</v>
      </c>
      <c r="K166">
        <v>11970</v>
      </c>
      <c r="L166">
        <v>2514.48</v>
      </c>
    </row>
    <row r="167" spans="1:12" x14ac:dyDescent="0.3">
      <c r="A167" t="s">
        <v>331</v>
      </c>
      <c r="B167" s="3">
        <v>46007</v>
      </c>
      <c r="C167" t="s">
        <v>119</v>
      </c>
      <c r="D167" t="s">
        <v>80</v>
      </c>
      <c r="E167" t="s">
        <v>51</v>
      </c>
      <c r="F167" t="s">
        <v>16</v>
      </c>
      <c r="G167" t="s">
        <v>52</v>
      </c>
      <c r="H167">
        <v>5</v>
      </c>
      <c r="I167">
        <v>61636</v>
      </c>
      <c r="J167">
        <v>0.15</v>
      </c>
      <c r="K167">
        <v>261953</v>
      </c>
      <c r="L167">
        <v>53897.61</v>
      </c>
    </row>
    <row r="168" spans="1:12" x14ac:dyDescent="0.3">
      <c r="A168" t="s">
        <v>332</v>
      </c>
      <c r="B168" s="3">
        <v>45834</v>
      </c>
      <c r="C168" t="s">
        <v>333</v>
      </c>
      <c r="D168" t="s">
        <v>72</v>
      </c>
      <c r="E168" t="s">
        <v>73</v>
      </c>
      <c r="F168" t="s">
        <v>21</v>
      </c>
      <c r="G168" t="s">
        <v>55</v>
      </c>
      <c r="H168">
        <v>2</v>
      </c>
      <c r="I168">
        <v>809</v>
      </c>
      <c r="J168">
        <v>0</v>
      </c>
      <c r="K168">
        <v>1618</v>
      </c>
      <c r="L168">
        <v>257.43</v>
      </c>
    </row>
    <row r="169" spans="1:12" x14ac:dyDescent="0.3">
      <c r="A169" t="s">
        <v>334</v>
      </c>
      <c r="B169" s="3">
        <v>45900</v>
      </c>
      <c r="C169" t="s">
        <v>253</v>
      </c>
      <c r="D169" t="s">
        <v>65</v>
      </c>
      <c r="E169" t="s">
        <v>26</v>
      </c>
      <c r="F169" t="s">
        <v>27</v>
      </c>
      <c r="G169" t="s">
        <v>31</v>
      </c>
      <c r="H169">
        <v>2</v>
      </c>
      <c r="I169">
        <v>4211</v>
      </c>
      <c r="J169">
        <v>0</v>
      </c>
      <c r="K169">
        <v>8422</v>
      </c>
      <c r="L169">
        <v>1723.08</v>
      </c>
    </row>
    <row r="170" spans="1:12" x14ac:dyDescent="0.3">
      <c r="A170" t="s">
        <v>335</v>
      </c>
      <c r="B170" s="3">
        <v>45665</v>
      </c>
      <c r="C170" t="s">
        <v>37</v>
      </c>
      <c r="D170" t="s">
        <v>97</v>
      </c>
      <c r="E170" t="s">
        <v>44</v>
      </c>
      <c r="F170" t="s">
        <v>16</v>
      </c>
      <c r="G170" t="s">
        <v>104</v>
      </c>
      <c r="H170">
        <v>1</v>
      </c>
      <c r="I170">
        <v>822</v>
      </c>
      <c r="J170">
        <v>0.1</v>
      </c>
      <c r="K170">
        <v>739.80000000000007</v>
      </c>
      <c r="L170">
        <v>114.35</v>
      </c>
    </row>
    <row r="171" spans="1:12" x14ac:dyDescent="0.3">
      <c r="A171" t="s">
        <v>336</v>
      </c>
      <c r="B171" s="3">
        <v>45698</v>
      </c>
      <c r="C171" t="s">
        <v>337</v>
      </c>
      <c r="D171" t="s">
        <v>103</v>
      </c>
      <c r="E171" t="s">
        <v>51</v>
      </c>
      <c r="F171" t="s">
        <v>27</v>
      </c>
      <c r="G171" t="s">
        <v>28</v>
      </c>
      <c r="H171">
        <v>1</v>
      </c>
      <c r="I171">
        <v>7992</v>
      </c>
      <c r="J171">
        <v>0.05</v>
      </c>
      <c r="K171">
        <v>7592.4</v>
      </c>
      <c r="L171">
        <v>1389.13</v>
      </c>
    </row>
    <row r="172" spans="1:12" x14ac:dyDescent="0.3">
      <c r="A172" t="s">
        <v>338</v>
      </c>
      <c r="B172" s="3">
        <v>46002</v>
      </c>
      <c r="C172" t="s">
        <v>339</v>
      </c>
      <c r="D172" t="s">
        <v>25</v>
      </c>
      <c r="E172" t="s">
        <v>26</v>
      </c>
      <c r="F172" t="s">
        <v>58</v>
      </c>
      <c r="G172" t="s">
        <v>59</v>
      </c>
      <c r="H172">
        <v>5</v>
      </c>
      <c r="I172">
        <v>9098</v>
      </c>
      <c r="J172">
        <v>0.1</v>
      </c>
      <c r="K172">
        <v>40941</v>
      </c>
      <c r="L172">
        <v>5938</v>
      </c>
    </row>
    <row r="173" spans="1:12" x14ac:dyDescent="0.3">
      <c r="A173" t="s">
        <v>340</v>
      </c>
      <c r="B173" s="3">
        <v>45960</v>
      </c>
      <c r="C173" t="s">
        <v>96</v>
      </c>
      <c r="D173" t="s">
        <v>65</v>
      </c>
      <c r="E173" t="s">
        <v>26</v>
      </c>
      <c r="F173" t="s">
        <v>58</v>
      </c>
      <c r="G173" t="s">
        <v>59</v>
      </c>
      <c r="H173">
        <v>1</v>
      </c>
      <c r="I173">
        <v>4116</v>
      </c>
      <c r="J173">
        <v>0.05</v>
      </c>
      <c r="K173">
        <v>3910.2</v>
      </c>
      <c r="L173">
        <v>571.58000000000004</v>
      </c>
    </row>
    <row r="174" spans="1:12" x14ac:dyDescent="0.3">
      <c r="A174" t="s">
        <v>341</v>
      </c>
      <c r="B174" s="3">
        <v>45790</v>
      </c>
      <c r="C174" t="s">
        <v>49</v>
      </c>
      <c r="D174" t="s">
        <v>34</v>
      </c>
      <c r="E174" t="s">
        <v>15</v>
      </c>
      <c r="F174" t="s">
        <v>58</v>
      </c>
      <c r="G174" t="s">
        <v>126</v>
      </c>
      <c r="H174">
        <v>1</v>
      </c>
      <c r="I174">
        <v>18109</v>
      </c>
      <c r="J174">
        <v>0.1</v>
      </c>
      <c r="K174">
        <v>16298.1</v>
      </c>
      <c r="L174">
        <v>1848.34</v>
      </c>
    </row>
    <row r="175" spans="1:12" x14ac:dyDescent="0.3">
      <c r="A175" t="s">
        <v>342</v>
      </c>
      <c r="B175" s="3">
        <v>45861</v>
      </c>
      <c r="C175" t="s">
        <v>208</v>
      </c>
      <c r="D175" t="s">
        <v>103</v>
      </c>
      <c r="E175" t="s">
        <v>51</v>
      </c>
      <c r="F175" t="s">
        <v>16</v>
      </c>
      <c r="G175" t="s">
        <v>52</v>
      </c>
      <c r="H175">
        <v>2</v>
      </c>
      <c r="I175">
        <v>7785</v>
      </c>
      <c r="J175">
        <v>0.15</v>
      </c>
      <c r="K175">
        <v>13234.5</v>
      </c>
      <c r="L175">
        <v>2608.13</v>
      </c>
    </row>
    <row r="176" spans="1:12" x14ac:dyDescent="0.3">
      <c r="A176" t="s">
        <v>343</v>
      </c>
      <c r="B176" s="3">
        <v>45991</v>
      </c>
      <c r="C176" t="s">
        <v>100</v>
      </c>
      <c r="D176" t="s">
        <v>103</v>
      </c>
      <c r="E176" t="s">
        <v>51</v>
      </c>
      <c r="F176" t="s">
        <v>21</v>
      </c>
      <c r="G176" t="s">
        <v>55</v>
      </c>
      <c r="H176">
        <v>1</v>
      </c>
      <c r="I176">
        <v>5343</v>
      </c>
      <c r="J176">
        <v>0.2</v>
      </c>
      <c r="K176">
        <v>4274.4000000000005</v>
      </c>
      <c r="L176">
        <v>375.59</v>
      </c>
    </row>
    <row r="177" spans="1:12" x14ac:dyDescent="0.3">
      <c r="A177" t="s">
        <v>344</v>
      </c>
      <c r="B177" s="3">
        <v>45982</v>
      </c>
      <c r="C177" t="s">
        <v>111</v>
      </c>
      <c r="D177" t="s">
        <v>103</v>
      </c>
      <c r="E177" t="s">
        <v>51</v>
      </c>
      <c r="F177" t="s">
        <v>58</v>
      </c>
      <c r="G177" t="s">
        <v>59</v>
      </c>
      <c r="H177">
        <v>1</v>
      </c>
      <c r="I177">
        <v>5760</v>
      </c>
      <c r="J177">
        <v>0.1</v>
      </c>
      <c r="K177">
        <v>5184</v>
      </c>
      <c r="L177">
        <v>826.72</v>
      </c>
    </row>
    <row r="178" spans="1:12" x14ac:dyDescent="0.3">
      <c r="A178" t="s">
        <v>345</v>
      </c>
      <c r="B178" s="3">
        <v>45842</v>
      </c>
      <c r="C178" t="s">
        <v>346</v>
      </c>
      <c r="D178" t="s">
        <v>80</v>
      </c>
      <c r="E178" t="s">
        <v>51</v>
      </c>
      <c r="F178" t="s">
        <v>27</v>
      </c>
      <c r="G178" t="s">
        <v>28</v>
      </c>
      <c r="H178">
        <v>2</v>
      </c>
      <c r="I178">
        <v>55169</v>
      </c>
      <c r="J178">
        <v>0.1</v>
      </c>
      <c r="K178">
        <v>99304.2</v>
      </c>
      <c r="L178">
        <v>14749.72</v>
      </c>
    </row>
    <row r="179" spans="1:12" x14ac:dyDescent="0.3">
      <c r="A179" t="s">
        <v>347</v>
      </c>
      <c r="B179" s="3">
        <v>45891</v>
      </c>
      <c r="C179" t="s">
        <v>220</v>
      </c>
      <c r="D179" t="s">
        <v>103</v>
      </c>
      <c r="E179" t="s">
        <v>51</v>
      </c>
      <c r="F179" t="s">
        <v>21</v>
      </c>
      <c r="G179" t="s">
        <v>55</v>
      </c>
      <c r="H179">
        <v>3</v>
      </c>
      <c r="I179">
        <v>2467</v>
      </c>
      <c r="J179">
        <v>0</v>
      </c>
      <c r="K179">
        <v>7401</v>
      </c>
      <c r="L179">
        <v>1673.85</v>
      </c>
    </row>
    <row r="180" spans="1:12" x14ac:dyDescent="0.3">
      <c r="A180" t="s">
        <v>348</v>
      </c>
      <c r="B180" s="3">
        <v>45832</v>
      </c>
      <c r="C180" t="s">
        <v>109</v>
      </c>
      <c r="D180" t="s">
        <v>14</v>
      </c>
      <c r="E180" t="s">
        <v>15</v>
      </c>
      <c r="F180" t="s">
        <v>16</v>
      </c>
      <c r="G180" t="s">
        <v>104</v>
      </c>
      <c r="H180">
        <v>2</v>
      </c>
      <c r="I180">
        <v>16057</v>
      </c>
      <c r="J180">
        <v>0.2</v>
      </c>
      <c r="K180">
        <v>25691.200000000001</v>
      </c>
      <c r="L180">
        <v>5565.99</v>
      </c>
    </row>
    <row r="181" spans="1:12" x14ac:dyDescent="0.3">
      <c r="A181" t="s">
        <v>349</v>
      </c>
      <c r="B181" s="3">
        <v>45889</v>
      </c>
      <c r="C181" t="s">
        <v>240</v>
      </c>
      <c r="D181" t="s">
        <v>92</v>
      </c>
      <c r="E181" t="s">
        <v>51</v>
      </c>
      <c r="F181" t="s">
        <v>21</v>
      </c>
      <c r="G181" t="s">
        <v>22</v>
      </c>
      <c r="H181">
        <v>3</v>
      </c>
      <c r="I181">
        <v>10810</v>
      </c>
      <c r="J181">
        <v>0.15</v>
      </c>
      <c r="K181">
        <v>27565.5</v>
      </c>
      <c r="L181">
        <v>7270</v>
      </c>
    </row>
    <row r="182" spans="1:12" x14ac:dyDescent="0.3">
      <c r="A182" t="s">
        <v>350</v>
      </c>
      <c r="B182" s="3">
        <v>46018</v>
      </c>
      <c r="C182" t="s">
        <v>351</v>
      </c>
      <c r="D182" t="s">
        <v>103</v>
      </c>
      <c r="E182" t="s">
        <v>51</v>
      </c>
      <c r="F182" t="s">
        <v>21</v>
      </c>
      <c r="G182" t="s">
        <v>35</v>
      </c>
      <c r="H182">
        <v>1</v>
      </c>
      <c r="I182">
        <v>6331</v>
      </c>
      <c r="J182">
        <v>0.25</v>
      </c>
      <c r="K182">
        <v>4748.25</v>
      </c>
      <c r="L182">
        <v>425.64</v>
      </c>
    </row>
    <row r="183" spans="1:12" x14ac:dyDescent="0.3">
      <c r="A183" t="s">
        <v>352</v>
      </c>
      <c r="B183" s="3">
        <v>45730</v>
      </c>
      <c r="C183" t="s">
        <v>161</v>
      </c>
      <c r="D183" t="s">
        <v>97</v>
      </c>
      <c r="E183" t="s">
        <v>44</v>
      </c>
      <c r="F183" t="s">
        <v>21</v>
      </c>
      <c r="G183" t="s">
        <v>35</v>
      </c>
      <c r="H183">
        <v>1</v>
      </c>
      <c r="I183">
        <v>524</v>
      </c>
      <c r="J183">
        <v>0</v>
      </c>
      <c r="K183">
        <v>524</v>
      </c>
      <c r="L183">
        <v>110.09</v>
      </c>
    </row>
    <row r="184" spans="1:12" x14ac:dyDescent="0.3">
      <c r="A184" t="s">
        <v>353</v>
      </c>
      <c r="B184" s="3">
        <v>45739</v>
      </c>
      <c r="C184" t="s">
        <v>354</v>
      </c>
      <c r="D184" t="s">
        <v>34</v>
      </c>
      <c r="E184" t="s">
        <v>15</v>
      </c>
      <c r="F184" t="s">
        <v>16</v>
      </c>
      <c r="G184" t="s">
        <v>104</v>
      </c>
      <c r="H184">
        <v>4</v>
      </c>
      <c r="I184">
        <v>12710</v>
      </c>
      <c r="J184">
        <v>0.15</v>
      </c>
      <c r="K184">
        <v>43214</v>
      </c>
      <c r="L184">
        <v>6703.98</v>
      </c>
    </row>
    <row r="185" spans="1:12" x14ac:dyDescent="0.3">
      <c r="A185" t="s">
        <v>355</v>
      </c>
      <c r="B185" s="3">
        <v>45733</v>
      </c>
      <c r="C185" t="s">
        <v>87</v>
      </c>
      <c r="D185" t="s">
        <v>47</v>
      </c>
      <c r="E185" t="s">
        <v>26</v>
      </c>
      <c r="F185" t="s">
        <v>16</v>
      </c>
      <c r="G185" t="s">
        <v>52</v>
      </c>
      <c r="H185">
        <v>2</v>
      </c>
      <c r="I185">
        <v>15452</v>
      </c>
      <c r="J185">
        <v>0.05</v>
      </c>
      <c r="K185">
        <v>29358.799999999999</v>
      </c>
      <c r="L185">
        <v>5569.36</v>
      </c>
    </row>
    <row r="186" spans="1:12" x14ac:dyDescent="0.3">
      <c r="A186" t="s">
        <v>356</v>
      </c>
      <c r="B186" s="3">
        <v>45924</v>
      </c>
      <c r="C186" t="s">
        <v>71</v>
      </c>
      <c r="D186" t="s">
        <v>80</v>
      </c>
      <c r="E186" t="s">
        <v>51</v>
      </c>
      <c r="F186" t="s">
        <v>16</v>
      </c>
      <c r="G186" t="s">
        <v>104</v>
      </c>
      <c r="H186">
        <v>2</v>
      </c>
      <c r="I186">
        <v>71729</v>
      </c>
      <c r="J186">
        <v>0.1</v>
      </c>
      <c r="K186">
        <v>129112.2</v>
      </c>
      <c r="L186">
        <v>22297.52</v>
      </c>
    </row>
    <row r="187" spans="1:12" x14ac:dyDescent="0.3">
      <c r="A187" t="s">
        <v>357</v>
      </c>
      <c r="B187" s="3">
        <v>45774</v>
      </c>
      <c r="C187" t="s">
        <v>358</v>
      </c>
      <c r="D187" t="s">
        <v>65</v>
      </c>
      <c r="E187" t="s">
        <v>26</v>
      </c>
      <c r="F187" t="s">
        <v>21</v>
      </c>
      <c r="G187" t="s">
        <v>55</v>
      </c>
      <c r="H187">
        <v>3</v>
      </c>
      <c r="I187">
        <v>1559</v>
      </c>
      <c r="J187">
        <v>0</v>
      </c>
      <c r="K187">
        <v>4677</v>
      </c>
      <c r="L187">
        <v>866.76</v>
      </c>
    </row>
    <row r="188" spans="1:12" x14ac:dyDescent="0.3">
      <c r="A188" t="s">
        <v>359</v>
      </c>
      <c r="B188" s="3">
        <v>45983</v>
      </c>
      <c r="C188" t="s">
        <v>187</v>
      </c>
      <c r="D188" t="s">
        <v>153</v>
      </c>
      <c r="E188" t="s">
        <v>26</v>
      </c>
      <c r="F188" t="s">
        <v>21</v>
      </c>
      <c r="G188" t="s">
        <v>22</v>
      </c>
      <c r="H188">
        <v>3</v>
      </c>
      <c r="I188">
        <v>7866</v>
      </c>
      <c r="J188">
        <v>0.1</v>
      </c>
      <c r="K188">
        <v>21238.2</v>
      </c>
      <c r="L188">
        <v>5192.29</v>
      </c>
    </row>
    <row r="189" spans="1:12" x14ac:dyDescent="0.3">
      <c r="A189" t="s">
        <v>360</v>
      </c>
      <c r="B189" s="3">
        <v>45938</v>
      </c>
      <c r="C189" t="s">
        <v>143</v>
      </c>
      <c r="D189" t="s">
        <v>103</v>
      </c>
      <c r="E189" t="s">
        <v>51</v>
      </c>
      <c r="F189" t="s">
        <v>21</v>
      </c>
      <c r="G189" t="s">
        <v>22</v>
      </c>
      <c r="H189">
        <v>2</v>
      </c>
      <c r="I189">
        <v>4165</v>
      </c>
      <c r="J189">
        <v>0</v>
      </c>
      <c r="K189">
        <v>8330</v>
      </c>
      <c r="L189">
        <v>1464.72</v>
      </c>
    </row>
    <row r="190" spans="1:12" x14ac:dyDescent="0.3">
      <c r="A190" t="s">
        <v>361</v>
      </c>
      <c r="B190" s="3">
        <v>45709</v>
      </c>
      <c r="C190" t="s">
        <v>178</v>
      </c>
      <c r="D190" t="s">
        <v>103</v>
      </c>
      <c r="E190" t="s">
        <v>51</v>
      </c>
      <c r="F190" t="s">
        <v>21</v>
      </c>
      <c r="G190" t="s">
        <v>35</v>
      </c>
      <c r="H190">
        <v>2</v>
      </c>
      <c r="I190">
        <v>8451</v>
      </c>
      <c r="J190">
        <v>0.1</v>
      </c>
      <c r="K190">
        <v>15211.800000000001</v>
      </c>
      <c r="L190">
        <v>2984.35</v>
      </c>
    </row>
    <row r="191" spans="1:12" x14ac:dyDescent="0.3">
      <c r="A191" t="s">
        <v>362</v>
      </c>
      <c r="B191" s="3">
        <v>45734</v>
      </c>
      <c r="C191" t="s">
        <v>363</v>
      </c>
      <c r="D191" t="s">
        <v>25</v>
      </c>
      <c r="E191" t="s">
        <v>26</v>
      </c>
      <c r="F191" t="s">
        <v>27</v>
      </c>
      <c r="G191" t="s">
        <v>28</v>
      </c>
      <c r="H191">
        <v>1</v>
      </c>
      <c r="I191">
        <v>7463</v>
      </c>
      <c r="J191">
        <v>0</v>
      </c>
      <c r="K191">
        <v>7463</v>
      </c>
      <c r="L191">
        <v>1613.68</v>
      </c>
    </row>
    <row r="192" spans="1:12" x14ac:dyDescent="0.3">
      <c r="A192" t="s">
        <v>364</v>
      </c>
      <c r="B192" s="3">
        <v>45969</v>
      </c>
      <c r="C192" t="s">
        <v>172</v>
      </c>
      <c r="D192" t="s">
        <v>88</v>
      </c>
      <c r="E192" t="s">
        <v>73</v>
      </c>
      <c r="F192" t="s">
        <v>16</v>
      </c>
      <c r="G192" t="s">
        <v>17</v>
      </c>
      <c r="H192">
        <v>3</v>
      </c>
      <c r="I192">
        <v>193</v>
      </c>
      <c r="J192">
        <v>0.2</v>
      </c>
      <c r="K192">
        <v>463.20000000000005</v>
      </c>
      <c r="L192">
        <v>76.38</v>
      </c>
    </row>
    <row r="193" spans="1:12" x14ac:dyDescent="0.3">
      <c r="A193" t="s">
        <v>365</v>
      </c>
      <c r="B193" s="3">
        <v>46019</v>
      </c>
      <c r="C193" t="s">
        <v>272</v>
      </c>
      <c r="D193" t="s">
        <v>83</v>
      </c>
      <c r="E193" t="s">
        <v>73</v>
      </c>
      <c r="F193" t="s">
        <v>21</v>
      </c>
      <c r="G193" t="s">
        <v>35</v>
      </c>
      <c r="H193">
        <v>1</v>
      </c>
      <c r="I193">
        <v>252</v>
      </c>
      <c r="J193">
        <v>0.1</v>
      </c>
      <c r="K193">
        <v>226.8</v>
      </c>
      <c r="L193">
        <v>41.51</v>
      </c>
    </row>
    <row r="194" spans="1:12" x14ac:dyDescent="0.3">
      <c r="A194" t="s">
        <v>366</v>
      </c>
      <c r="B194" s="3">
        <v>45778</v>
      </c>
      <c r="C194" t="s">
        <v>282</v>
      </c>
      <c r="D194" t="s">
        <v>88</v>
      </c>
      <c r="E194" t="s">
        <v>73</v>
      </c>
      <c r="F194" t="s">
        <v>27</v>
      </c>
      <c r="G194" t="s">
        <v>40</v>
      </c>
      <c r="H194">
        <v>3</v>
      </c>
      <c r="I194">
        <v>550</v>
      </c>
      <c r="J194">
        <v>0.05</v>
      </c>
      <c r="K194">
        <v>1567.5</v>
      </c>
      <c r="L194">
        <v>199.66</v>
      </c>
    </row>
    <row r="195" spans="1:12" x14ac:dyDescent="0.3">
      <c r="A195" t="s">
        <v>367</v>
      </c>
      <c r="B195" s="3">
        <v>45859</v>
      </c>
      <c r="C195" t="s">
        <v>368</v>
      </c>
      <c r="D195" t="s">
        <v>20</v>
      </c>
      <c r="E195" t="s">
        <v>15</v>
      </c>
      <c r="F195" t="s">
        <v>16</v>
      </c>
      <c r="G195" t="s">
        <v>17</v>
      </c>
      <c r="H195">
        <v>3</v>
      </c>
      <c r="I195">
        <v>13433</v>
      </c>
      <c r="J195">
        <v>0</v>
      </c>
      <c r="K195">
        <v>40299</v>
      </c>
      <c r="L195">
        <v>6640.83</v>
      </c>
    </row>
    <row r="196" spans="1:12" x14ac:dyDescent="0.3">
      <c r="A196" t="s">
        <v>369</v>
      </c>
      <c r="B196" s="3">
        <v>45818</v>
      </c>
      <c r="C196" t="s">
        <v>75</v>
      </c>
      <c r="D196" t="s">
        <v>50</v>
      </c>
      <c r="E196" t="s">
        <v>51</v>
      </c>
      <c r="F196" t="s">
        <v>21</v>
      </c>
      <c r="G196" t="s">
        <v>55</v>
      </c>
      <c r="H196">
        <v>1</v>
      </c>
      <c r="I196">
        <v>1058</v>
      </c>
      <c r="J196">
        <v>0</v>
      </c>
      <c r="K196">
        <v>1058</v>
      </c>
      <c r="L196">
        <v>220.48</v>
      </c>
    </row>
    <row r="197" spans="1:12" x14ac:dyDescent="0.3">
      <c r="A197" t="s">
        <v>370</v>
      </c>
      <c r="B197" s="3">
        <v>45911</v>
      </c>
      <c r="C197" t="s">
        <v>371</v>
      </c>
      <c r="D197" t="s">
        <v>47</v>
      </c>
      <c r="E197" t="s">
        <v>26</v>
      </c>
      <c r="F197" t="s">
        <v>27</v>
      </c>
      <c r="G197" t="s">
        <v>28</v>
      </c>
      <c r="H197">
        <v>1</v>
      </c>
      <c r="I197">
        <v>11118</v>
      </c>
      <c r="J197">
        <v>0.1</v>
      </c>
      <c r="K197">
        <v>10006.200000000001</v>
      </c>
      <c r="L197">
        <v>2153.02</v>
      </c>
    </row>
    <row r="198" spans="1:12" x14ac:dyDescent="0.3">
      <c r="A198" t="s">
        <v>372</v>
      </c>
      <c r="B198" s="3">
        <v>45937</v>
      </c>
      <c r="C198" t="s">
        <v>147</v>
      </c>
      <c r="D198" t="s">
        <v>30</v>
      </c>
      <c r="E198" t="s">
        <v>15</v>
      </c>
      <c r="F198" t="s">
        <v>58</v>
      </c>
      <c r="G198" t="s">
        <v>126</v>
      </c>
      <c r="H198">
        <v>1</v>
      </c>
      <c r="I198">
        <v>5489</v>
      </c>
      <c r="J198">
        <v>0.15</v>
      </c>
      <c r="K198">
        <v>4665.6499999999996</v>
      </c>
      <c r="L198">
        <v>912.96</v>
      </c>
    </row>
    <row r="199" spans="1:12" x14ac:dyDescent="0.3">
      <c r="A199" t="s">
        <v>373</v>
      </c>
      <c r="B199" s="3">
        <v>46010</v>
      </c>
      <c r="C199" t="s">
        <v>141</v>
      </c>
      <c r="D199" t="s">
        <v>72</v>
      </c>
      <c r="E199" t="s">
        <v>73</v>
      </c>
      <c r="F199" t="s">
        <v>21</v>
      </c>
      <c r="G199" t="s">
        <v>35</v>
      </c>
      <c r="H199">
        <v>2</v>
      </c>
      <c r="I199">
        <v>631</v>
      </c>
      <c r="J199">
        <v>0.05</v>
      </c>
      <c r="K199">
        <v>1198.8999999999999</v>
      </c>
      <c r="L199">
        <v>178.29</v>
      </c>
    </row>
    <row r="200" spans="1:12" x14ac:dyDescent="0.3">
      <c r="A200" t="s">
        <v>374</v>
      </c>
      <c r="B200" s="3">
        <v>45684</v>
      </c>
      <c r="C200" t="s">
        <v>358</v>
      </c>
      <c r="D200" t="s">
        <v>25</v>
      </c>
      <c r="E200" t="s">
        <v>26</v>
      </c>
      <c r="F200" t="s">
        <v>21</v>
      </c>
      <c r="G200" t="s">
        <v>35</v>
      </c>
      <c r="H200">
        <v>2</v>
      </c>
      <c r="I200">
        <v>9254</v>
      </c>
      <c r="J200">
        <v>0.1</v>
      </c>
      <c r="K200">
        <v>16657.2</v>
      </c>
      <c r="L200">
        <v>3598.39</v>
      </c>
    </row>
    <row r="201" spans="1:12" x14ac:dyDescent="0.3">
      <c r="A201" t="s">
        <v>375</v>
      </c>
      <c r="B201" s="3">
        <v>45787</v>
      </c>
      <c r="C201" t="s">
        <v>376</v>
      </c>
      <c r="D201" t="s">
        <v>30</v>
      </c>
      <c r="E201" t="s">
        <v>15</v>
      </c>
      <c r="F201" t="s">
        <v>27</v>
      </c>
      <c r="G201" t="s">
        <v>40</v>
      </c>
      <c r="H201">
        <v>5</v>
      </c>
      <c r="I201">
        <v>10787</v>
      </c>
      <c r="J201">
        <v>0.1</v>
      </c>
      <c r="K201">
        <v>48541.5</v>
      </c>
      <c r="L201">
        <v>10976.69</v>
      </c>
    </row>
    <row r="202" spans="1:12" x14ac:dyDescent="0.3">
      <c r="A202" t="s">
        <v>377</v>
      </c>
      <c r="B202" s="3">
        <v>45693</v>
      </c>
      <c r="C202" t="s">
        <v>178</v>
      </c>
      <c r="D202" t="s">
        <v>34</v>
      </c>
      <c r="E202" t="s">
        <v>15</v>
      </c>
      <c r="F202" t="s">
        <v>21</v>
      </c>
      <c r="G202" t="s">
        <v>55</v>
      </c>
      <c r="H202">
        <v>5</v>
      </c>
      <c r="I202">
        <v>18429</v>
      </c>
      <c r="J202">
        <v>0.15</v>
      </c>
      <c r="K202">
        <v>78323.25</v>
      </c>
      <c r="L202">
        <v>8936.34</v>
      </c>
    </row>
    <row r="203" spans="1:12" x14ac:dyDescent="0.3">
      <c r="A203" t="s">
        <v>378</v>
      </c>
      <c r="B203" s="3">
        <v>45793</v>
      </c>
      <c r="C203" t="s">
        <v>54</v>
      </c>
      <c r="D203" t="s">
        <v>80</v>
      </c>
      <c r="E203" t="s">
        <v>51</v>
      </c>
      <c r="F203" t="s">
        <v>16</v>
      </c>
      <c r="G203" t="s">
        <v>52</v>
      </c>
      <c r="H203">
        <v>3</v>
      </c>
      <c r="I203">
        <v>82087</v>
      </c>
      <c r="J203">
        <v>0.05</v>
      </c>
      <c r="K203">
        <v>233947.94999999998</v>
      </c>
      <c r="L203">
        <v>37399.660000000003</v>
      </c>
    </row>
    <row r="204" spans="1:12" x14ac:dyDescent="0.3">
      <c r="A204" t="s">
        <v>379</v>
      </c>
      <c r="B204" s="3">
        <v>45778</v>
      </c>
      <c r="C204" t="s">
        <v>270</v>
      </c>
      <c r="D204" t="s">
        <v>120</v>
      </c>
      <c r="E204" t="s">
        <v>51</v>
      </c>
      <c r="F204" t="s">
        <v>21</v>
      </c>
      <c r="G204" t="s">
        <v>35</v>
      </c>
      <c r="H204">
        <v>2</v>
      </c>
      <c r="I204">
        <v>567</v>
      </c>
      <c r="J204">
        <v>0.05</v>
      </c>
      <c r="K204">
        <v>1077.3</v>
      </c>
      <c r="L204">
        <v>255.95</v>
      </c>
    </row>
    <row r="205" spans="1:12" x14ac:dyDescent="0.3">
      <c r="A205" t="s">
        <v>380</v>
      </c>
      <c r="B205" s="3">
        <v>45799</v>
      </c>
      <c r="C205" t="s">
        <v>37</v>
      </c>
      <c r="D205" t="s">
        <v>120</v>
      </c>
      <c r="E205" t="s">
        <v>51</v>
      </c>
      <c r="F205" t="s">
        <v>27</v>
      </c>
      <c r="G205" t="s">
        <v>40</v>
      </c>
      <c r="H205">
        <v>1</v>
      </c>
      <c r="I205">
        <v>809</v>
      </c>
      <c r="J205">
        <v>0.05</v>
      </c>
      <c r="K205">
        <v>768.55</v>
      </c>
      <c r="L205">
        <v>120.03</v>
      </c>
    </row>
    <row r="206" spans="1:12" x14ac:dyDescent="0.3">
      <c r="A206" t="s">
        <v>381</v>
      </c>
      <c r="B206" s="3">
        <v>45980</v>
      </c>
      <c r="C206" t="s">
        <v>382</v>
      </c>
      <c r="D206" t="s">
        <v>97</v>
      </c>
      <c r="E206" t="s">
        <v>44</v>
      </c>
      <c r="F206" t="s">
        <v>58</v>
      </c>
      <c r="G206" t="s">
        <v>59</v>
      </c>
      <c r="H206">
        <v>1</v>
      </c>
      <c r="I206">
        <v>675</v>
      </c>
      <c r="J206">
        <v>0.1</v>
      </c>
      <c r="K206">
        <v>607.5</v>
      </c>
      <c r="L206">
        <v>111.26</v>
      </c>
    </row>
    <row r="207" spans="1:12" x14ac:dyDescent="0.3">
      <c r="A207" t="s">
        <v>383</v>
      </c>
      <c r="B207" s="3">
        <v>45901</v>
      </c>
      <c r="C207" t="s">
        <v>136</v>
      </c>
      <c r="D207" t="s">
        <v>88</v>
      </c>
      <c r="E207" t="s">
        <v>73</v>
      </c>
      <c r="F207" t="s">
        <v>27</v>
      </c>
      <c r="G207" t="s">
        <v>28</v>
      </c>
      <c r="H207">
        <v>1</v>
      </c>
      <c r="I207">
        <v>565</v>
      </c>
      <c r="J207">
        <v>0</v>
      </c>
      <c r="K207">
        <v>565</v>
      </c>
      <c r="L207">
        <v>137.57</v>
      </c>
    </row>
    <row r="208" spans="1:12" x14ac:dyDescent="0.3">
      <c r="A208" t="s">
        <v>384</v>
      </c>
      <c r="B208" s="3">
        <v>45791</v>
      </c>
      <c r="C208" t="s">
        <v>382</v>
      </c>
      <c r="D208" t="s">
        <v>307</v>
      </c>
      <c r="E208" t="s">
        <v>73</v>
      </c>
      <c r="F208" t="s">
        <v>27</v>
      </c>
      <c r="G208" t="s">
        <v>40</v>
      </c>
      <c r="H208">
        <v>1</v>
      </c>
      <c r="I208">
        <v>158</v>
      </c>
      <c r="J208">
        <v>0.15</v>
      </c>
      <c r="K208">
        <v>134.29999999999998</v>
      </c>
      <c r="L208">
        <v>19.41</v>
      </c>
    </row>
    <row r="209" spans="1:12" x14ac:dyDescent="0.3">
      <c r="A209" t="s">
        <v>385</v>
      </c>
      <c r="B209" s="3">
        <v>45863</v>
      </c>
      <c r="C209" t="s">
        <v>354</v>
      </c>
      <c r="D209" t="s">
        <v>92</v>
      </c>
      <c r="E209" t="s">
        <v>51</v>
      </c>
      <c r="F209" t="s">
        <v>16</v>
      </c>
      <c r="G209" t="s">
        <v>104</v>
      </c>
      <c r="H209">
        <v>5</v>
      </c>
      <c r="I209">
        <v>19256</v>
      </c>
      <c r="J209">
        <v>0.15</v>
      </c>
      <c r="K209">
        <v>81838</v>
      </c>
      <c r="L209">
        <v>8716.15</v>
      </c>
    </row>
    <row r="210" spans="1:12" x14ac:dyDescent="0.3">
      <c r="A210" t="s">
        <v>386</v>
      </c>
      <c r="B210" s="3">
        <v>45767</v>
      </c>
      <c r="C210" t="s">
        <v>208</v>
      </c>
      <c r="D210" t="s">
        <v>30</v>
      </c>
      <c r="E210" t="s">
        <v>15</v>
      </c>
      <c r="F210" t="s">
        <v>27</v>
      </c>
      <c r="G210" t="s">
        <v>28</v>
      </c>
      <c r="H210">
        <v>4</v>
      </c>
      <c r="I210">
        <v>12379</v>
      </c>
      <c r="J210">
        <v>0.05</v>
      </c>
      <c r="K210">
        <v>47040.2</v>
      </c>
      <c r="L210">
        <v>12727.17</v>
      </c>
    </row>
    <row r="211" spans="1:12" x14ac:dyDescent="0.3">
      <c r="A211" t="s">
        <v>387</v>
      </c>
      <c r="B211" s="3">
        <v>45682</v>
      </c>
      <c r="C211" t="s">
        <v>33</v>
      </c>
      <c r="D211" t="s">
        <v>103</v>
      </c>
      <c r="E211" t="s">
        <v>51</v>
      </c>
      <c r="F211" t="s">
        <v>27</v>
      </c>
      <c r="G211" t="s">
        <v>28</v>
      </c>
      <c r="H211">
        <v>1</v>
      </c>
      <c r="I211">
        <v>1824</v>
      </c>
      <c r="J211">
        <v>0.15</v>
      </c>
      <c r="K211">
        <v>1550.3999999999999</v>
      </c>
      <c r="L211">
        <v>161.87</v>
      </c>
    </row>
    <row r="212" spans="1:12" x14ac:dyDescent="0.3">
      <c r="A212" t="s">
        <v>388</v>
      </c>
      <c r="B212" s="3">
        <v>45973</v>
      </c>
      <c r="C212" t="s">
        <v>389</v>
      </c>
      <c r="D212" t="s">
        <v>34</v>
      </c>
      <c r="E212" t="s">
        <v>15</v>
      </c>
      <c r="F212" t="s">
        <v>21</v>
      </c>
      <c r="G212" t="s">
        <v>55</v>
      </c>
      <c r="H212">
        <v>3</v>
      </c>
      <c r="I212">
        <v>7006</v>
      </c>
      <c r="J212">
        <v>0</v>
      </c>
      <c r="K212">
        <v>21018</v>
      </c>
      <c r="L212">
        <v>4214.33</v>
      </c>
    </row>
    <row r="213" spans="1:12" x14ac:dyDescent="0.3">
      <c r="A213" t="s">
        <v>390</v>
      </c>
      <c r="B213" s="3">
        <v>45923</v>
      </c>
      <c r="C213" t="s">
        <v>391</v>
      </c>
      <c r="D213" t="s">
        <v>50</v>
      </c>
      <c r="E213" t="s">
        <v>51</v>
      </c>
      <c r="F213" t="s">
        <v>58</v>
      </c>
      <c r="G213" t="s">
        <v>59</v>
      </c>
      <c r="H213">
        <v>1</v>
      </c>
      <c r="I213">
        <v>2108</v>
      </c>
      <c r="J213">
        <v>0.15</v>
      </c>
      <c r="K213">
        <v>1791.8</v>
      </c>
      <c r="L213">
        <v>365.35</v>
      </c>
    </row>
    <row r="214" spans="1:12" x14ac:dyDescent="0.3">
      <c r="A214" t="s">
        <v>392</v>
      </c>
      <c r="B214" s="3">
        <v>45920</v>
      </c>
      <c r="C214" t="s">
        <v>234</v>
      </c>
      <c r="D214" t="s">
        <v>103</v>
      </c>
      <c r="E214" t="s">
        <v>51</v>
      </c>
      <c r="F214" t="s">
        <v>58</v>
      </c>
      <c r="G214" t="s">
        <v>69</v>
      </c>
      <c r="H214">
        <v>2</v>
      </c>
      <c r="I214">
        <v>1686</v>
      </c>
      <c r="J214">
        <v>0.1</v>
      </c>
      <c r="K214">
        <v>3034.8</v>
      </c>
      <c r="L214">
        <v>847.74</v>
      </c>
    </row>
    <row r="215" spans="1:12" x14ac:dyDescent="0.3">
      <c r="A215" t="s">
        <v>393</v>
      </c>
      <c r="B215" s="3">
        <v>45965</v>
      </c>
      <c r="C215" t="s">
        <v>394</v>
      </c>
      <c r="D215" t="s">
        <v>120</v>
      </c>
      <c r="E215" t="s">
        <v>51</v>
      </c>
      <c r="F215" t="s">
        <v>21</v>
      </c>
      <c r="G215" t="s">
        <v>35</v>
      </c>
      <c r="H215">
        <v>2</v>
      </c>
      <c r="I215">
        <v>1926</v>
      </c>
      <c r="J215">
        <v>0.15</v>
      </c>
      <c r="K215">
        <v>3274.2</v>
      </c>
      <c r="L215">
        <v>780.63</v>
      </c>
    </row>
    <row r="216" spans="1:12" x14ac:dyDescent="0.3">
      <c r="A216" t="s">
        <v>395</v>
      </c>
      <c r="B216" s="3">
        <v>45749</v>
      </c>
      <c r="C216" t="s">
        <v>260</v>
      </c>
      <c r="D216" t="s">
        <v>153</v>
      </c>
      <c r="E216" t="s">
        <v>26</v>
      </c>
      <c r="F216" t="s">
        <v>16</v>
      </c>
      <c r="G216" t="s">
        <v>17</v>
      </c>
      <c r="H216">
        <v>2</v>
      </c>
      <c r="I216">
        <v>3827</v>
      </c>
      <c r="J216">
        <v>0.05</v>
      </c>
      <c r="K216">
        <v>7271.2999999999993</v>
      </c>
      <c r="L216">
        <v>1983.35</v>
      </c>
    </row>
    <row r="217" spans="1:12" x14ac:dyDescent="0.3">
      <c r="A217" t="s">
        <v>396</v>
      </c>
      <c r="B217" s="3">
        <v>45736</v>
      </c>
      <c r="C217" t="s">
        <v>141</v>
      </c>
      <c r="D217" t="s">
        <v>103</v>
      </c>
      <c r="E217" t="s">
        <v>51</v>
      </c>
      <c r="F217" t="s">
        <v>27</v>
      </c>
      <c r="G217" t="s">
        <v>40</v>
      </c>
      <c r="H217">
        <v>2</v>
      </c>
      <c r="I217">
        <v>6512</v>
      </c>
      <c r="J217">
        <v>0</v>
      </c>
      <c r="K217">
        <v>13024</v>
      </c>
      <c r="L217">
        <v>2654.16</v>
      </c>
    </row>
    <row r="218" spans="1:12" x14ac:dyDescent="0.3">
      <c r="A218" t="s">
        <v>397</v>
      </c>
      <c r="B218" s="3">
        <v>45838</v>
      </c>
      <c r="C218" t="s">
        <v>398</v>
      </c>
      <c r="D218" t="s">
        <v>92</v>
      </c>
      <c r="E218" t="s">
        <v>51</v>
      </c>
      <c r="F218" t="s">
        <v>58</v>
      </c>
      <c r="G218" t="s">
        <v>126</v>
      </c>
      <c r="H218">
        <v>3</v>
      </c>
      <c r="I218">
        <v>24353</v>
      </c>
      <c r="J218">
        <v>0.1</v>
      </c>
      <c r="K218">
        <v>65753.100000000006</v>
      </c>
      <c r="L218">
        <v>6703.35</v>
      </c>
    </row>
    <row r="219" spans="1:12" x14ac:dyDescent="0.3">
      <c r="A219" t="s">
        <v>399</v>
      </c>
      <c r="B219" s="3">
        <v>45774</v>
      </c>
      <c r="C219" t="s">
        <v>223</v>
      </c>
      <c r="D219" t="s">
        <v>20</v>
      </c>
      <c r="E219" t="s">
        <v>15</v>
      </c>
      <c r="F219" t="s">
        <v>21</v>
      </c>
      <c r="G219" t="s">
        <v>22</v>
      </c>
      <c r="H219">
        <v>2</v>
      </c>
      <c r="I219">
        <v>6651</v>
      </c>
      <c r="J219">
        <v>0.05</v>
      </c>
      <c r="K219">
        <v>12636.9</v>
      </c>
      <c r="L219">
        <v>2874.53</v>
      </c>
    </row>
    <row r="220" spans="1:12" x14ac:dyDescent="0.3">
      <c r="A220" t="s">
        <v>400</v>
      </c>
      <c r="B220" s="3">
        <v>45770</v>
      </c>
      <c r="C220" t="s">
        <v>401</v>
      </c>
      <c r="D220" t="s">
        <v>68</v>
      </c>
      <c r="E220" t="s">
        <v>44</v>
      </c>
      <c r="F220" t="s">
        <v>58</v>
      </c>
      <c r="G220" t="s">
        <v>69</v>
      </c>
      <c r="H220">
        <v>5</v>
      </c>
      <c r="I220">
        <v>6679</v>
      </c>
      <c r="J220">
        <v>0.05</v>
      </c>
      <c r="K220">
        <v>31725.25</v>
      </c>
      <c r="L220">
        <v>6904.27</v>
      </c>
    </row>
    <row r="221" spans="1:12" x14ac:dyDescent="0.3">
      <c r="A221" t="s">
        <v>402</v>
      </c>
      <c r="B221" s="3">
        <v>45971</v>
      </c>
      <c r="C221" t="s">
        <v>403</v>
      </c>
      <c r="D221" t="s">
        <v>80</v>
      </c>
      <c r="E221" t="s">
        <v>51</v>
      </c>
      <c r="F221" t="s">
        <v>27</v>
      </c>
      <c r="G221" t="s">
        <v>40</v>
      </c>
      <c r="H221">
        <v>1</v>
      </c>
      <c r="I221">
        <v>76247</v>
      </c>
      <c r="J221">
        <v>0.15</v>
      </c>
      <c r="K221">
        <v>64809.95</v>
      </c>
      <c r="L221">
        <v>11606.84</v>
      </c>
    </row>
    <row r="222" spans="1:12" x14ac:dyDescent="0.3">
      <c r="A222" t="s">
        <v>404</v>
      </c>
      <c r="B222" s="3">
        <v>46000</v>
      </c>
      <c r="C222" t="s">
        <v>163</v>
      </c>
      <c r="D222" t="s">
        <v>43</v>
      </c>
      <c r="E222" t="s">
        <v>44</v>
      </c>
      <c r="F222" t="s">
        <v>58</v>
      </c>
      <c r="G222" t="s">
        <v>59</v>
      </c>
      <c r="H222">
        <v>2</v>
      </c>
      <c r="I222">
        <v>480</v>
      </c>
      <c r="J222">
        <v>0.15</v>
      </c>
      <c r="K222">
        <v>816</v>
      </c>
      <c r="L222">
        <v>148.87</v>
      </c>
    </row>
    <row r="223" spans="1:12" x14ac:dyDescent="0.3">
      <c r="A223" t="s">
        <v>405</v>
      </c>
      <c r="B223" s="3">
        <v>45766</v>
      </c>
      <c r="C223" t="s">
        <v>116</v>
      </c>
      <c r="D223" t="s">
        <v>80</v>
      </c>
      <c r="E223" t="s">
        <v>51</v>
      </c>
      <c r="F223" t="s">
        <v>16</v>
      </c>
      <c r="G223" t="s">
        <v>17</v>
      </c>
      <c r="H223">
        <v>3</v>
      </c>
      <c r="I223">
        <v>49215</v>
      </c>
      <c r="J223">
        <v>0</v>
      </c>
      <c r="K223">
        <v>147645</v>
      </c>
      <c r="L223">
        <v>26829.439999999999</v>
      </c>
    </row>
    <row r="224" spans="1:12" x14ac:dyDescent="0.3">
      <c r="A224" t="s">
        <v>406</v>
      </c>
      <c r="B224" s="3">
        <v>45868</v>
      </c>
      <c r="C224" t="s">
        <v>407</v>
      </c>
      <c r="D224" t="s">
        <v>65</v>
      </c>
      <c r="E224" t="s">
        <v>26</v>
      </c>
      <c r="F224" t="s">
        <v>16</v>
      </c>
      <c r="G224" t="s">
        <v>17</v>
      </c>
      <c r="H224">
        <v>2</v>
      </c>
      <c r="I224">
        <v>1811</v>
      </c>
      <c r="J224">
        <v>0</v>
      </c>
      <c r="K224">
        <v>3622</v>
      </c>
      <c r="L224">
        <v>361.04</v>
      </c>
    </row>
    <row r="225" spans="1:12" x14ac:dyDescent="0.3">
      <c r="A225" t="s">
        <v>408</v>
      </c>
      <c r="B225" s="3">
        <v>45695</v>
      </c>
      <c r="C225" t="s">
        <v>54</v>
      </c>
      <c r="D225" t="s">
        <v>43</v>
      </c>
      <c r="E225" t="s">
        <v>44</v>
      </c>
      <c r="F225" t="s">
        <v>21</v>
      </c>
      <c r="G225" t="s">
        <v>55</v>
      </c>
      <c r="H225">
        <v>1</v>
      </c>
      <c r="I225">
        <v>918</v>
      </c>
      <c r="J225">
        <v>0.2</v>
      </c>
      <c r="K225">
        <v>734.40000000000009</v>
      </c>
      <c r="L225">
        <v>173.68</v>
      </c>
    </row>
    <row r="226" spans="1:12" x14ac:dyDescent="0.3">
      <c r="A226" t="s">
        <v>409</v>
      </c>
      <c r="B226" s="3">
        <v>45706</v>
      </c>
      <c r="C226" t="s">
        <v>100</v>
      </c>
      <c r="D226" t="s">
        <v>25</v>
      </c>
      <c r="E226" t="s">
        <v>26</v>
      </c>
      <c r="F226" t="s">
        <v>16</v>
      </c>
      <c r="G226" t="s">
        <v>104</v>
      </c>
      <c r="H226">
        <v>1</v>
      </c>
      <c r="I226">
        <v>9129</v>
      </c>
      <c r="J226">
        <v>0</v>
      </c>
      <c r="K226">
        <v>9129</v>
      </c>
      <c r="L226">
        <v>2482.77</v>
      </c>
    </row>
    <row r="227" spans="1:12" x14ac:dyDescent="0.3">
      <c r="A227" t="s">
        <v>410</v>
      </c>
      <c r="B227" s="3">
        <v>45821</v>
      </c>
      <c r="C227" t="s">
        <v>39</v>
      </c>
      <c r="D227" t="s">
        <v>92</v>
      </c>
      <c r="E227" t="s">
        <v>51</v>
      </c>
      <c r="F227" t="s">
        <v>27</v>
      </c>
      <c r="G227" t="s">
        <v>28</v>
      </c>
      <c r="H227">
        <v>1</v>
      </c>
      <c r="I227">
        <v>24680</v>
      </c>
      <c r="J227">
        <v>0.1</v>
      </c>
      <c r="K227">
        <v>22212</v>
      </c>
      <c r="L227">
        <v>4364.3100000000004</v>
      </c>
    </row>
    <row r="228" spans="1:12" x14ac:dyDescent="0.3">
      <c r="A228" t="s">
        <v>411</v>
      </c>
      <c r="B228" s="3">
        <v>45668</v>
      </c>
      <c r="C228" t="s">
        <v>412</v>
      </c>
      <c r="D228" t="s">
        <v>65</v>
      </c>
      <c r="E228" t="s">
        <v>26</v>
      </c>
      <c r="F228" t="s">
        <v>21</v>
      </c>
      <c r="G228" t="s">
        <v>55</v>
      </c>
      <c r="H228">
        <v>1</v>
      </c>
      <c r="I228">
        <v>1566</v>
      </c>
      <c r="J228">
        <v>0.1</v>
      </c>
      <c r="K228">
        <v>1409.4</v>
      </c>
      <c r="L228">
        <v>139.53</v>
      </c>
    </row>
    <row r="229" spans="1:12" x14ac:dyDescent="0.3">
      <c r="A229" t="s">
        <v>413</v>
      </c>
      <c r="B229" s="3">
        <v>45935</v>
      </c>
      <c r="C229" t="s">
        <v>77</v>
      </c>
      <c r="D229" t="s">
        <v>25</v>
      </c>
      <c r="E229" t="s">
        <v>26</v>
      </c>
      <c r="F229" t="s">
        <v>58</v>
      </c>
      <c r="G229" t="s">
        <v>69</v>
      </c>
      <c r="H229">
        <v>1</v>
      </c>
      <c r="I229">
        <v>17140</v>
      </c>
      <c r="J229">
        <v>0.1</v>
      </c>
      <c r="K229">
        <v>15426</v>
      </c>
      <c r="L229">
        <v>2764.49</v>
      </c>
    </row>
    <row r="230" spans="1:12" x14ac:dyDescent="0.3">
      <c r="A230" t="s">
        <v>414</v>
      </c>
      <c r="B230" s="3">
        <v>45776</v>
      </c>
      <c r="C230" t="s">
        <v>415</v>
      </c>
      <c r="D230" t="s">
        <v>153</v>
      </c>
      <c r="E230" t="s">
        <v>26</v>
      </c>
      <c r="F230" t="s">
        <v>27</v>
      </c>
      <c r="G230" t="s">
        <v>40</v>
      </c>
      <c r="H230">
        <v>4</v>
      </c>
      <c r="I230">
        <v>4438</v>
      </c>
      <c r="J230">
        <v>0.1</v>
      </c>
      <c r="K230">
        <v>15976.800000000001</v>
      </c>
      <c r="L230">
        <v>3310.62</v>
      </c>
    </row>
    <row r="231" spans="1:12" x14ac:dyDescent="0.3">
      <c r="A231" t="s">
        <v>416</v>
      </c>
      <c r="B231" s="3">
        <v>45792</v>
      </c>
      <c r="C231" t="s">
        <v>125</v>
      </c>
      <c r="D231" t="s">
        <v>68</v>
      </c>
      <c r="E231" t="s">
        <v>44</v>
      </c>
      <c r="F231" t="s">
        <v>21</v>
      </c>
      <c r="G231" t="s">
        <v>55</v>
      </c>
      <c r="H231">
        <v>1</v>
      </c>
      <c r="I231">
        <v>2134</v>
      </c>
      <c r="J231">
        <v>0.05</v>
      </c>
      <c r="K231">
        <v>2027.3</v>
      </c>
      <c r="L231">
        <v>467.57</v>
      </c>
    </row>
    <row r="232" spans="1:12" x14ac:dyDescent="0.3">
      <c r="A232" t="s">
        <v>417</v>
      </c>
      <c r="B232" s="3">
        <v>45915</v>
      </c>
      <c r="C232" t="s">
        <v>389</v>
      </c>
      <c r="D232" t="s">
        <v>97</v>
      </c>
      <c r="E232" t="s">
        <v>44</v>
      </c>
      <c r="F232" t="s">
        <v>58</v>
      </c>
      <c r="G232" t="s">
        <v>69</v>
      </c>
      <c r="H232">
        <v>1</v>
      </c>
      <c r="I232">
        <v>940</v>
      </c>
      <c r="J232">
        <v>0.15</v>
      </c>
      <c r="K232">
        <v>799</v>
      </c>
      <c r="L232">
        <v>98.04</v>
      </c>
    </row>
    <row r="233" spans="1:12" x14ac:dyDescent="0.3">
      <c r="A233" t="s">
        <v>418</v>
      </c>
      <c r="B233" s="3">
        <v>45846</v>
      </c>
      <c r="C233" t="s">
        <v>376</v>
      </c>
      <c r="D233" t="s">
        <v>97</v>
      </c>
      <c r="E233" t="s">
        <v>44</v>
      </c>
      <c r="F233" t="s">
        <v>27</v>
      </c>
      <c r="G233" t="s">
        <v>31</v>
      </c>
      <c r="H233">
        <v>3</v>
      </c>
      <c r="I233">
        <v>831</v>
      </c>
      <c r="J233">
        <v>0</v>
      </c>
      <c r="K233">
        <v>2493</v>
      </c>
      <c r="L233">
        <v>275.01</v>
      </c>
    </row>
    <row r="234" spans="1:12" x14ac:dyDescent="0.3">
      <c r="A234" t="s">
        <v>419</v>
      </c>
      <c r="B234" s="3">
        <v>45768</v>
      </c>
      <c r="C234" t="s">
        <v>71</v>
      </c>
      <c r="D234" t="s">
        <v>202</v>
      </c>
      <c r="E234" t="s">
        <v>44</v>
      </c>
      <c r="F234" t="s">
        <v>58</v>
      </c>
      <c r="G234" t="s">
        <v>126</v>
      </c>
      <c r="H234">
        <v>1</v>
      </c>
      <c r="I234">
        <v>2351</v>
      </c>
      <c r="J234">
        <v>0.15</v>
      </c>
      <c r="K234">
        <v>1998.35</v>
      </c>
      <c r="L234">
        <v>456.31</v>
      </c>
    </row>
    <row r="235" spans="1:12" x14ac:dyDescent="0.3">
      <c r="A235" t="s">
        <v>420</v>
      </c>
      <c r="B235" s="3">
        <v>46011</v>
      </c>
      <c r="C235" t="s">
        <v>421</v>
      </c>
      <c r="D235" t="s">
        <v>43</v>
      </c>
      <c r="E235" t="s">
        <v>44</v>
      </c>
      <c r="F235" t="s">
        <v>16</v>
      </c>
      <c r="G235" t="s">
        <v>104</v>
      </c>
      <c r="H235">
        <v>1</v>
      </c>
      <c r="I235">
        <v>966</v>
      </c>
      <c r="J235">
        <v>0.15</v>
      </c>
      <c r="K235">
        <v>821.1</v>
      </c>
      <c r="L235">
        <v>166.85</v>
      </c>
    </row>
    <row r="236" spans="1:12" x14ac:dyDescent="0.3">
      <c r="A236" t="s">
        <v>422</v>
      </c>
      <c r="B236" s="3">
        <v>45743</v>
      </c>
      <c r="C236" t="s">
        <v>197</v>
      </c>
      <c r="D236" t="s">
        <v>72</v>
      </c>
      <c r="E236" t="s">
        <v>73</v>
      </c>
      <c r="F236" t="s">
        <v>58</v>
      </c>
      <c r="G236" t="s">
        <v>126</v>
      </c>
      <c r="H236">
        <v>3</v>
      </c>
      <c r="I236">
        <v>1048</v>
      </c>
      <c r="J236">
        <v>0.15</v>
      </c>
      <c r="K236">
        <v>2672.4</v>
      </c>
      <c r="L236">
        <v>219.69</v>
      </c>
    </row>
    <row r="237" spans="1:12" x14ac:dyDescent="0.3">
      <c r="A237" t="s">
        <v>423</v>
      </c>
      <c r="B237" s="3">
        <v>45900</v>
      </c>
      <c r="C237" t="s">
        <v>145</v>
      </c>
      <c r="D237" t="s">
        <v>97</v>
      </c>
      <c r="E237" t="s">
        <v>44</v>
      </c>
      <c r="F237" t="s">
        <v>21</v>
      </c>
      <c r="G237" t="s">
        <v>22</v>
      </c>
      <c r="H237">
        <v>3</v>
      </c>
      <c r="I237">
        <v>697</v>
      </c>
      <c r="J237">
        <v>0.1</v>
      </c>
      <c r="K237">
        <v>1881.9</v>
      </c>
      <c r="L237">
        <v>197.49</v>
      </c>
    </row>
    <row r="238" spans="1:12" x14ac:dyDescent="0.3">
      <c r="A238" t="s">
        <v>424</v>
      </c>
      <c r="B238" s="3">
        <v>45884</v>
      </c>
      <c r="C238" t="s">
        <v>346</v>
      </c>
      <c r="D238" t="s">
        <v>20</v>
      </c>
      <c r="E238" t="s">
        <v>15</v>
      </c>
      <c r="F238" t="s">
        <v>27</v>
      </c>
      <c r="G238" t="s">
        <v>40</v>
      </c>
      <c r="H238">
        <v>1</v>
      </c>
      <c r="I238">
        <v>12293</v>
      </c>
      <c r="J238">
        <v>0</v>
      </c>
      <c r="K238">
        <v>12293</v>
      </c>
      <c r="L238">
        <v>1421.99</v>
      </c>
    </row>
    <row r="239" spans="1:12" x14ac:dyDescent="0.3">
      <c r="A239" t="s">
        <v>425</v>
      </c>
      <c r="B239" s="3">
        <v>45677</v>
      </c>
      <c r="C239" t="s">
        <v>156</v>
      </c>
      <c r="D239" t="s">
        <v>120</v>
      </c>
      <c r="E239" t="s">
        <v>51</v>
      </c>
      <c r="F239" t="s">
        <v>58</v>
      </c>
      <c r="G239" t="s">
        <v>126</v>
      </c>
      <c r="H239">
        <v>1</v>
      </c>
      <c r="I239">
        <v>1974</v>
      </c>
      <c r="J239">
        <v>0.1</v>
      </c>
      <c r="K239">
        <v>1776.6000000000001</v>
      </c>
      <c r="L239">
        <v>399.17</v>
      </c>
    </row>
    <row r="240" spans="1:12" x14ac:dyDescent="0.3">
      <c r="A240" t="s">
        <v>426</v>
      </c>
      <c r="B240" s="3">
        <v>45681</v>
      </c>
      <c r="C240" t="s">
        <v>427</v>
      </c>
      <c r="D240" t="s">
        <v>120</v>
      </c>
      <c r="E240" t="s">
        <v>51</v>
      </c>
      <c r="F240" t="s">
        <v>21</v>
      </c>
      <c r="G240" t="s">
        <v>55</v>
      </c>
      <c r="H240">
        <v>2</v>
      </c>
      <c r="I240">
        <v>1849</v>
      </c>
      <c r="J240">
        <v>0.05</v>
      </c>
      <c r="K240">
        <v>3513.1</v>
      </c>
      <c r="L240">
        <v>860.74</v>
      </c>
    </row>
    <row r="241" spans="1:12" x14ac:dyDescent="0.3">
      <c r="A241" t="s">
        <v>428</v>
      </c>
      <c r="B241" s="3">
        <v>45733</v>
      </c>
      <c r="C241" t="s">
        <v>429</v>
      </c>
      <c r="D241" t="s">
        <v>153</v>
      </c>
      <c r="E241" t="s">
        <v>26</v>
      </c>
      <c r="F241" t="s">
        <v>27</v>
      </c>
      <c r="G241" t="s">
        <v>28</v>
      </c>
      <c r="H241">
        <v>3</v>
      </c>
      <c r="I241">
        <v>7808</v>
      </c>
      <c r="J241">
        <v>0.15</v>
      </c>
      <c r="K241">
        <v>19910.399999999998</v>
      </c>
      <c r="L241">
        <v>3652.64</v>
      </c>
    </row>
    <row r="242" spans="1:12" x14ac:dyDescent="0.3">
      <c r="A242" t="s">
        <v>430</v>
      </c>
      <c r="B242" s="3">
        <v>45840</v>
      </c>
      <c r="C242" t="s">
        <v>174</v>
      </c>
      <c r="D242" t="s">
        <v>34</v>
      </c>
      <c r="E242" t="s">
        <v>15</v>
      </c>
      <c r="F242" t="s">
        <v>16</v>
      </c>
      <c r="G242" t="s">
        <v>52</v>
      </c>
      <c r="H242">
        <v>1</v>
      </c>
      <c r="I242">
        <v>13686</v>
      </c>
      <c r="J242">
        <v>0</v>
      </c>
      <c r="K242">
        <v>13686</v>
      </c>
      <c r="L242">
        <v>3288.38</v>
      </c>
    </row>
    <row r="243" spans="1:12" x14ac:dyDescent="0.3">
      <c r="A243" t="s">
        <v>431</v>
      </c>
      <c r="B243" s="3">
        <v>45818</v>
      </c>
      <c r="C243" t="s">
        <v>174</v>
      </c>
      <c r="D243" t="s">
        <v>43</v>
      </c>
      <c r="E243" t="s">
        <v>44</v>
      </c>
      <c r="F243" t="s">
        <v>27</v>
      </c>
      <c r="G243" t="s">
        <v>28</v>
      </c>
      <c r="H243">
        <v>2</v>
      </c>
      <c r="I243">
        <v>1063</v>
      </c>
      <c r="J243">
        <v>0.15</v>
      </c>
      <c r="K243">
        <v>1807.1</v>
      </c>
      <c r="L243">
        <v>187.34</v>
      </c>
    </row>
    <row r="244" spans="1:12" x14ac:dyDescent="0.3">
      <c r="A244" t="s">
        <v>432</v>
      </c>
      <c r="B244" s="3">
        <v>45747</v>
      </c>
      <c r="C244" t="s">
        <v>187</v>
      </c>
      <c r="D244" t="s">
        <v>202</v>
      </c>
      <c r="E244" t="s">
        <v>44</v>
      </c>
      <c r="F244" t="s">
        <v>16</v>
      </c>
      <c r="G244" t="s">
        <v>52</v>
      </c>
      <c r="H244">
        <v>2</v>
      </c>
      <c r="I244">
        <v>1380</v>
      </c>
      <c r="J244">
        <v>0.05</v>
      </c>
      <c r="K244">
        <v>2622</v>
      </c>
      <c r="L244">
        <v>385.18</v>
      </c>
    </row>
    <row r="245" spans="1:12" x14ac:dyDescent="0.3">
      <c r="A245" t="s">
        <v>433</v>
      </c>
      <c r="B245" s="3">
        <v>46022</v>
      </c>
      <c r="C245" t="s">
        <v>368</v>
      </c>
      <c r="D245" t="s">
        <v>103</v>
      </c>
      <c r="E245" t="s">
        <v>51</v>
      </c>
      <c r="F245" t="s">
        <v>27</v>
      </c>
      <c r="G245" t="s">
        <v>28</v>
      </c>
      <c r="H245">
        <v>3</v>
      </c>
      <c r="I245">
        <v>1638</v>
      </c>
      <c r="J245">
        <v>0.15</v>
      </c>
      <c r="K245">
        <v>4176.8999999999996</v>
      </c>
      <c r="L245">
        <v>522.55999999999995</v>
      </c>
    </row>
    <row r="246" spans="1:12" x14ac:dyDescent="0.3">
      <c r="A246" t="s">
        <v>434</v>
      </c>
      <c r="B246" s="3">
        <v>45731</v>
      </c>
      <c r="C246" t="s">
        <v>276</v>
      </c>
      <c r="D246" t="s">
        <v>97</v>
      </c>
      <c r="E246" t="s">
        <v>44</v>
      </c>
      <c r="F246" t="s">
        <v>21</v>
      </c>
      <c r="G246" t="s">
        <v>35</v>
      </c>
      <c r="H246">
        <v>4</v>
      </c>
      <c r="I246">
        <v>921</v>
      </c>
      <c r="J246">
        <v>0.1</v>
      </c>
      <c r="K246">
        <v>3315.6</v>
      </c>
      <c r="L246">
        <v>298.3</v>
      </c>
    </row>
    <row r="247" spans="1:12" x14ac:dyDescent="0.3">
      <c r="A247" t="s">
        <v>435</v>
      </c>
      <c r="B247" s="3">
        <v>45757</v>
      </c>
      <c r="C247" t="s">
        <v>436</v>
      </c>
      <c r="D247" t="s">
        <v>47</v>
      </c>
      <c r="E247" t="s">
        <v>26</v>
      </c>
      <c r="F247" t="s">
        <v>21</v>
      </c>
      <c r="G247" t="s">
        <v>35</v>
      </c>
      <c r="H247">
        <v>3</v>
      </c>
      <c r="I247">
        <v>9384</v>
      </c>
      <c r="J247">
        <v>0.1</v>
      </c>
      <c r="K247">
        <v>25336.799999999999</v>
      </c>
      <c r="L247">
        <v>2712.83</v>
      </c>
    </row>
    <row r="248" spans="1:12" x14ac:dyDescent="0.3">
      <c r="A248" t="s">
        <v>437</v>
      </c>
      <c r="B248" s="3">
        <v>46021</v>
      </c>
      <c r="C248" t="s">
        <v>159</v>
      </c>
      <c r="D248" t="s">
        <v>97</v>
      </c>
      <c r="E248" t="s">
        <v>44</v>
      </c>
      <c r="F248" t="s">
        <v>21</v>
      </c>
      <c r="G248" t="s">
        <v>35</v>
      </c>
      <c r="H248">
        <v>1</v>
      </c>
      <c r="I248">
        <v>284</v>
      </c>
      <c r="J248">
        <v>0.05</v>
      </c>
      <c r="K248">
        <v>269.8</v>
      </c>
      <c r="L248">
        <v>36.46</v>
      </c>
    </row>
    <row r="249" spans="1:12" x14ac:dyDescent="0.3">
      <c r="A249" t="s">
        <v>438</v>
      </c>
      <c r="B249" s="3">
        <v>45727</v>
      </c>
      <c r="C249" t="s">
        <v>187</v>
      </c>
      <c r="D249" t="s">
        <v>92</v>
      </c>
      <c r="E249" t="s">
        <v>51</v>
      </c>
      <c r="F249" t="s">
        <v>58</v>
      </c>
      <c r="G249" t="s">
        <v>126</v>
      </c>
      <c r="H249">
        <v>1</v>
      </c>
      <c r="I249">
        <v>16801</v>
      </c>
      <c r="J249">
        <v>0</v>
      </c>
      <c r="K249">
        <v>16801</v>
      </c>
      <c r="L249">
        <v>1554.61</v>
      </c>
    </row>
    <row r="250" spans="1:12" x14ac:dyDescent="0.3">
      <c r="A250" t="s">
        <v>439</v>
      </c>
      <c r="B250" s="3">
        <v>45664</v>
      </c>
      <c r="C250" t="s">
        <v>440</v>
      </c>
      <c r="D250" t="s">
        <v>120</v>
      </c>
      <c r="E250" t="s">
        <v>51</v>
      </c>
      <c r="F250" t="s">
        <v>27</v>
      </c>
      <c r="G250" t="s">
        <v>28</v>
      </c>
      <c r="H250">
        <v>1</v>
      </c>
      <c r="I250">
        <v>826</v>
      </c>
      <c r="J250">
        <v>0.15</v>
      </c>
      <c r="K250">
        <v>702.1</v>
      </c>
      <c r="L250">
        <v>133.16</v>
      </c>
    </row>
    <row r="251" spans="1:12" x14ac:dyDescent="0.3">
      <c r="A251" t="s">
        <v>441</v>
      </c>
      <c r="B251" s="3">
        <v>45799</v>
      </c>
      <c r="C251" t="s">
        <v>246</v>
      </c>
      <c r="D251" t="s">
        <v>97</v>
      </c>
      <c r="E251" t="s">
        <v>44</v>
      </c>
      <c r="F251" t="s">
        <v>27</v>
      </c>
      <c r="G251" t="s">
        <v>40</v>
      </c>
      <c r="H251">
        <v>3</v>
      </c>
      <c r="I251">
        <v>1182</v>
      </c>
      <c r="J251">
        <v>0.05</v>
      </c>
      <c r="K251">
        <v>3368.7</v>
      </c>
      <c r="L251">
        <v>710.24</v>
      </c>
    </row>
    <row r="252" spans="1:12" x14ac:dyDescent="0.3">
      <c r="A252" t="s">
        <v>442</v>
      </c>
      <c r="B252" s="3">
        <v>45998</v>
      </c>
      <c r="C252" t="s">
        <v>189</v>
      </c>
      <c r="D252" t="s">
        <v>153</v>
      </c>
      <c r="E252" t="s">
        <v>26</v>
      </c>
      <c r="F252" t="s">
        <v>16</v>
      </c>
      <c r="G252" t="s">
        <v>52</v>
      </c>
      <c r="H252">
        <v>2</v>
      </c>
      <c r="I252">
        <v>5121</v>
      </c>
      <c r="J252">
        <v>0</v>
      </c>
      <c r="K252">
        <v>10242</v>
      </c>
      <c r="L252">
        <v>1129.17</v>
      </c>
    </row>
    <row r="253" spans="1:12" x14ac:dyDescent="0.3">
      <c r="A253" t="s">
        <v>443</v>
      </c>
      <c r="B253" s="3">
        <v>45718</v>
      </c>
      <c r="C253" t="s">
        <v>234</v>
      </c>
      <c r="D253" t="s">
        <v>80</v>
      </c>
      <c r="E253" t="s">
        <v>51</v>
      </c>
      <c r="F253" t="s">
        <v>58</v>
      </c>
      <c r="G253" t="s">
        <v>126</v>
      </c>
      <c r="H253">
        <v>4</v>
      </c>
      <c r="I253">
        <v>73913</v>
      </c>
      <c r="J253">
        <v>0</v>
      </c>
      <c r="K253">
        <v>295652</v>
      </c>
      <c r="L253">
        <v>65506.73</v>
      </c>
    </row>
    <row r="254" spans="1:12" x14ac:dyDescent="0.3">
      <c r="A254" t="s">
        <v>444</v>
      </c>
      <c r="B254" s="3">
        <v>45722</v>
      </c>
      <c r="C254" t="s">
        <v>363</v>
      </c>
      <c r="D254" t="s">
        <v>25</v>
      </c>
      <c r="E254" t="s">
        <v>26</v>
      </c>
      <c r="F254" t="s">
        <v>27</v>
      </c>
      <c r="G254" t="s">
        <v>40</v>
      </c>
      <c r="H254">
        <v>2</v>
      </c>
      <c r="I254">
        <v>7692</v>
      </c>
      <c r="J254">
        <v>0.1</v>
      </c>
      <c r="K254">
        <v>13845.6</v>
      </c>
      <c r="L254">
        <v>1706.03</v>
      </c>
    </row>
    <row r="255" spans="1:12" x14ac:dyDescent="0.3">
      <c r="A255" t="s">
        <v>445</v>
      </c>
      <c r="B255" s="3">
        <v>45824</v>
      </c>
      <c r="C255" t="s">
        <v>295</v>
      </c>
      <c r="D255" t="s">
        <v>65</v>
      </c>
      <c r="E255" t="s">
        <v>26</v>
      </c>
      <c r="F255" t="s">
        <v>16</v>
      </c>
      <c r="G255" t="s">
        <v>52</v>
      </c>
      <c r="H255">
        <v>2</v>
      </c>
      <c r="I255">
        <v>1406</v>
      </c>
      <c r="J255">
        <v>0.1</v>
      </c>
      <c r="K255">
        <v>2530.8000000000002</v>
      </c>
      <c r="L255">
        <v>610.63</v>
      </c>
    </row>
    <row r="256" spans="1:12" x14ac:dyDescent="0.3">
      <c r="A256" t="s">
        <v>446</v>
      </c>
      <c r="B256" s="3">
        <v>45689</v>
      </c>
      <c r="C256" t="s">
        <v>440</v>
      </c>
      <c r="D256" t="s">
        <v>202</v>
      </c>
      <c r="E256" t="s">
        <v>44</v>
      </c>
      <c r="F256" t="s">
        <v>16</v>
      </c>
      <c r="G256" t="s">
        <v>52</v>
      </c>
      <c r="H256">
        <v>1</v>
      </c>
      <c r="I256">
        <v>1328</v>
      </c>
      <c r="J256">
        <v>0.05</v>
      </c>
      <c r="K256">
        <v>1261.5999999999999</v>
      </c>
      <c r="L256">
        <v>291.87</v>
      </c>
    </row>
    <row r="257" spans="1:12" x14ac:dyDescent="0.3">
      <c r="A257" t="s">
        <v>447</v>
      </c>
      <c r="B257" s="3">
        <v>45773</v>
      </c>
      <c r="C257" t="s">
        <v>448</v>
      </c>
      <c r="D257" t="s">
        <v>103</v>
      </c>
      <c r="E257" t="s">
        <v>51</v>
      </c>
      <c r="F257" t="s">
        <v>16</v>
      </c>
      <c r="G257" t="s">
        <v>104</v>
      </c>
      <c r="H257">
        <v>4</v>
      </c>
      <c r="I257">
        <v>3063</v>
      </c>
      <c r="J257">
        <v>0.05</v>
      </c>
      <c r="K257">
        <v>11639.4</v>
      </c>
      <c r="L257">
        <v>3224.09</v>
      </c>
    </row>
    <row r="258" spans="1:12" x14ac:dyDescent="0.3">
      <c r="A258" t="s">
        <v>449</v>
      </c>
      <c r="B258" s="3">
        <v>45701</v>
      </c>
      <c r="C258" t="s">
        <v>125</v>
      </c>
      <c r="D258" t="s">
        <v>25</v>
      </c>
      <c r="E258" t="s">
        <v>26</v>
      </c>
      <c r="F258" t="s">
        <v>58</v>
      </c>
      <c r="G258" t="s">
        <v>69</v>
      </c>
      <c r="H258">
        <v>2</v>
      </c>
      <c r="I258">
        <v>11974</v>
      </c>
      <c r="J258">
        <v>0</v>
      </c>
      <c r="K258">
        <v>23948</v>
      </c>
      <c r="L258">
        <v>5061.55</v>
      </c>
    </row>
    <row r="259" spans="1:12" x14ac:dyDescent="0.3">
      <c r="A259" t="s">
        <v>450</v>
      </c>
      <c r="B259" s="3">
        <v>45964</v>
      </c>
      <c r="C259" t="s">
        <v>451</v>
      </c>
      <c r="D259" t="s">
        <v>30</v>
      </c>
      <c r="E259" t="s">
        <v>15</v>
      </c>
      <c r="F259" t="s">
        <v>16</v>
      </c>
      <c r="G259" t="s">
        <v>52</v>
      </c>
      <c r="H259">
        <v>1</v>
      </c>
      <c r="I259">
        <v>6274</v>
      </c>
      <c r="J259">
        <v>0</v>
      </c>
      <c r="K259">
        <v>6274</v>
      </c>
      <c r="L259">
        <v>949.47</v>
      </c>
    </row>
    <row r="260" spans="1:12" x14ac:dyDescent="0.3">
      <c r="A260" t="s">
        <v>452</v>
      </c>
      <c r="B260" s="3">
        <v>45704</v>
      </c>
      <c r="C260" t="s">
        <v>328</v>
      </c>
      <c r="D260" t="s">
        <v>47</v>
      </c>
      <c r="E260" t="s">
        <v>26</v>
      </c>
      <c r="F260" t="s">
        <v>21</v>
      </c>
      <c r="G260" t="s">
        <v>22</v>
      </c>
      <c r="H260">
        <v>1</v>
      </c>
      <c r="I260">
        <v>20454</v>
      </c>
      <c r="J260">
        <v>0.1</v>
      </c>
      <c r="K260">
        <v>18408.600000000002</v>
      </c>
      <c r="L260">
        <v>3120.64</v>
      </c>
    </row>
    <row r="261" spans="1:12" x14ac:dyDescent="0.3">
      <c r="A261" t="s">
        <v>453</v>
      </c>
      <c r="B261" s="3">
        <v>45940</v>
      </c>
      <c r="C261" t="s">
        <v>403</v>
      </c>
      <c r="D261" t="s">
        <v>50</v>
      </c>
      <c r="E261" t="s">
        <v>51</v>
      </c>
      <c r="F261" t="s">
        <v>58</v>
      </c>
      <c r="G261" t="s">
        <v>59</v>
      </c>
      <c r="H261">
        <v>1</v>
      </c>
      <c r="I261">
        <v>3456</v>
      </c>
      <c r="J261">
        <v>0</v>
      </c>
      <c r="K261">
        <v>3456</v>
      </c>
      <c r="L261">
        <v>416.11</v>
      </c>
    </row>
    <row r="262" spans="1:12" x14ac:dyDescent="0.3">
      <c r="A262" t="s">
        <v>454</v>
      </c>
      <c r="B262" s="3">
        <v>45758</v>
      </c>
      <c r="C262" t="s">
        <v>328</v>
      </c>
      <c r="D262" t="s">
        <v>43</v>
      </c>
      <c r="E262" t="s">
        <v>44</v>
      </c>
      <c r="F262" t="s">
        <v>21</v>
      </c>
      <c r="G262" t="s">
        <v>22</v>
      </c>
      <c r="H262">
        <v>2</v>
      </c>
      <c r="I262">
        <v>1038</v>
      </c>
      <c r="J262">
        <v>0</v>
      </c>
      <c r="K262">
        <v>2076</v>
      </c>
      <c r="L262">
        <v>532.46</v>
      </c>
    </row>
    <row r="263" spans="1:12" x14ac:dyDescent="0.3">
      <c r="A263" t="s">
        <v>455</v>
      </c>
      <c r="B263" s="3">
        <v>45720</v>
      </c>
      <c r="C263" t="s">
        <v>456</v>
      </c>
      <c r="D263" t="s">
        <v>88</v>
      </c>
      <c r="E263" t="s">
        <v>73</v>
      </c>
      <c r="F263" t="s">
        <v>21</v>
      </c>
      <c r="G263" t="s">
        <v>35</v>
      </c>
      <c r="H263">
        <v>2</v>
      </c>
      <c r="I263">
        <v>161</v>
      </c>
      <c r="J263">
        <v>0.15</v>
      </c>
      <c r="K263">
        <v>273.7</v>
      </c>
      <c r="L263">
        <v>39.58</v>
      </c>
    </row>
    <row r="264" spans="1:12" x14ac:dyDescent="0.3">
      <c r="A264" t="s">
        <v>457</v>
      </c>
      <c r="B264" s="3">
        <v>45785</v>
      </c>
      <c r="C264" t="s">
        <v>458</v>
      </c>
      <c r="D264" t="s">
        <v>202</v>
      </c>
      <c r="E264" t="s">
        <v>44</v>
      </c>
      <c r="F264" t="s">
        <v>16</v>
      </c>
      <c r="G264" t="s">
        <v>17</v>
      </c>
      <c r="H264">
        <v>1</v>
      </c>
      <c r="I264">
        <v>2355</v>
      </c>
      <c r="J264">
        <v>0.1</v>
      </c>
      <c r="K264">
        <v>2119.5</v>
      </c>
      <c r="L264">
        <v>474.49</v>
      </c>
    </row>
    <row r="265" spans="1:12" x14ac:dyDescent="0.3">
      <c r="A265" t="s">
        <v>459</v>
      </c>
      <c r="B265" s="3">
        <v>45922</v>
      </c>
      <c r="C265" t="s">
        <v>398</v>
      </c>
      <c r="D265" t="s">
        <v>103</v>
      </c>
      <c r="E265" t="s">
        <v>51</v>
      </c>
      <c r="F265" t="s">
        <v>16</v>
      </c>
      <c r="G265" t="s">
        <v>52</v>
      </c>
      <c r="H265">
        <v>3</v>
      </c>
      <c r="I265">
        <v>5418</v>
      </c>
      <c r="J265">
        <v>0.1</v>
      </c>
      <c r="K265">
        <v>14628.6</v>
      </c>
      <c r="L265">
        <v>2089.9899999999998</v>
      </c>
    </row>
    <row r="266" spans="1:12" x14ac:dyDescent="0.3">
      <c r="A266" t="s">
        <v>460</v>
      </c>
      <c r="B266" s="3">
        <v>45870</v>
      </c>
      <c r="C266" t="s">
        <v>19</v>
      </c>
      <c r="D266" t="s">
        <v>43</v>
      </c>
      <c r="E266" t="s">
        <v>44</v>
      </c>
      <c r="F266" t="s">
        <v>21</v>
      </c>
      <c r="G266" t="s">
        <v>35</v>
      </c>
      <c r="H266">
        <v>1</v>
      </c>
      <c r="I266">
        <v>1283</v>
      </c>
      <c r="J266">
        <v>0.15</v>
      </c>
      <c r="K266">
        <v>1090.55</v>
      </c>
      <c r="L266">
        <v>201.85</v>
      </c>
    </row>
    <row r="267" spans="1:12" x14ac:dyDescent="0.3">
      <c r="A267" t="s">
        <v>461</v>
      </c>
      <c r="B267" s="3">
        <v>45820</v>
      </c>
      <c r="C267" t="s">
        <v>123</v>
      </c>
      <c r="D267" t="s">
        <v>92</v>
      </c>
      <c r="E267" t="s">
        <v>51</v>
      </c>
      <c r="F267" t="s">
        <v>27</v>
      </c>
      <c r="G267" t="s">
        <v>28</v>
      </c>
      <c r="H267">
        <v>1</v>
      </c>
      <c r="I267">
        <v>14567</v>
      </c>
      <c r="J267">
        <v>0.05</v>
      </c>
      <c r="K267">
        <v>13838.65</v>
      </c>
      <c r="L267">
        <v>3179.64</v>
      </c>
    </row>
    <row r="268" spans="1:12" x14ac:dyDescent="0.3">
      <c r="A268" t="s">
        <v>462</v>
      </c>
      <c r="B268" s="3">
        <v>45765</v>
      </c>
      <c r="C268" t="s">
        <v>463</v>
      </c>
      <c r="D268" t="s">
        <v>25</v>
      </c>
      <c r="E268" t="s">
        <v>26</v>
      </c>
      <c r="F268" t="s">
        <v>58</v>
      </c>
      <c r="G268" t="s">
        <v>126</v>
      </c>
      <c r="H268">
        <v>2</v>
      </c>
      <c r="I268">
        <v>17749</v>
      </c>
      <c r="J268">
        <v>0.1</v>
      </c>
      <c r="K268">
        <v>31948.2</v>
      </c>
      <c r="L268">
        <v>3362.64</v>
      </c>
    </row>
    <row r="269" spans="1:12" x14ac:dyDescent="0.3">
      <c r="A269" t="s">
        <v>464</v>
      </c>
      <c r="B269" s="3">
        <v>45858</v>
      </c>
      <c r="C269" t="s">
        <v>134</v>
      </c>
      <c r="D269" t="s">
        <v>50</v>
      </c>
      <c r="E269" t="s">
        <v>51</v>
      </c>
      <c r="F269" t="s">
        <v>21</v>
      </c>
      <c r="G269" t="s">
        <v>22</v>
      </c>
      <c r="H269">
        <v>2</v>
      </c>
      <c r="I269">
        <v>3478</v>
      </c>
      <c r="J269">
        <v>0</v>
      </c>
      <c r="K269">
        <v>6956</v>
      </c>
      <c r="L269">
        <v>663.71</v>
      </c>
    </row>
    <row r="270" spans="1:12" x14ac:dyDescent="0.3">
      <c r="A270" t="s">
        <v>465</v>
      </c>
      <c r="B270" s="3">
        <v>45800</v>
      </c>
      <c r="C270" t="s">
        <v>57</v>
      </c>
      <c r="D270" t="s">
        <v>83</v>
      </c>
      <c r="E270" t="s">
        <v>73</v>
      </c>
      <c r="F270" t="s">
        <v>16</v>
      </c>
      <c r="G270" t="s">
        <v>104</v>
      </c>
      <c r="H270">
        <v>1</v>
      </c>
      <c r="I270">
        <v>272</v>
      </c>
      <c r="J270">
        <v>0.05</v>
      </c>
      <c r="K270">
        <v>258.39999999999998</v>
      </c>
      <c r="L270">
        <v>54.43</v>
      </c>
    </row>
    <row r="271" spans="1:12" x14ac:dyDescent="0.3">
      <c r="A271" t="s">
        <v>466</v>
      </c>
      <c r="B271" s="3">
        <v>46012</v>
      </c>
      <c r="C271" t="s">
        <v>389</v>
      </c>
      <c r="D271" t="s">
        <v>97</v>
      </c>
      <c r="E271" t="s">
        <v>44</v>
      </c>
      <c r="F271" t="s">
        <v>16</v>
      </c>
      <c r="G271" t="s">
        <v>52</v>
      </c>
      <c r="H271">
        <v>1</v>
      </c>
      <c r="I271">
        <v>1104</v>
      </c>
      <c r="J271">
        <v>0.1</v>
      </c>
      <c r="K271">
        <v>993.6</v>
      </c>
      <c r="L271">
        <v>253.21</v>
      </c>
    </row>
    <row r="272" spans="1:12" x14ac:dyDescent="0.3">
      <c r="A272" t="s">
        <v>467</v>
      </c>
      <c r="B272" s="3">
        <v>45695</v>
      </c>
      <c r="C272" t="s">
        <v>468</v>
      </c>
      <c r="D272" t="s">
        <v>92</v>
      </c>
      <c r="E272" t="s">
        <v>51</v>
      </c>
      <c r="F272" t="s">
        <v>21</v>
      </c>
      <c r="G272" t="s">
        <v>55</v>
      </c>
      <c r="H272">
        <v>1</v>
      </c>
      <c r="I272">
        <v>15106</v>
      </c>
      <c r="J272">
        <v>0</v>
      </c>
      <c r="K272">
        <v>15106</v>
      </c>
      <c r="L272">
        <v>2455.5100000000002</v>
      </c>
    </row>
    <row r="273" spans="1:12" x14ac:dyDescent="0.3">
      <c r="A273" t="s">
        <v>469</v>
      </c>
      <c r="B273" s="3">
        <v>45811</v>
      </c>
      <c r="C273" t="s">
        <v>266</v>
      </c>
      <c r="D273" t="s">
        <v>47</v>
      </c>
      <c r="E273" t="s">
        <v>26</v>
      </c>
      <c r="F273" t="s">
        <v>58</v>
      </c>
      <c r="G273" t="s">
        <v>69</v>
      </c>
      <c r="H273">
        <v>5</v>
      </c>
      <c r="I273">
        <v>8912</v>
      </c>
      <c r="J273">
        <v>0.1</v>
      </c>
      <c r="K273">
        <v>40104</v>
      </c>
      <c r="L273">
        <v>11010.76</v>
      </c>
    </row>
    <row r="274" spans="1:12" x14ac:dyDescent="0.3">
      <c r="A274" t="s">
        <v>470</v>
      </c>
      <c r="B274" s="3">
        <v>45984</v>
      </c>
      <c r="C274" t="s">
        <v>143</v>
      </c>
      <c r="D274" t="s">
        <v>83</v>
      </c>
      <c r="E274" t="s">
        <v>73</v>
      </c>
      <c r="F274" t="s">
        <v>21</v>
      </c>
      <c r="G274" t="s">
        <v>35</v>
      </c>
      <c r="H274">
        <v>2</v>
      </c>
      <c r="I274">
        <v>613</v>
      </c>
      <c r="J274">
        <v>0.1</v>
      </c>
      <c r="K274">
        <v>1103.4000000000001</v>
      </c>
      <c r="L274">
        <v>205.82</v>
      </c>
    </row>
    <row r="275" spans="1:12" x14ac:dyDescent="0.3">
      <c r="A275" t="s">
        <v>471</v>
      </c>
      <c r="B275" s="3">
        <v>45974</v>
      </c>
      <c r="C275" t="s">
        <v>61</v>
      </c>
      <c r="D275" t="s">
        <v>68</v>
      </c>
      <c r="E275" t="s">
        <v>44</v>
      </c>
      <c r="F275" t="s">
        <v>21</v>
      </c>
      <c r="G275" t="s">
        <v>55</v>
      </c>
      <c r="H275">
        <v>1</v>
      </c>
      <c r="I275">
        <v>3433</v>
      </c>
      <c r="J275">
        <v>0</v>
      </c>
      <c r="K275">
        <v>3433</v>
      </c>
      <c r="L275">
        <v>664.06</v>
      </c>
    </row>
    <row r="276" spans="1:12" x14ac:dyDescent="0.3">
      <c r="A276" t="s">
        <v>472</v>
      </c>
      <c r="B276" s="3">
        <v>45991</v>
      </c>
      <c r="C276" t="s">
        <v>473</v>
      </c>
      <c r="D276" t="s">
        <v>30</v>
      </c>
      <c r="E276" t="s">
        <v>15</v>
      </c>
      <c r="F276" t="s">
        <v>58</v>
      </c>
      <c r="G276" t="s">
        <v>59</v>
      </c>
      <c r="H276">
        <v>3</v>
      </c>
      <c r="I276">
        <v>4957</v>
      </c>
      <c r="J276">
        <v>0.2</v>
      </c>
      <c r="K276">
        <v>11896.800000000001</v>
      </c>
      <c r="L276">
        <v>2979.59</v>
      </c>
    </row>
    <row r="277" spans="1:12" x14ac:dyDescent="0.3">
      <c r="A277" t="s">
        <v>474</v>
      </c>
      <c r="B277" s="3">
        <v>45912</v>
      </c>
      <c r="C277" t="s">
        <v>136</v>
      </c>
      <c r="D277" t="s">
        <v>34</v>
      </c>
      <c r="E277" t="s">
        <v>15</v>
      </c>
      <c r="F277" t="s">
        <v>58</v>
      </c>
      <c r="G277" t="s">
        <v>1458</v>
      </c>
      <c r="H277">
        <v>1</v>
      </c>
      <c r="I277">
        <v>11311</v>
      </c>
      <c r="J277">
        <v>0.15</v>
      </c>
      <c r="K277">
        <v>9614.35</v>
      </c>
      <c r="L277">
        <v>835.81</v>
      </c>
    </row>
    <row r="278" spans="1:12" x14ac:dyDescent="0.3">
      <c r="A278" t="s">
        <v>475</v>
      </c>
      <c r="B278" s="3">
        <v>45806</v>
      </c>
      <c r="C278" t="s">
        <v>272</v>
      </c>
      <c r="D278" t="s">
        <v>92</v>
      </c>
      <c r="E278" t="s">
        <v>51</v>
      </c>
      <c r="F278" t="s">
        <v>58</v>
      </c>
      <c r="G278" t="s">
        <v>59</v>
      </c>
      <c r="H278">
        <v>1</v>
      </c>
      <c r="I278">
        <v>22302</v>
      </c>
      <c r="J278">
        <v>0.1</v>
      </c>
      <c r="K278">
        <v>20071.8</v>
      </c>
      <c r="L278">
        <v>2067.13</v>
      </c>
    </row>
    <row r="279" spans="1:12" x14ac:dyDescent="0.3">
      <c r="A279" t="s">
        <v>476</v>
      </c>
      <c r="B279" s="3">
        <v>45665</v>
      </c>
      <c r="C279" t="s">
        <v>174</v>
      </c>
      <c r="D279" t="s">
        <v>83</v>
      </c>
      <c r="E279" t="s">
        <v>73</v>
      </c>
      <c r="F279" t="s">
        <v>27</v>
      </c>
      <c r="G279" t="s">
        <v>28</v>
      </c>
      <c r="H279">
        <v>2</v>
      </c>
      <c r="I279">
        <v>530</v>
      </c>
      <c r="J279">
        <v>0.05</v>
      </c>
      <c r="K279">
        <v>1007</v>
      </c>
      <c r="L279">
        <v>168.09</v>
      </c>
    </row>
    <row r="280" spans="1:12" x14ac:dyDescent="0.3">
      <c r="A280" t="s">
        <v>477</v>
      </c>
      <c r="B280" s="3">
        <v>45889</v>
      </c>
      <c r="C280" t="s">
        <v>199</v>
      </c>
      <c r="D280" t="s">
        <v>50</v>
      </c>
      <c r="E280" t="s">
        <v>51</v>
      </c>
      <c r="F280" t="s">
        <v>27</v>
      </c>
      <c r="G280" t="s">
        <v>28</v>
      </c>
      <c r="H280">
        <v>4</v>
      </c>
      <c r="I280">
        <v>2002</v>
      </c>
      <c r="J280">
        <v>0.15</v>
      </c>
      <c r="K280">
        <v>6806.8</v>
      </c>
      <c r="L280">
        <v>1415.28</v>
      </c>
    </row>
    <row r="281" spans="1:12" x14ac:dyDescent="0.3">
      <c r="A281" t="s">
        <v>478</v>
      </c>
      <c r="B281" s="3">
        <v>45733</v>
      </c>
      <c r="C281" t="s">
        <v>473</v>
      </c>
      <c r="D281" t="s">
        <v>65</v>
      </c>
      <c r="E281" t="s">
        <v>26</v>
      </c>
      <c r="F281" t="s">
        <v>21</v>
      </c>
      <c r="G281" t="s">
        <v>55</v>
      </c>
      <c r="H281">
        <v>2</v>
      </c>
      <c r="I281">
        <v>3352</v>
      </c>
      <c r="J281">
        <v>0.2</v>
      </c>
      <c r="K281">
        <v>5363.2000000000007</v>
      </c>
      <c r="L281">
        <v>1073.3399999999999</v>
      </c>
    </row>
    <row r="282" spans="1:12" x14ac:dyDescent="0.3">
      <c r="A282" t="s">
        <v>479</v>
      </c>
      <c r="B282" s="3">
        <v>45871</v>
      </c>
      <c r="C282" t="s">
        <v>204</v>
      </c>
      <c r="D282" t="s">
        <v>153</v>
      </c>
      <c r="E282" t="s">
        <v>26</v>
      </c>
      <c r="F282" t="s">
        <v>27</v>
      </c>
      <c r="G282" t="s">
        <v>40</v>
      </c>
      <c r="H282">
        <v>1</v>
      </c>
      <c r="I282">
        <v>5214</v>
      </c>
      <c r="J282">
        <v>0.1</v>
      </c>
      <c r="K282">
        <v>4692.6000000000004</v>
      </c>
      <c r="L282">
        <v>418.25</v>
      </c>
    </row>
    <row r="283" spans="1:12" x14ac:dyDescent="0.3">
      <c r="A283" t="s">
        <v>480</v>
      </c>
      <c r="B283" s="3">
        <v>45750</v>
      </c>
      <c r="C283" t="s">
        <v>337</v>
      </c>
      <c r="D283" t="s">
        <v>92</v>
      </c>
      <c r="E283" t="s">
        <v>51</v>
      </c>
      <c r="F283" t="s">
        <v>58</v>
      </c>
      <c r="G283" t="s">
        <v>126</v>
      </c>
      <c r="H283">
        <v>2</v>
      </c>
      <c r="I283">
        <v>18960</v>
      </c>
      <c r="J283">
        <v>0.05</v>
      </c>
      <c r="K283">
        <v>36024</v>
      </c>
      <c r="L283">
        <v>6105.84</v>
      </c>
    </row>
    <row r="284" spans="1:12" x14ac:dyDescent="0.3">
      <c r="A284" t="s">
        <v>481</v>
      </c>
      <c r="B284" s="3">
        <v>45706</v>
      </c>
      <c r="C284" t="s">
        <v>482</v>
      </c>
      <c r="D284" t="s">
        <v>103</v>
      </c>
      <c r="E284" t="s">
        <v>51</v>
      </c>
      <c r="F284" t="s">
        <v>58</v>
      </c>
      <c r="G284" t="s">
        <v>69</v>
      </c>
      <c r="H284">
        <v>1</v>
      </c>
      <c r="I284">
        <v>2909</v>
      </c>
      <c r="J284">
        <v>0</v>
      </c>
      <c r="K284">
        <v>2909</v>
      </c>
      <c r="L284">
        <v>295.57</v>
      </c>
    </row>
    <row r="285" spans="1:12" x14ac:dyDescent="0.3">
      <c r="A285" t="s">
        <v>483</v>
      </c>
      <c r="B285" s="3">
        <v>45763</v>
      </c>
      <c r="C285" t="s">
        <v>451</v>
      </c>
      <c r="D285" t="s">
        <v>47</v>
      </c>
      <c r="E285" t="s">
        <v>26</v>
      </c>
      <c r="F285" t="s">
        <v>58</v>
      </c>
      <c r="G285" t="s">
        <v>69</v>
      </c>
      <c r="H285">
        <v>1</v>
      </c>
      <c r="I285">
        <v>20976</v>
      </c>
      <c r="J285">
        <v>0.05</v>
      </c>
      <c r="K285">
        <v>19927.2</v>
      </c>
      <c r="L285">
        <v>1941.28</v>
      </c>
    </row>
    <row r="286" spans="1:12" x14ac:dyDescent="0.3">
      <c r="A286" t="s">
        <v>484</v>
      </c>
      <c r="B286" s="3">
        <v>45840</v>
      </c>
      <c r="C286" t="s">
        <v>485</v>
      </c>
      <c r="D286" t="s">
        <v>83</v>
      </c>
      <c r="E286" t="s">
        <v>73</v>
      </c>
      <c r="F286" t="s">
        <v>16</v>
      </c>
      <c r="G286" t="s">
        <v>17</v>
      </c>
      <c r="H286">
        <v>4</v>
      </c>
      <c r="I286">
        <v>571</v>
      </c>
      <c r="J286">
        <v>0.1</v>
      </c>
      <c r="K286">
        <v>2055.6</v>
      </c>
      <c r="L286">
        <v>572.61</v>
      </c>
    </row>
    <row r="287" spans="1:12" x14ac:dyDescent="0.3">
      <c r="A287" t="s">
        <v>486</v>
      </c>
      <c r="B287" s="3">
        <v>45989</v>
      </c>
      <c r="C287" t="s">
        <v>87</v>
      </c>
      <c r="D287" t="s">
        <v>97</v>
      </c>
      <c r="E287" t="s">
        <v>44</v>
      </c>
      <c r="F287" t="s">
        <v>58</v>
      </c>
      <c r="G287" t="s">
        <v>59</v>
      </c>
      <c r="H287">
        <v>4</v>
      </c>
      <c r="I287">
        <v>887</v>
      </c>
      <c r="J287">
        <v>0.05</v>
      </c>
      <c r="K287">
        <v>3370.6</v>
      </c>
      <c r="L287">
        <v>724.41</v>
      </c>
    </row>
    <row r="288" spans="1:12" x14ac:dyDescent="0.3">
      <c r="A288" t="s">
        <v>487</v>
      </c>
      <c r="B288" s="3">
        <v>45665</v>
      </c>
      <c r="C288" t="s">
        <v>139</v>
      </c>
      <c r="D288" t="s">
        <v>202</v>
      </c>
      <c r="E288" t="s">
        <v>44</v>
      </c>
      <c r="F288" t="s">
        <v>21</v>
      </c>
      <c r="G288" t="s">
        <v>55</v>
      </c>
      <c r="H288">
        <v>4</v>
      </c>
      <c r="I288">
        <v>905</v>
      </c>
      <c r="J288">
        <v>0.1</v>
      </c>
      <c r="K288">
        <v>3258</v>
      </c>
      <c r="L288">
        <v>801.2</v>
      </c>
    </row>
    <row r="289" spans="1:12" x14ac:dyDescent="0.3">
      <c r="A289" t="s">
        <v>488</v>
      </c>
      <c r="B289" s="3">
        <v>45981</v>
      </c>
      <c r="C289" t="s">
        <v>456</v>
      </c>
      <c r="D289" t="s">
        <v>25</v>
      </c>
      <c r="E289" t="s">
        <v>26</v>
      </c>
      <c r="F289" t="s">
        <v>27</v>
      </c>
      <c r="G289" t="s">
        <v>40</v>
      </c>
      <c r="H289">
        <v>1</v>
      </c>
      <c r="I289">
        <v>11475</v>
      </c>
      <c r="J289">
        <v>0.05</v>
      </c>
      <c r="K289">
        <v>10901.25</v>
      </c>
      <c r="L289">
        <v>1135.96</v>
      </c>
    </row>
    <row r="290" spans="1:12" x14ac:dyDescent="0.3">
      <c r="A290" t="s">
        <v>489</v>
      </c>
      <c r="B290" s="3">
        <v>45900</v>
      </c>
      <c r="C290" t="s">
        <v>183</v>
      </c>
      <c r="D290" t="s">
        <v>47</v>
      </c>
      <c r="E290" t="s">
        <v>26</v>
      </c>
      <c r="F290" t="s">
        <v>58</v>
      </c>
      <c r="G290" t="s">
        <v>69</v>
      </c>
      <c r="H290">
        <v>1</v>
      </c>
      <c r="I290">
        <v>21126</v>
      </c>
      <c r="J290">
        <v>0.1</v>
      </c>
      <c r="K290">
        <v>19013.400000000001</v>
      </c>
      <c r="L290">
        <v>4101.84</v>
      </c>
    </row>
    <row r="291" spans="1:12" x14ac:dyDescent="0.3">
      <c r="A291" t="s">
        <v>490</v>
      </c>
      <c r="B291" s="3">
        <v>45708</v>
      </c>
      <c r="C291" t="s">
        <v>421</v>
      </c>
      <c r="D291" t="s">
        <v>25</v>
      </c>
      <c r="E291" t="s">
        <v>26</v>
      </c>
      <c r="F291" t="s">
        <v>27</v>
      </c>
      <c r="G291" t="s">
        <v>40</v>
      </c>
      <c r="H291">
        <v>4</v>
      </c>
      <c r="I291">
        <v>13351</v>
      </c>
      <c r="J291">
        <v>0.15</v>
      </c>
      <c r="K291">
        <v>45393.4</v>
      </c>
      <c r="L291">
        <v>10204.19</v>
      </c>
    </row>
    <row r="292" spans="1:12" x14ac:dyDescent="0.3">
      <c r="A292" t="s">
        <v>491</v>
      </c>
      <c r="B292" s="3">
        <v>46007</v>
      </c>
      <c r="C292" t="s">
        <v>492</v>
      </c>
      <c r="D292" t="s">
        <v>83</v>
      </c>
      <c r="E292" t="s">
        <v>73</v>
      </c>
      <c r="F292" t="s">
        <v>27</v>
      </c>
      <c r="G292" t="s">
        <v>31</v>
      </c>
      <c r="H292">
        <v>1</v>
      </c>
      <c r="I292">
        <v>258</v>
      </c>
      <c r="J292">
        <v>0.05</v>
      </c>
      <c r="K292">
        <v>245.1</v>
      </c>
      <c r="L292">
        <v>34.07</v>
      </c>
    </row>
    <row r="293" spans="1:12" x14ac:dyDescent="0.3">
      <c r="A293" t="s">
        <v>493</v>
      </c>
      <c r="B293" s="3">
        <v>45719</v>
      </c>
      <c r="C293" t="s">
        <v>49</v>
      </c>
      <c r="D293" t="s">
        <v>92</v>
      </c>
      <c r="E293" t="s">
        <v>51</v>
      </c>
      <c r="F293" t="s">
        <v>58</v>
      </c>
      <c r="G293" t="s">
        <v>126</v>
      </c>
      <c r="H293">
        <v>2</v>
      </c>
      <c r="I293">
        <v>14491</v>
      </c>
      <c r="J293">
        <v>0.15</v>
      </c>
      <c r="K293">
        <v>24634.7</v>
      </c>
      <c r="L293">
        <v>5184.58</v>
      </c>
    </row>
    <row r="294" spans="1:12" x14ac:dyDescent="0.3">
      <c r="A294" t="s">
        <v>494</v>
      </c>
      <c r="B294" s="3">
        <v>45730</v>
      </c>
      <c r="C294" t="s">
        <v>456</v>
      </c>
      <c r="D294" t="s">
        <v>30</v>
      </c>
      <c r="E294" t="s">
        <v>15</v>
      </c>
      <c r="F294" t="s">
        <v>27</v>
      </c>
      <c r="G294" t="s">
        <v>31</v>
      </c>
      <c r="H294">
        <v>1</v>
      </c>
      <c r="I294">
        <v>11995</v>
      </c>
      <c r="J294">
        <v>0.05</v>
      </c>
      <c r="K294">
        <v>11395.25</v>
      </c>
      <c r="L294">
        <v>2731.17</v>
      </c>
    </row>
    <row r="295" spans="1:12" x14ac:dyDescent="0.3">
      <c r="A295" t="s">
        <v>495</v>
      </c>
      <c r="B295" s="3">
        <v>46017</v>
      </c>
      <c r="C295" t="s">
        <v>106</v>
      </c>
      <c r="D295" t="s">
        <v>47</v>
      </c>
      <c r="E295" t="s">
        <v>26</v>
      </c>
      <c r="F295" t="s">
        <v>16</v>
      </c>
      <c r="G295" t="s">
        <v>17</v>
      </c>
      <c r="H295">
        <v>4</v>
      </c>
      <c r="I295">
        <v>7185</v>
      </c>
      <c r="J295">
        <v>0.05</v>
      </c>
      <c r="K295">
        <v>27303</v>
      </c>
      <c r="L295">
        <v>2333.9699999999998</v>
      </c>
    </row>
    <row r="296" spans="1:12" x14ac:dyDescent="0.3">
      <c r="A296" t="s">
        <v>496</v>
      </c>
      <c r="B296" s="3">
        <v>45664</v>
      </c>
      <c r="C296" t="s">
        <v>220</v>
      </c>
      <c r="D296" t="s">
        <v>88</v>
      </c>
      <c r="E296" t="s">
        <v>73</v>
      </c>
      <c r="F296" t="s">
        <v>27</v>
      </c>
      <c r="G296" t="s">
        <v>28</v>
      </c>
      <c r="H296">
        <v>1</v>
      </c>
      <c r="I296">
        <v>545</v>
      </c>
      <c r="J296">
        <v>0.05</v>
      </c>
      <c r="K296">
        <v>517.75</v>
      </c>
      <c r="L296">
        <v>57.41</v>
      </c>
    </row>
    <row r="297" spans="1:12" x14ac:dyDescent="0.3">
      <c r="A297" t="s">
        <v>497</v>
      </c>
      <c r="B297" s="3">
        <v>45783</v>
      </c>
      <c r="C297" t="s">
        <v>429</v>
      </c>
      <c r="D297" t="s">
        <v>25</v>
      </c>
      <c r="E297" t="s">
        <v>26</v>
      </c>
      <c r="F297" t="s">
        <v>21</v>
      </c>
      <c r="G297" t="s">
        <v>22</v>
      </c>
      <c r="H297">
        <v>2</v>
      </c>
      <c r="I297">
        <v>7215</v>
      </c>
      <c r="J297">
        <v>0.15</v>
      </c>
      <c r="K297">
        <v>12265.5</v>
      </c>
      <c r="L297">
        <v>2284.0500000000002</v>
      </c>
    </row>
    <row r="298" spans="1:12" x14ac:dyDescent="0.3">
      <c r="A298" t="s">
        <v>498</v>
      </c>
      <c r="B298" s="3">
        <v>45688</v>
      </c>
      <c r="C298" t="s">
        <v>134</v>
      </c>
      <c r="D298" t="s">
        <v>120</v>
      </c>
      <c r="E298" t="s">
        <v>51</v>
      </c>
      <c r="F298" t="s">
        <v>27</v>
      </c>
      <c r="G298" t="s">
        <v>28</v>
      </c>
      <c r="H298">
        <v>2</v>
      </c>
      <c r="I298">
        <v>653</v>
      </c>
      <c r="J298">
        <v>0.1</v>
      </c>
      <c r="K298">
        <v>1175.4000000000001</v>
      </c>
      <c r="L298">
        <v>100.51</v>
      </c>
    </row>
    <row r="299" spans="1:12" x14ac:dyDescent="0.3">
      <c r="A299" t="s">
        <v>499</v>
      </c>
      <c r="B299" s="3">
        <v>46020</v>
      </c>
      <c r="C299" t="s">
        <v>440</v>
      </c>
      <c r="D299" t="s">
        <v>43</v>
      </c>
      <c r="E299" t="s">
        <v>44</v>
      </c>
      <c r="F299" t="s">
        <v>27</v>
      </c>
      <c r="G299" t="s">
        <v>31</v>
      </c>
      <c r="H299">
        <v>1</v>
      </c>
      <c r="I299">
        <v>492</v>
      </c>
      <c r="J299">
        <v>0</v>
      </c>
      <c r="K299">
        <v>492</v>
      </c>
      <c r="L299">
        <v>113.77</v>
      </c>
    </row>
    <row r="300" spans="1:12" x14ac:dyDescent="0.3">
      <c r="A300" t="s">
        <v>500</v>
      </c>
      <c r="B300" s="3">
        <v>45782</v>
      </c>
      <c r="C300" t="s">
        <v>501</v>
      </c>
      <c r="D300" t="s">
        <v>25</v>
      </c>
      <c r="E300" t="s">
        <v>26</v>
      </c>
      <c r="F300" t="s">
        <v>58</v>
      </c>
      <c r="G300" t="s">
        <v>69</v>
      </c>
      <c r="H300">
        <v>1</v>
      </c>
      <c r="I300">
        <v>10498</v>
      </c>
      <c r="J300">
        <v>0.1</v>
      </c>
      <c r="K300">
        <v>9448.2000000000007</v>
      </c>
      <c r="L300">
        <v>1595.1</v>
      </c>
    </row>
    <row r="301" spans="1:12" x14ac:dyDescent="0.3">
      <c r="A301" t="s">
        <v>502</v>
      </c>
      <c r="B301" s="3">
        <v>45716</v>
      </c>
      <c r="C301" t="s">
        <v>503</v>
      </c>
      <c r="D301" t="s">
        <v>97</v>
      </c>
      <c r="E301" t="s">
        <v>44</v>
      </c>
      <c r="F301" t="s">
        <v>58</v>
      </c>
      <c r="G301" t="s">
        <v>126</v>
      </c>
      <c r="H301">
        <v>5</v>
      </c>
      <c r="I301">
        <v>620</v>
      </c>
      <c r="J301">
        <v>0.05</v>
      </c>
      <c r="K301">
        <v>2945</v>
      </c>
      <c r="L301">
        <v>436.09</v>
      </c>
    </row>
    <row r="302" spans="1:12" x14ac:dyDescent="0.3">
      <c r="A302" t="s">
        <v>504</v>
      </c>
      <c r="B302" s="3">
        <v>45819</v>
      </c>
      <c r="C302" t="s">
        <v>255</v>
      </c>
      <c r="D302" t="s">
        <v>97</v>
      </c>
      <c r="E302" t="s">
        <v>44</v>
      </c>
      <c r="F302" t="s">
        <v>58</v>
      </c>
      <c r="G302" t="s">
        <v>126</v>
      </c>
      <c r="H302">
        <v>1</v>
      </c>
      <c r="I302">
        <v>485</v>
      </c>
      <c r="J302">
        <v>0.15</v>
      </c>
      <c r="K302">
        <v>412.25</v>
      </c>
      <c r="L302">
        <v>62.35</v>
      </c>
    </row>
    <row r="303" spans="1:12" x14ac:dyDescent="0.3">
      <c r="A303" t="s">
        <v>505</v>
      </c>
      <c r="B303" s="3">
        <v>45998</v>
      </c>
      <c r="C303" t="s">
        <v>46</v>
      </c>
      <c r="D303" t="s">
        <v>50</v>
      </c>
      <c r="E303" t="s">
        <v>51</v>
      </c>
      <c r="F303" t="s">
        <v>27</v>
      </c>
      <c r="G303" t="s">
        <v>28</v>
      </c>
      <c r="H303">
        <v>1</v>
      </c>
      <c r="I303">
        <v>1530</v>
      </c>
      <c r="J303">
        <v>0.2</v>
      </c>
      <c r="K303">
        <v>1224</v>
      </c>
      <c r="L303">
        <v>234.45</v>
      </c>
    </row>
    <row r="304" spans="1:12" x14ac:dyDescent="0.3">
      <c r="A304" t="s">
        <v>506</v>
      </c>
      <c r="B304" s="3">
        <v>45768</v>
      </c>
      <c r="C304" t="s">
        <v>507</v>
      </c>
      <c r="D304" t="s">
        <v>65</v>
      </c>
      <c r="E304" t="s">
        <v>26</v>
      </c>
      <c r="F304" t="s">
        <v>58</v>
      </c>
      <c r="G304" t="s">
        <v>59</v>
      </c>
      <c r="H304">
        <v>3</v>
      </c>
      <c r="I304">
        <v>1884</v>
      </c>
      <c r="J304">
        <v>0.15</v>
      </c>
      <c r="K304">
        <v>4804.2</v>
      </c>
      <c r="L304">
        <v>1090.1500000000001</v>
      </c>
    </row>
    <row r="305" spans="1:12" x14ac:dyDescent="0.3">
      <c r="A305" t="s">
        <v>508</v>
      </c>
      <c r="B305" s="3">
        <v>45932</v>
      </c>
      <c r="C305" t="s">
        <v>225</v>
      </c>
      <c r="D305" t="s">
        <v>47</v>
      </c>
      <c r="E305" t="s">
        <v>26</v>
      </c>
      <c r="F305" t="s">
        <v>21</v>
      </c>
      <c r="G305" t="s">
        <v>55</v>
      </c>
      <c r="H305">
        <v>1</v>
      </c>
      <c r="I305">
        <v>12927</v>
      </c>
      <c r="J305">
        <v>0</v>
      </c>
      <c r="K305">
        <v>12927</v>
      </c>
      <c r="L305">
        <v>2263.64</v>
      </c>
    </row>
    <row r="306" spans="1:12" x14ac:dyDescent="0.3">
      <c r="A306" t="s">
        <v>509</v>
      </c>
      <c r="B306" s="3">
        <v>45774</v>
      </c>
      <c r="C306" t="s">
        <v>398</v>
      </c>
      <c r="D306" t="s">
        <v>202</v>
      </c>
      <c r="E306" t="s">
        <v>44</v>
      </c>
      <c r="F306" t="s">
        <v>21</v>
      </c>
      <c r="G306" t="s">
        <v>22</v>
      </c>
      <c r="H306">
        <v>2</v>
      </c>
      <c r="I306">
        <v>1819</v>
      </c>
      <c r="J306">
        <v>0.05</v>
      </c>
      <c r="K306">
        <v>3456.1</v>
      </c>
      <c r="L306">
        <v>302.74</v>
      </c>
    </row>
    <row r="307" spans="1:12" x14ac:dyDescent="0.3">
      <c r="A307" t="s">
        <v>510</v>
      </c>
      <c r="B307" s="3">
        <v>45703</v>
      </c>
      <c r="C307" t="s">
        <v>119</v>
      </c>
      <c r="D307" t="s">
        <v>47</v>
      </c>
      <c r="E307" t="s">
        <v>26</v>
      </c>
      <c r="F307" t="s">
        <v>58</v>
      </c>
      <c r="G307" t="s">
        <v>126</v>
      </c>
      <c r="H307">
        <v>1</v>
      </c>
      <c r="I307">
        <v>21544</v>
      </c>
      <c r="J307">
        <v>0.2</v>
      </c>
      <c r="K307">
        <v>17235.2</v>
      </c>
      <c r="L307">
        <v>3146.81</v>
      </c>
    </row>
    <row r="308" spans="1:12" x14ac:dyDescent="0.3">
      <c r="A308" t="s">
        <v>511</v>
      </c>
      <c r="B308" s="3">
        <v>45840</v>
      </c>
      <c r="C308" t="s">
        <v>440</v>
      </c>
      <c r="D308" t="s">
        <v>65</v>
      </c>
      <c r="E308" t="s">
        <v>26</v>
      </c>
      <c r="F308" t="s">
        <v>27</v>
      </c>
      <c r="G308" t="s">
        <v>31</v>
      </c>
      <c r="H308">
        <v>1</v>
      </c>
      <c r="I308">
        <v>2143</v>
      </c>
      <c r="J308">
        <v>0</v>
      </c>
      <c r="K308">
        <v>2143</v>
      </c>
      <c r="L308">
        <v>497.95</v>
      </c>
    </row>
    <row r="309" spans="1:12" x14ac:dyDescent="0.3">
      <c r="A309" t="s">
        <v>512</v>
      </c>
      <c r="B309" s="3">
        <v>45899</v>
      </c>
      <c r="C309" t="s">
        <v>305</v>
      </c>
      <c r="D309" t="s">
        <v>65</v>
      </c>
      <c r="E309" t="s">
        <v>26</v>
      </c>
      <c r="F309" t="s">
        <v>58</v>
      </c>
      <c r="G309" t="s">
        <v>59</v>
      </c>
      <c r="H309">
        <v>3</v>
      </c>
      <c r="I309">
        <v>4152</v>
      </c>
      <c r="J309">
        <v>0.05</v>
      </c>
      <c r="K309">
        <v>11833.199999999999</v>
      </c>
      <c r="L309">
        <v>1996.16</v>
      </c>
    </row>
    <row r="310" spans="1:12" x14ac:dyDescent="0.3">
      <c r="A310" t="s">
        <v>513</v>
      </c>
      <c r="B310" s="3">
        <v>45820</v>
      </c>
      <c r="C310" t="s">
        <v>77</v>
      </c>
      <c r="D310" t="s">
        <v>72</v>
      </c>
      <c r="E310" t="s">
        <v>73</v>
      </c>
      <c r="F310" t="s">
        <v>16</v>
      </c>
      <c r="G310" t="s">
        <v>52</v>
      </c>
      <c r="H310">
        <v>1</v>
      </c>
      <c r="I310">
        <v>354</v>
      </c>
      <c r="J310">
        <v>0.15</v>
      </c>
      <c r="K310">
        <v>300.89999999999998</v>
      </c>
      <c r="L310">
        <v>50.5</v>
      </c>
    </row>
    <row r="311" spans="1:12" x14ac:dyDescent="0.3">
      <c r="A311" t="s">
        <v>514</v>
      </c>
      <c r="B311" s="3">
        <v>45951</v>
      </c>
      <c r="C311" t="s">
        <v>109</v>
      </c>
      <c r="D311" t="s">
        <v>20</v>
      </c>
      <c r="E311" t="s">
        <v>15</v>
      </c>
      <c r="F311" t="s">
        <v>16</v>
      </c>
      <c r="G311" t="s">
        <v>17</v>
      </c>
      <c r="H311">
        <v>1</v>
      </c>
      <c r="I311">
        <v>5339</v>
      </c>
      <c r="J311">
        <v>0.25</v>
      </c>
      <c r="K311">
        <v>4004.25</v>
      </c>
      <c r="L311">
        <v>497.12</v>
      </c>
    </row>
    <row r="312" spans="1:12" x14ac:dyDescent="0.3">
      <c r="A312" t="s">
        <v>515</v>
      </c>
      <c r="B312" s="3">
        <v>45980</v>
      </c>
      <c r="C312" t="s">
        <v>516</v>
      </c>
      <c r="D312" t="s">
        <v>47</v>
      </c>
      <c r="E312" t="s">
        <v>26</v>
      </c>
      <c r="F312" t="s">
        <v>27</v>
      </c>
      <c r="G312" t="s">
        <v>31</v>
      </c>
      <c r="H312">
        <v>2</v>
      </c>
      <c r="I312">
        <v>9017</v>
      </c>
      <c r="J312">
        <v>0.05</v>
      </c>
      <c r="K312">
        <v>17132.3</v>
      </c>
      <c r="L312">
        <v>2599.71</v>
      </c>
    </row>
    <row r="313" spans="1:12" x14ac:dyDescent="0.3">
      <c r="A313" t="s">
        <v>517</v>
      </c>
      <c r="B313" s="3">
        <v>45820</v>
      </c>
      <c r="C313" t="s">
        <v>113</v>
      </c>
      <c r="D313" t="s">
        <v>80</v>
      </c>
      <c r="E313" t="s">
        <v>51</v>
      </c>
      <c r="F313" t="s">
        <v>27</v>
      </c>
      <c r="G313" t="s">
        <v>31</v>
      </c>
      <c r="H313">
        <v>5</v>
      </c>
      <c r="I313">
        <v>72073</v>
      </c>
      <c r="J313">
        <v>0.15</v>
      </c>
      <c r="K313">
        <v>306310.25</v>
      </c>
      <c r="L313">
        <v>42553.81</v>
      </c>
    </row>
    <row r="314" spans="1:12" x14ac:dyDescent="0.3">
      <c r="A314" t="s">
        <v>518</v>
      </c>
      <c r="B314" s="3">
        <v>45658</v>
      </c>
      <c r="C314" t="s">
        <v>189</v>
      </c>
      <c r="D314" t="s">
        <v>120</v>
      </c>
      <c r="E314" t="s">
        <v>51</v>
      </c>
      <c r="F314" t="s">
        <v>58</v>
      </c>
      <c r="G314" t="s">
        <v>126</v>
      </c>
      <c r="H314">
        <v>1</v>
      </c>
      <c r="I314">
        <v>410</v>
      </c>
      <c r="J314">
        <v>0.2</v>
      </c>
      <c r="K314">
        <v>328</v>
      </c>
      <c r="L314">
        <v>80.16</v>
      </c>
    </row>
    <row r="315" spans="1:12" x14ac:dyDescent="0.3">
      <c r="A315" t="s">
        <v>519</v>
      </c>
      <c r="B315" s="3">
        <v>45761</v>
      </c>
      <c r="C315" t="s">
        <v>161</v>
      </c>
      <c r="D315" t="s">
        <v>202</v>
      </c>
      <c r="E315" t="s">
        <v>44</v>
      </c>
      <c r="F315" t="s">
        <v>27</v>
      </c>
      <c r="G315" t="s">
        <v>31</v>
      </c>
      <c r="H315">
        <v>1</v>
      </c>
      <c r="I315">
        <v>2780</v>
      </c>
      <c r="J315">
        <v>0.05</v>
      </c>
      <c r="K315">
        <v>2641</v>
      </c>
      <c r="L315">
        <v>574.37</v>
      </c>
    </row>
    <row r="316" spans="1:12" x14ac:dyDescent="0.3">
      <c r="A316" t="s">
        <v>520</v>
      </c>
      <c r="B316" s="3">
        <v>45845</v>
      </c>
      <c r="C316" t="s">
        <v>161</v>
      </c>
      <c r="D316" t="s">
        <v>20</v>
      </c>
      <c r="E316" t="s">
        <v>15</v>
      </c>
      <c r="F316" t="s">
        <v>16</v>
      </c>
      <c r="G316" t="s">
        <v>104</v>
      </c>
      <c r="H316">
        <v>2</v>
      </c>
      <c r="I316">
        <v>12675</v>
      </c>
      <c r="J316">
        <v>0</v>
      </c>
      <c r="K316">
        <v>25350</v>
      </c>
      <c r="L316">
        <v>2539.77</v>
      </c>
    </row>
    <row r="317" spans="1:12" x14ac:dyDescent="0.3">
      <c r="A317" t="s">
        <v>521</v>
      </c>
      <c r="B317" s="3">
        <v>45819</v>
      </c>
      <c r="C317" t="s">
        <v>141</v>
      </c>
      <c r="D317" t="s">
        <v>20</v>
      </c>
      <c r="E317" t="s">
        <v>15</v>
      </c>
      <c r="F317" t="s">
        <v>58</v>
      </c>
      <c r="G317" t="s">
        <v>59</v>
      </c>
      <c r="H317">
        <v>3</v>
      </c>
      <c r="I317">
        <v>12778</v>
      </c>
      <c r="J317">
        <v>0</v>
      </c>
      <c r="K317">
        <v>38334</v>
      </c>
      <c r="L317">
        <v>3625.64</v>
      </c>
    </row>
    <row r="318" spans="1:12" x14ac:dyDescent="0.3">
      <c r="A318" t="s">
        <v>522</v>
      </c>
      <c r="B318" s="3">
        <v>45952</v>
      </c>
      <c r="C318" t="s">
        <v>172</v>
      </c>
      <c r="D318" t="s">
        <v>88</v>
      </c>
      <c r="E318" t="s">
        <v>73</v>
      </c>
      <c r="F318" t="s">
        <v>21</v>
      </c>
      <c r="G318" t="s">
        <v>55</v>
      </c>
      <c r="H318">
        <v>1</v>
      </c>
      <c r="I318">
        <v>246</v>
      </c>
      <c r="J318">
        <v>0</v>
      </c>
      <c r="K318">
        <v>246</v>
      </c>
      <c r="L318">
        <v>32.78</v>
      </c>
    </row>
    <row r="319" spans="1:12" x14ac:dyDescent="0.3">
      <c r="A319" t="s">
        <v>523</v>
      </c>
      <c r="B319" s="3">
        <v>45890</v>
      </c>
      <c r="C319" t="s">
        <v>194</v>
      </c>
      <c r="D319" t="s">
        <v>14</v>
      </c>
      <c r="E319" t="s">
        <v>15</v>
      </c>
      <c r="F319" t="s">
        <v>16</v>
      </c>
      <c r="G319" t="s">
        <v>52</v>
      </c>
      <c r="H319">
        <v>1</v>
      </c>
      <c r="I319">
        <v>6404</v>
      </c>
      <c r="J319">
        <v>0</v>
      </c>
      <c r="K319">
        <v>6404</v>
      </c>
      <c r="L319">
        <v>1045.29</v>
      </c>
    </row>
    <row r="320" spans="1:12" x14ac:dyDescent="0.3">
      <c r="A320" t="s">
        <v>524</v>
      </c>
      <c r="B320" s="3">
        <v>45689</v>
      </c>
      <c r="C320" t="s">
        <v>75</v>
      </c>
      <c r="D320" t="s">
        <v>80</v>
      </c>
      <c r="E320" t="s">
        <v>51</v>
      </c>
      <c r="F320" t="s">
        <v>16</v>
      </c>
      <c r="G320" t="s">
        <v>17</v>
      </c>
      <c r="H320">
        <v>2</v>
      </c>
      <c r="I320">
        <v>68435</v>
      </c>
      <c r="J320">
        <v>0.1</v>
      </c>
      <c r="K320">
        <v>123183</v>
      </c>
      <c r="L320">
        <v>11622.95</v>
      </c>
    </row>
    <row r="321" spans="1:12" x14ac:dyDescent="0.3">
      <c r="A321" t="s">
        <v>525</v>
      </c>
      <c r="B321" s="3">
        <v>45710</v>
      </c>
      <c r="C321" t="s">
        <v>403</v>
      </c>
      <c r="D321" t="s">
        <v>25</v>
      </c>
      <c r="E321" t="s">
        <v>26</v>
      </c>
      <c r="F321" t="s">
        <v>21</v>
      </c>
      <c r="G321" t="s">
        <v>55</v>
      </c>
      <c r="H321">
        <v>3</v>
      </c>
      <c r="I321">
        <v>12630</v>
      </c>
      <c r="J321">
        <v>0.1</v>
      </c>
      <c r="K321">
        <v>34101</v>
      </c>
      <c r="L321">
        <v>3702.52</v>
      </c>
    </row>
    <row r="322" spans="1:12" x14ac:dyDescent="0.3">
      <c r="A322" t="s">
        <v>526</v>
      </c>
      <c r="B322" s="3">
        <v>45784</v>
      </c>
      <c r="C322" t="s">
        <v>96</v>
      </c>
      <c r="D322" t="s">
        <v>527</v>
      </c>
      <c r="E322" t="s">
        <v>51</v>
      </c>
      <c r="F322" t="s">
        <v>27</v>
      </c>
      <c r="G322" t="s">
        <v>40</v>
      </c>
      <c r="H322">
        <v>1</v>
      </c>
      <c r="I322">
        <v>20978</v>
      </c>
      <c r="J322">
        <v>0.05</v>
      </c>
      <c r="K322">
        <v>19929.099999999999</v>
      </c>
      <c r="L322">
        <v>1594.86</v>
      </c>
    </row>
    <row r="323" spans="1:12" x14ac:dyDescent="0.3">
      <c r="A323" t="s">
        <v>528</v>
      </c>
      <c r="B323" s="3">
        <v>45921</v>
      </c>
      <c r="C323" t="s">
        <v>398</v>
      </c>
      <c r="D323" t="s">
        <v>80</v>
      </c>
      <c r="E323" t="s">
        <v>51</v>
      </c>
      <c r="F323" t="s">
        <v>16</v>
      </c>
      <c r="G323" t="s">
        <v>104</v>
      </c>
      <c r="H323">
        <v>1</v>
      </c>
      <c r="I323">
        <v>54873</v>
      </c>
      <c r="J323">
        <v>0.15</v>
      </c>
      <c r="K323">
        <v>46642.049999999996</v>
      </c>
      <c r="L323">
        <v>6681.66</v>
      </c>
    </row>
    <row r="324" spans="1:12" x14ac:dyDescent="0.3">
      <c r="A324" t="s">
        <v>529</v>
      </c>
      <c r="B324" s="3">
        <v>45819</v>
      </c>
      <c r="C324" t="s">
        <v>139</v>
      </c>
      <c r="D324" t="s">
        <v>202</v>
      </c>
      <c r="E324" t="s">
        <v>44</v>
      </c>
      <c r="F324" t="s">
        <v>16</v>
      </c>
      <c r="G324" t="s">
        <v>52</v>
      </c>
      <c r="H324">
        <v>1</v>
      </c>
      <c r="I324">
        <v>2951</v>
      </c>
      <c r="J324">
        <v>0.2</v>
      </c>
      <c r="K324">
        <v>2360.8000000000002</v>
      </c>
      <c r="L324">
        <v>393.7</v>
      </c>
    </row>
    <row r="325" spans="1:12" x14ac:dyDescent="0.3">
      <c r="A325" t="s">
        <v>530</v>
      </c>
      <c r="B325" s="3">
        <v>45843</v>
      </c>
      <c r="C325" t="s">
        <v>295</v>
      </c>
      <c r="D325" t="s">
        <v>20</v>
      </c>
      <c r="E325" t="s">
        <v>15</v>
      </c>
      <c r="F325" t="s">
        <v>21</v>
      </c>
      <c r="G325" t="s">
        <v>22</v>
      </c>
      <c r="H325">
        <v>1</v>
      </c>
      <c r="I325">
        <v>11211</v>
      </c>
      <c r="J325">
        <v>0.2</v>
      </c>
      <c r="K325">
        <v>8968.8000000000011</v>
      </c>
      <c r="L325">
        <v>2231.88</v>
      </c>
    </row>
    <row r="326" spans="1:12" x14ac:dyDescent="0.3">
      <c r="A326" t="s">
        <v>531</v>
      </c>
      <c r="B326" s="3">
        <v>45670</v>
      </c>
      <c r="C326" t="s">
        <v>194</v>
      </c>
      <c r="D326" t="s">
        <v>103</v>
      </c>
      <c r="E326" t="s">
        <v>51</v>
      </c>
      <c r="F326" t="s">
        <v>58</v>
      </c>
      <c r="G326" t="s">
        <v>59</v>
      </c>
      <c r="H326">
        <v>1</v>
      </c>
      <c r="I326">
        <v>3372</v>
      </c>
      <c r="J326">
        <v>0</v>
      </c>
      <c r="K326">
        <v>3372</v>
      </c>
      <c r="L326">
        <v>725.73</v>
      </c>
    </row>
    <row r="327" spans="1:12" x14ac:dyDescent="0.3">
      <c r="A327" t="s">
        <v>532</v>
      </c>
      <c r="B327" s="3">
        <v>45868</v>
      </c>
      <c r="C327" t="s">
        <v>49</v>
      </c>
      <c r="D327" t="s">
        <v>14</v>
      </c>
      <c r="E327" t="s">
        <v>15</v>
      </c>
      <c r="F327" t="s">
        <v>21</v>
      </c>
      <c r="G327" t="s">
        <v>22</v>
      </c>
      <c r="H327">
        <v>2</v>
      </c>
      <c r="I327">
        <v>6578</v>
      </c>
      <c r="J327">
        <v>0.05</v>
      </c>
      <c r="K327">
        <v>12498.199999999999</v>
      </c>
      <c r="L327">
        <v>3391.51</v>
      </c>
    </row>
    <row r="328" spans="1:12" x14ac:dyDescent="0.3">
      <c r="A328" t="s">
        <v>533</v>
      </c>
      <c r="B328" s="3">
        <v>45913</v>
      </c>
      <c r="C328" t="s">
        <v>165</v>
      </c>
      <c r="D328" t="s">
        <v>202</v>
      </c>
      <c r="E328" t="s">
        <v>44</v>
      </c>
      <c r="F328" t="s">
        <v>16</v>
      </c>
      <c r="G328" t="s">
        <v>104</v>
      </c>
      <c r="H328">
        <v>1</v>
      </c>
      <c r="I328">
        <v>1862</v>
      </c>
      <c r="J328">
        <v>0</v>
      </c>
      <c r="K328">
        <v>1862</v>
      </c>
      <c r="L328">
        <v>434.8</v>
      </c>
    </row>
    <row r="329" spans="1:12" x14ac:dyDescent="0.3">
      <c r="A329" t="s">
        <v>534</v>
      </c>
      <c r="B329" s="3">
        <v>45986</v>
      </c>
      <c r="C329" t="s">
        <v>535</v>
      </c>
      <c r="D329" t="s">
        <v>34</v>
      </c>
      <c r="E329" t="s">
        <v>15</v>
      </c>
      <c r="F329" t="s">
        <v>21</v>
      </c>
      <c r="G329" t="s">
        <v>35</v>
      </c>
      <c r="H329">
        <v>4</v>
      </c>
      <c r="I329">
        <v>20149</v>
      </c>
      <c r="J329">
        <v>0.1</v>
      </c>
      <c r="K329">
        <v>72536.400000000009</v>
      </c>
      <c r="L329">
        <v>17354.2</v>
      </c>
    </row>
    <row r="330" spans="1:12" x14ac:dyDescent="0.3">
      <c r="A330" t="s">
        <v>536</v>
      </c>
      <c r="B330" s="3">
        <v>45949</v>
      </c>
      <c r="C330" t="s">
        <v>354</v>
      </c>
      <c r="D330" t="s">
        <v>25</v>
      </c>
      <c r="E330" t="s">
        <v>26</v>
      </c>
      <c r="F330" t="s">
        <v>58</v>
      </c>
      <c r="G330" t="s">
        <v>59</v>
      </c>
      <c r="H330">
        <v>3</v>
      </c>
      <c r="I330">
        <v>9788</v>
      </c>
      <c r="J330">
        <v>0.1</v>
      </c>
      <c r="K330">
        <v>26427.600000000002</v>
      </c>
      <c r="L330">
        <v>4202.68</v>
      </c>
    </row>
    <row r="331" spans="1:12" x14ac:dyDescent="0.3">
      <c r="A331" t="s">
        <v>537</v>
      </c>
      <c r="B331" s="3">
        <v>45884</v>
      </c>
      <c r="C331" t="s">
        <v>174</v>
      </c>
      <c r="D331" t="s">
        <v>120</v>
      </c>
      <c r="E331" t="s">
        <v>51</v>
      </c>
      <c r="F331" t="s">
        <v>58</v>
      </c>
      <c r="G331" t="s">
        <v>59</v>
      </c>
      <c r="H331">
        <v>2</v>
      </c>
      <c r="I331">
        <v>1882</v>
      </c>
      <c r="J331">
        <v>0.15</v>
      </c>
      <c r="K331">
        <v>3199.4</v>
      </c>
      <c r="L331">
        <v>603.91999999999996</v>
      </c>
    </row>
    <row r="332" spans="1:12" x14ac:dyDescent="0.3">
      <c r="A332" t="s">
        <v>538</v>
      </c>
      <c r="B332" s="3">
        <v>45759</v>
      </c>
      <c r="C332" t="s">
        <v>257</v>
      </c>
      <c r="D332" t="s">
        <v>68</v>
      </c>
      <c r="E332" t="s">
        <v>44</v>
      </c>
      <c r="F332" t="s">
        <v>58</v>
      </c>
      <c r="G332" t="s">
        <v>126</v>
      </c>
      <c r="H332">
        <v>1</v>
      </c>
      <c r="I332">
        <v>1920</v>
      </c>
      <c r="J332">
        <v>0</v>
      </c>
      <c r="K332">
        <v>1920</v>
      </c>
      <c r="L332">
        <v>312.44</v>
      </c>
    </row>
    <row r="333" spans="1:12" x14ac:dyDescent="0.3">
      <c r="A333" t="s">
        <v>539</v>
      </c>
      <c r="B333" s="3">
        <v>45681</v>
      </c>
      <c r="C333" t="s">
        <v>492</v>
      </c>
      <c r="D333" t="s">
        <v>307</v>
      </c>
      <c r="E333" t="s">
        <v>73</v>
      </c>
      <c r="F333" t="s">
        <v>58</v>
      </c>
      <c r="G333" t="s">
        <v>69</v>
      </c>
      <c r="H333">
        <v>3</v>
      </c>
      <c r="I333">
        <v>405</v>
      </c>
      <c r="J333">
        <v>0</v>
      </c>
      <c r="K333">
        <v>1215</v>
      </c>
      <c r="L333">
        <v>193.83</v>
      </c>
    </row>
    <row r="334" spans="1:12" x14ac:dyDescent="0.3">
      <c r="A334" t="s">
        <v>540</v>
      </c>
      <c r="B334" s="3">
        <v>45761</v>
      </c>
      <c r="C334" t="s">
        <v>305</v>
      </c>
      <c r="D334" t="s">
        <v>20</v>
      </c>
      <c r="E334" t="s">
        <v>15</v>
      </c>
      <c r="F334" t="s">
        <v>21</v>
      </c>
      <c r="G334" t="s">
        <v>22</v>
      </c>
      <c r="H334">
        <v>1</v>
      </c>
      <c r="I334">
        <v>14428</v>
      </c>
      <c r="J334">
        <v>0.1</v>
      </c>
      <c r="K334">
        <v>12985.2</v>
      </c>
      <c r="L334">
        <v>1237.19</v>
      </c>
    </row>
    <row r="335" spans="1:12" x14ac:dyDescent="0.3">
      <c r="A335" t="s">
        <v>541</v>
      </c>
      <c r="B335" s="3">
        <v>45881</v>
      </c>
      <c r="C335" t="s">
        <v>542</v>
      </c>
      <c r="D335" t="s">
        <v>307</v>
      </c>
      <c r="E335" t="s">
        <v>73</v>
      </c>
      <c r="F335" t="s">
        <v>58</v>
      </c>
      <c r="G335" t="s">
        <v>69</v>
      </c>
      <c r="H335">
        <v>1</v>
      </c>
      <c r="I335">
        <v>366</v>
      </c>
      <c r="J335">
        <v>0.1</v>
      </c>
      <c r="K335">
        <v>329.40000000000003</v>
      </c>
      <c r="L335">
        <v>49.28</v>
      </c>
    </row>
    <row r="336" spans="1:12" x14ac:dyDescent="0.3">
      <c r="A336" t="s">
        <v>543</v>
      </c>
      <c r="B336" s="3">
        <v>45792</v>
      </c>
      <c r="C336" t="s">
        <v>544</v>
      </c>
      <c r="D336" t="s">
        <v>65</v>
      </c>
      <c r="E336" t="s">
        <v>26</v>
      </c>
      <c r="F336" t="s">
        <v>16</v>
      </c>
      <c r="G336" t="s">
        <v>52</v>
      </c>
      <c r="H336">
        <v>4</v>
      </c>
      <c r="I336">
        <v>3429</v>
      </c>
      <c r="J336">
        <v>0.1</v>
      </c>
      <c r="K336">
        <v>12344.4</v>
      </c>
      <c r="L336">
        <v>3036.14</v>
      </c>
    </row>
    <row r="337" spans="1:12" x14ac:dyDescent="0.3">
      <c r="A337" t="s">
        <v>545</v>
      </c>
      <c r="B337" s="3">
        <v>45814</v>
      </c>
      <c r="C337" t="s">
        <v>546</v>
      </c>
      <c r="D337" t="s">
        <v>20</v>
      </c>
      <c r="E337" t="s">
        <v>15</v>
      </c>
      <c r="F337" t="s">
        <v>21</v>
      </c>
      <c r="G337" t="s">
        <v>22</v>
      </c>
      <c r="H337">
        <v>1</v>
      </c>
      <c r="I337">
        <v>10325</v>
      </c>
      <c r="J337">
        <v>0.15</v>
      </c>
      <c r="K337">
        <v>8776.25</v>
      </c>
      <c r="L337">
        <v>1533.75</v>
      </c>
    </row>
    <row r="338" spans="1:12" x14ac:dyDescent="0.3">
      <c r="A338" t="s">
        <v>547</v>
      </c>
      <c r="B338" s="3">
        <v>45969</v>
      </c>
      <c r="C338" t="s">
        <v>234</v>
      </c>
      <c r="D338" t="s">
        <v>97</v>
      </c>
      <c r="E338" t="s">
        <v>44</v>
      </c>
      <c r="F338" t="s">
        <v>16</v>
      </c>
      <c r="G338" t="s">
        <v>52</v>
      </c>
      <c r="H338">
        <v>5</v>
      </c>
      <c r="I338">
        <v>767</v>
      </c>
      <c r="J338">
        <v>0.2</v>
      </c>
      <c r="K338">
        <v>3068</v>
      </c>
      <c r="L338">
        <v>291.83</v>
      </c>
    </row>
    <row r="339" spans="1:12" x14ac:dyDescent="0.3">
      <c r="A339" t="s">
        <v>548</v>
      </c>
      <c r="B339" s="3">
        <v>45683</v>
      </c>
      <c r="C339" t="s">
        <v>54</v>
      </c>
      <c r="D339" t="s">
        <v>120</v>
      </c>
      <c r="E339" t="s">
        <v>51</v>
      </c>
      <c r="F339" t="s">
        <v>16</v>
      </c>
      <c r="G339" t="s">
        <v>104</v>
      </c>
      <c r="H339">
        <v>3</v>
      </c>
      <c r="I339">
        <v>967</v>
      </c>
      <c r="J339">
        <v>0.05</v>
      </c>
      <c r="K339">
        <v>2755.95</v>
      </c>
      <c r="L339">
        <v>761.55</v>
      </c>
    </row>
    <row r="340" spans="1:12" x14ac:dyDescent="0.3">
      <c r="A340" t="s">
        <v>549</v>
      </c>
      <c r="B340" s="3">
        <v>45978</v>
      </c>
      <c r="C340" t="s">
        <v>174</v>
      </c>
      <c r="D340" t="s">
        <v>202</v>
      </c>
      <c r="E340" t="s">
        <v>44</v>
      </c>
      <c r="F340" t="s">
        <v>21</v>
      </c>
      <c r="G340" t="s">
        <v>22</v>
      </c>
      <c r="H340">
        <v>1</v>
      </c>
      <c r="I340">
        <v>3285</v>
      </c>
      <c r="J340">
        <v>0.05</v>
      </c>
      <c r="K340">
        <v>3120.75</v>
      </c>
      <c r="L340">
        <v>543</v>
      </c>
    </row>
    <row r="341" spans="1:12" x14ac:dyDescent="0.3">
      <c r="A341" t="s">
        <v>550</v>
      </c>
      <c r="B341" s="3">
        <v>45662</v>
      </c>
      <c r="C341" t="s">
        <v>551</v>
      </c>
      <c r="D341" t="s">
        <v>92</v>
      </c>
      <c r="E341" t="s">
        <v>51</v>
      </c>
      <c r="F341" t="s">
        <v>27</v>
      </c>
      <c r="G341" t="s">
        <v>28</v>
      </c>
      <c r="H341">
        <v>2</v>
      </c>
      <c r="I341">
        <v>12684</v>
      </c>
      <c r="J341">
        <v>0</v>
      </c>
      <c r="K341">
        <v>25368</v>
      </c>
      <c r="L341">
        <v>4138.24</v>
      </c>
    </row>
    <row r="342" spans="1:12" x14ac:dyDescent="0.3">
      <c r="A342" t="s">
        <v>552</v>
      </c>
      <c r="B342" s="3">
        <v>45779</v>
      </c>
      <c r="C342" t="s">
        <v>468</v>
      </c>
      <c r="D342" t="s">
        <v>153</v>
      </c>
      <c r="E342" t="s">
        <v>26</v>
      </c>
      <c r="F342" t="s">
        <v>21</v>
      </c>
      <c r="G342" t="s">
        <v>35</v>
      </c>
      <c r="H342">
        <v>2</v>
      </c>
      <c r="I342">
        <v>3072</v>
      </c>
      <c r="J342">
        <v>0.05</v>
      </c>
      <c r="K342">
        <v>5836.7999999999993</v>
      </c>
      <c r="L342">
        <v>1408.96</v>
      </c>
    </row>
    <row r="343" spans="1:12" x14ac:dyDescent="0.3">
      <c r="A343" t="s">
        <v>553</v>
      </c>
      <c r="B343" s="3">
        <v>45660</v>
      </c>
      <c r="C343" t="s">
        <v>87</v>
      </c>
      <c r="D343" t="s">
        <v>47</v>
      </c>
      <c r="E343" t="s">
        <v>26</v>
      </c>
      <c r="F343" t="s">
        <v>16</v>
      </c>
      <c r="G343" t="s">
        <v>104</v>
      </c>
      <c r="H343">
        <v>1</v>
      </c>
      <c r="I343">
        <v>13683</v>
      </c>
      <c r="J343">
        <v>0</v>
      </c>
      <c r="K343">
        <v>13683</v>
      </c>
      <c r="L343">
        <v>1231.4100000000001</v>
      </c>
    </row>
    <row r="344" spans="1:12" x14ac:dyDescent="0.3">
      <c r="A344" t="s">
        <v>554</v>
      </c>
      <c r="B344" s="3">
        <v>45668</v>
      </c>
      <c r="C344" t="s">
        <v>555</v>
      </c>
      <c r="D344" t="s">
        <v>50</v>
      </c>
      <c r="E344" t="s">
        <v>51</v>
      </c>
      <c r="F344" t="s">
        <v>58</v>
      </c>
      <c r="G344" t="s">
        <v>69</v>
      </c>
      <c r="H344">
        <v>1</v>
      </c>
      <c r="I344">
        <v>2580</v>
      </c>
      <c r="J344">
        <v>0</v>
      </c>
      <c r="K344">
        <v>2580</v>
      </c>
      <c r="L344">
        <v>534.85</v>
      </c>
    </row>
    <row r="345" spans="1:12" x14ac:dyDescent="0.3">
      <c r="A345" t="s">
        <v>556</v>
      </c>
      <c r="B345" s="3">
        <v>45989</v>
      </c>
      <c r="C345" t="s">
        <v>172</v>
      </c>
      <c r="D345" t="s">
        <v>30</v>
      </c>
      <c r="E345" t="s">
        <v>15</v>
      </c>
      <c r="F345" t="s">
        <v>27</v>
      </c>
      <c r="G345" t="s">
        <v>40</v>
      </c>
      <c r="H345">
        <v>1</v>
      </c>
      <c r="I345">
        <v>8651</v>
      </c>
      <c r="J345">
        <v>0.1</v>
      </c>
      <c r="K345">
        <v>7785.9000000000005</v>
      </c>
      <c r="L345">
        <v>736.67</v>
      </c>
    </row>
    <row r="346" spans="1:12" x14ac:dyDescent="0.3">
      <c r="A346" t="s">
        <v>557</v>
      </c>
      <c r="B346" s="3">
        <v>45942</v>
      </c>
      <c r="C346" t="s">
        <v>458</v>
      </c>
      <c r="D346" t="s">
        <v>120</v>
      </c>
      <c r="E346" t="s">
        <v>51</v>
      </c>
      <c r="F346" t="s">
        <v>21</v>
      </c>
      <c r="G346" t="s">
        <v>22</v>
      </c>
      <c r="H346">
        <v>4</v>
      </c>
      <c r="I346">
        <v>2099</v>
      </c>
      <c r="J346">
        <v>0.2</v>
      </c>
      <c r="K346">
        <v>6716.8</v>
      </c>
      <c r="L346">
        <v>1237.8499999999999</v>
      </c>
    </row>
    <row r="347" spans="1:12" x14ac:dyDescent="0.3">
      <c r="A347" t="s">
        <v>558</v>
      </c>
      <c r="B347" s="3">
        <v>46009</v>
      </c>
      <c r="C347" t="s">
        <v>337</v>
      </c>
      <c r="D347" t="s">
        <v>83</v>
      </c>
      <c r="E347" t="s">
        <v>73</v>
      </c>
      <c r="F347" t="s">
        <v>27</v>
      </c>
      <c r="G347" t="s">
        <v>40</v>
      </c>
      <c r="H347">
        <v>1</v>
      </c>
      <c r="I347">
        <v>401</v>
      </c>
      <c r="J347">
        <v>0.05</v>
      </c>
      <c r="K347">
        <v>380.95</v>
      </c>
      <c r="L347">
        <v>90.01</v>
      </c>
    </row>
    <row r="348" spans="1:12" x14ac:dyDescent="0.3">
      <c r="A348" t="s">
        <v>559</v>
      </c>
      <c r="B348" s="3">
        <v>45701</v>
      </c>
      <c r="C348" t="s">
        <v>278</v>
      </c>
      <c r="D348" t="s">
        <v>25</v>
      </c>
      <c r="E348" t="s">
        <v>26</v>
      </c>
      <c r="F348" t="s">
        <v>58</v>
      </c>
      <c r="G348" t="s">
        <v>69</v>
      </c>
      <c r="H348">
        <v>1</v>
      </c>
      <c r="I348">
        <v>6108</v>
      </c>
      <c r="J348">
        <v>0.05</v>
      </c>
      <c r="K348">
        <v>5802.5999999999995</v>
      </c>
      <c r="L348">
        <v>1539.07</v>
      </c>
    </row>
    <row r="349" spans="1:12" x14ac:dyDescent="0.3">
      <c r="A349" t="s">
        <v>560</v>
      </c>
      <c r="B349" s="3">
        <v>45909</v>
      </c>
      <c r="C349" t="s">
        <v>421</v>
      </c>
      <c r="D349" t="s">
        <v>83</v>
      </c>
      <c r="E349" t="s">
        <v>73</v>
      </c>
      <c r="F349" t="s">
        <v>21</v>
      </c>
      <c r="G349" t="s">
        <v>55</v>
      </c>
      <c r="H349">
        <v>1</v>
      </c>
      <c r="I349">
        <v>585</v>
      </c>
      <c r="J349">
        <v>0.15</v>
      </c>
      <c r="K349">
        <v>497.25</v>
      </c>
      <c r="L349">
        <v>65.02</v>
      </c>
    </row>
    <row r="350" spans="1:12" x14ac:dyDescent="0.3">
      <c r="A350" t="s">
        <v>561</v>
      </c>
      <c r="B350" s="3">
        <v>45830</v>
      </c>
      <c r="C350" t="s">
        <v>46</v>
      </c>
      <c r="D350" t="s">
        <v>50</v>
      </c>
      <c r="E350" t="s">
        <v>51</v>
      </c>
      <c r="F350" t="s">
        <v>21</v>
      </c>
      <c r="G350" t="s">
        <v>35</v>
      </c>
      <c r="H350">
        <v>1</v>
      </c>
      <c r="I350">
        <v>1580</v>
      </c>
      <c r="J350">
        <v>0.05</v>
      </c>
      <c r="K350">
        <v>1501</v>
      </c>
      <c r="L350">
        <v>396.12</v>
      </c>
    </row>
    <row r="351" spans="1:12" x14ac:dyDescent="0.3">
      <c r="A351" t="s">
        <v>562</v>
      </c>
      <c r="B351" s="3">
        <v>45980</v>
      </c>
      <c r="C351" t="s">
        <v>563</v>
      </c>
      <c r="D351" t="s">
        <v>103</v>
      </c>
      <c r="E351" t="s">
        <v>51</v>
      </c>
      <c r="F351" t="s">
        <v>16</v>
      </c>
      <c r="G351" t="s">
        <v>52</v>
      </c>
      <c r="H351">
        <v>1</v>
      </c>
      <c r="I351">
        <v>7083</v>
      </c>
      <c r="J351">
        <v>0.2</v>
      </c>
      <c r="K351">
        <v>5666.4000000000005</v>
      </c>
      <c r="L351">
        <v>1530.98</v>
      </c>
    </row>
    <row r="352" spans="1:12" x14ac:dyDescent="0.3">
      <c r="A352" t="s">
        <v>564</v>
      </c>
      <c r="B352" s="3">
        <v>45773</v>
      </c>
      <c r="C352" t="s">
        <v>240</v>
      </c>
      <c r="D352" t="s">
        <v>80</v>
      </c>
      <c r="E352" t="s">
        <v>51</v>
      </c>
      <c r="F352" t="s">
        <v>27</v>
      </c>
      <c r="G352" t="s">
        <v>28</v>
      </c>
      <c r="H352">
        <v>1</v>
      </c>
      <c r="I352">
        <v>67954</v>
      </c>
      <c r="J352">
        <v>0.05</v>
      </c>
      <c r="K352">
        <v>64556.299999999996</v>
      </c>
      <c r="L352">
        <v>16103.85</v>
      </c>
    </row>
    <row r="353" spans="1:12" x14ac:dyDescent="0.3">
      <c r="A353" t="s">
        <v>565</v>
      </c>
      <c r="B353" s="3">
        <v>45923</v>
      </c>
      <c r="C353" t="s">
        <v>300</v>
      </c>
      <c r="D353" t="s">
        <v>103</v>
      </c>
      <c r="E353" t="s">
        <v>51</v>
      </c>
      <c r="F353" t="s">
        <v>21</v>
      </c>
      <c r="G353" t="s">
        <v>22</v>
      </c>
      <c r="H353">
        <v>3</v>
      </c>
      <c r="I353">
        <v>7064</v>
      </c>
      <c r="J353">
        <v>0.05</v>
      </c>
      <c r="K353">
        <v>20132.399999999998</v>
      </c>
      <c r="L353">
        <v>5461.2</v>
      </c>
    </row>
    <row r="354" spans="1:12" x14ac:dyDescent="0.3">
      <c r="A354" t="s">
        <v>566</v>
      </c>
      <c r="B354" s="3">
        <v>45725</v>
      </c>
      <c r="C354" t="s">
        <v>448</v>
      </c>
      <c r="D354" t="s">
        <v>97</v>
      </c>
      <c r="E354" t="s">
        <v>44</v>
      </c>
      <c r="F354" t="s">
        <v>58</v>
      </c>
      <c r="G354" t="s">
        <v>126</v>
      </c>
      <c r="H354">
        <v>2</v>
      </c>
      <c r="I354">
        <v>665</v>
      </c>
      <c r="J354">
        <v>0.1</v>
      </c>
      <c r="K354">
        <v>1197</v>
      </c>
      <c r="L354">
        <v>219.46</v>
      </c>
    </row>
    <row r="355" spans="1:12" x14ac:dyDescent="0.3">
      <c r="A355" t="s">
        <v>567</v>
      </c>
      <c r="B355" s="3">
        <v>45960</v>
      </c>
      <c r="C355" t="s">
        <v>123</v>
      </c>
      <c r="D355" t="s">
        <v>97</v>
      </c>
      <c r="E355" t="s">
        <v>44</v>
      </c>
      <c r="F355" t="s">
        <v>21</v>
      </c>
      <c r="G355" t="s">
        <v>22</v>
      </c>
      <c r="H355">
        <v>4</v>
      </c>
      <c r="I355">
        <v>1054</v>
      </c>
      <c r="J355">
        <v>0.05</v>
      </c>
      <c r="K355">
        <v>4005.2</v>
      </c>
      <c r="L355">
        <v>931.7</v>
      </c>
    </row>
    <row r="356" spans="1:12" x14ac:dyDescent="0.3">
      <c r="A356" t="s">
        <v>568</v>
      </c>
      <c r="B356" s="3">
        <v>45878</v>
      </c>
      <c r="C356" t="s">
        <v>503</v>
      </c>
      <c r="D356" t="s">
        <v>153</v>
      </c>
      <c r="E356" t="s">
        <v>26</v>
      </c>
      <c r="F356" t="s">
        <v>27</v>
      </c>
      <c r="G356" t="s">
        <v>28</v>
      </c>
      <c r="H356">
        <v>1</v>
      </c>
      <c r="I356">
        <v>4718</v>
      </c>
      <c r="J356">
        <v>0.1</v>
      </c>
      <c r="K356">
        <v>4246.2</v>
      </c>
      <c r="L356">
        <v>367.56</v>
      </c>
    </row>
    <row r="357" spans="1:12" x14ac:dyDescent="0.3">
      <c r="A357" t="s">
        <v>569</v>
      </c>
      <c r="B357" s="3">
        <v>45852</v>
      </c>
      <c r="C357" t="s">
        <v>570</v>
      </c>
      <c r="D357" t="s">
        <v>30</v>
      </c>
      <c r="E357" t="s">
        <v>15</v>
      </c>
      <c r="F357" t="s">
        <v>58</v>
      </c>
      <c r="G357" t="s">
        <v>126</v>
      </c>
      <c r="H357">
        <v>1</v>
      </c>
      <c r="I357">
        <v>12354</v>
      </c>
      <c r="J357">
        <v>0</v>
      </c>
      <c r="K357">
        <v>12354</v>
      </c>
      <c r="L357">
        <v>2783.97</v>
      </c>
    </row>
    <row r="358" spans="1:12" x14ac:dyDescent="0.3">
      <c r="A358" t="s">
        <v>571</v>
      </c>
      <c r="B358" s="3">
        <v>45838</v>
      </c>
      <c r="C358" t="s">
        <v>394</v>
      </c>
      <c r="D358" t="s">
        <v>20</v>
      </c>
      <c r="E358" t="s">
        <v>15</v>
      </c>
      <c r="F358" t="s">
        <v>16</v>
      </c>
      <c r="G358" t="s">
        <v>104</v>
      </c>
      <c r="H358">
        <v>1</v>
      </c>
      <c r="I358">
        <v>9678</v>
      </c>
      <c r="J358">
        <v>0</v>
      </c>
      <c r="K358">
        <v>9678</v>
      </c>
      <c r="L358">
        <v>1021.74</v>
      </c>
    </row>
    <row r="359" spans="1:12" x14ac:dyDescent="0.3">
      <c r="A359" t="s">
        <v>572</v>
      </c>
      <c r="B359" s="3">
        <v>45983</v>
      </c>
      <c r="C359" t="s">
        <v>102</v>
      </c>
      <c r="D359" t="s">
        <v>47</v>
      </c>
      <c r="E359" t="s">
        <v>26</v>
      </c>
      <c r="F359" t="s">
        <v>58</v>
      </c>
      <c r="G359" t="s">
        <v>69</v>
      </c>
      <c r="H359">
        <v>1</v>
      </c>
      <c r="I359">
        <v>21596</v>
      </c>
      <c r="J359">
        <v>0.05</v>
      </c>
      <c r="K359">
        <v>20516.2</v>
      </c>
      <c r="L359">
        <v>2889.5</v>
      </c>
    </row>
    <row r="360" spans="1:12" x14ac:dyDescent="0.3">
      <c r="A360" t="s">
        <v>573</v>
      </c>
      <c r="B360" s="3">
        <v>45960</v>
      </c>
      <c r="C360" t="s">
        <v>516</v>
      </c>
      <c r="D360" t="s">
        <v>20</v>
      </c>
      <c r="E360" t="s">
        <v>15</v>
      </c>
      <c r="F360" t="s">
        <v>16</v>
      </c>
      <c r="G360" t="s">
        <v>104</v>
      </c>
      <c r="H360">
        <v>1</v>
      </c>
      <c r="I360">
        <v>8411</v>
      </c>
      <c r="J360">
        <v>0.15</v>
      </c>
      <c r="K360">
        <v>7149.3499999999995</v>
      </c>
      <c r="L360">
        <v>1487.97</v>
      </c>
    </row>
    <row r="361" spans="1:12" x14ac:dyDescent="0.3">
      <c r="A361" t="s">
        <v>574</v>
      </c>
      <c r="B361" s="3">
        <v>45687</v>
      </c>
      <c r="C361" t="s">
        <v>542</v>
      </c>
      <c r="D361" t="s">
        <v>202</v>
      </c>
      <c r="E361" t="s">
        <v>44</v>
      </c>
      <c r="F361" t="s">
        <v>27</v>
      </c>
      <c r="G361" t="s">
        <v>40</v>
      </c>
      <c r="H361">
        <v>1</v>
      </c>
      <c r="I361">
        <v>2753</v>
      </c>
      <c r="J361">
        <v>0.15</v>
      </c>
      <c r="K361">
        <v>2340.0499999999997</v>
      </c>
      <c r="L361">
        <v>272.2</v>
      </c>
    </row>
    <row r="362" spans="1:12" x14ac:dyDescent="0.3">
      <c r="A362" t="s">
        <v>575</v>
      </c>
      <c r="B362" s="3">
        <v>45673</v>
      </c>
      <c r="C362" t="s">
        <v>412</v>
      </c>
      <c r="D362" t="s">
        <v>30</v>
      </c>
      <c r="E362" t="s">
        <v>15</v>
      </c>
      <c r="F362" t="s">
        <v>27</v>
      </c>
      <c r="G362" t="s">
        <v>31</v>
      </c>
      <c r="H362">
        <v>3</v>
      </c>
      <c r="I362">
        <v>8235</v>
      </c>
      <c r="J362">
        <v>0.1</v>
      </c>
      <c r="K362">
        <v>22234.5</v>
      </c>
      <c r="L362">
        <v>4718.22</v>
      </c>
    </row>
    <row r="363" spans="1:12" x14ac:dyDescent="0.3">
      <c r="A363" t="s">
        <v>576</v>
      </c>
      <c r="B363" s="3">
        <v>45819</v>
      </c>
      <c r="C363" t="s">
        <v>234</v>
      </c>
      <c r="D363" t="s">
        <v>34</v>
      </c>
      <c r="E363" t="s">
        <v>15</v>
      </c>
      <c r="F363" t="s">
        <v>27</v>
      </c>
      <c r="G363" t="s">
        <v>31</v>
      </c>
      <c r="H363">
        <v>3</v>
      </c>
      <c r="I363">
        <v>17508</v>
      </c>
      <c r="J363">
        <v>0.2</v>
      </c>
      <c r="K363">
        <v>42019.200000000004</v>
      </c>
      <c r="L363">
        <v>3718.05</v>
      </c>
    </row>
    <row r="364" spans="1:12" x14ac:dyDescent="0.3">
      <c r="A364" t="s">
        <v>577</v>
      </c>
      <c r="B364" s="3">
        <v>45780</v>
      </c>
      <c r="C364" t="s">
        <v>578</v>
      </c>
      <c r="D364" t="s">
        <v>65</v>
      </c>
      <c r="E364" t="s">
        <v>26</v>
      </c>
      <c r="F364" t="s">
        <v>16</v>
      </c>
      <c r="G364" t="s">
        <v>52</v>
      </c>
      <c r="H364">
        <v>3</v>
      </c>
      <c r="I364">
        <v>1538</v>
      </c>
      <c r="J364">
        <v>0.1</v>
      </c>
      <c r="K364">
        <v>4152.6000000000004</v>
      </c>
      <c r="L364">
        <v>754.85</v>
      </c>
    </row>
    <row r="365" spans="1:12" x14ac:dyDescent="0.3">
      <c r="A365" t="s">
        <v>579</v>
      </c>
      <c r="B365" s="3">
        <v>45761</v>
      </c>
      <c r="C365" t="s">
        <v>580</v>
      </c>
      <c r="D365" t="s">
        <v>202</v>
      </c>
      <c r="E365" t="s">
        <v>44</v>
      </c>
      <c r="F365" t="s">
        <v>21</v>
      </c>
      <c r="G365" t="s">
        <v>55</v>
      </c>
      <c r="H365">
        <v>1</v>
      </c>
      <c r="I365">
        <v>1155</v>
      </c>
      <c r="J365">
        <v>0.15</v>
      </c>
      <c r="K365">
        <v>981.75</v>
      </c>
      <c r="L365">
        <v>102.5</v>
      </c>
    </row>
    <row r="366" spans="1:12" x14ac:dyDescent="0.3">
      <c r="A366" t="s">
        <v>581</v>
      </c>
      <c r="B366" s="3">
        <v>45908</v>
      </c>
      <c r="C366" t="s">
        <v>71</v>
      </c>
      <c r="D366" t="s">
        <v>307</v>
      </c>
      <c r="E366" t="s">
        <v>73</v>
      </c>
      <c r="F366" t="s">
        <v>58</v>
      </c>
      <c r="G366" t="s">
        <v>126</v>
      </c>
      <c r="H366">
        <v>1</v>
      </c>
      <c r="I366">
        <v>133</v>
      </c>
      <c r="J366">
        <v>0</v>
      </c>
      <c r="K366">
        <v>133</v>
      </c>
      <c r="L366">
        <v>28.33</v>
      </c>
    </row>
    <row r="367" spans="1:12" x14ac:dyDescent="0.3">
      <c r="A367" t="s">
        <v>582</v>
      </c>
      <c r="B367" s="3">
        <v>45766</v>
      </c>
      <c r="C367" t="s">
        <v>270</v>
      </c>
      <c r="D367" t="s">
        <v>80</v>
      </c>
      <c r="E367" t="s">
        <v>51</v>
      </c>
      <c r="F367" t="s">
        <v>21</v>
      </c>
      <c r="G367" t="s">
        <v>22</v>
      </c>
      <c r="H367">
        <v>4</v>
      </c>
      <c r="I367">
        <v>64850</v>
      </c>
      <c r="J367">
        <v>0.05</v>
      </c>
      <c r="K367">
        <v>246430</v>
      </c>
      <c r="L367">
        <v>27749.759999999998</v>
      </c>
    </row>
    <row r="368" spans="1:12" x14ac:dyDescent="0.3">
      <c r="A368" t="s">
        <v>583</v>
      </c>
      <c r="B368" s="3">
        <v>45996</v>
      </c>
      <c r="C368" t="s">
        <v>458</v>
      </c>
      <c r="D368" t="s">
        <v>20</v>
      </c>
      <c r="E368" t="s">
        <v>15</v>
      </c>
      <c r="F368" t="s">
        <v>27</v>
      </c>
      <c r="G368" t="s">
        <v>28</v>
      </c>
      <c r="H368">
        <v>3</v>
      </c>
      <c r="I368">
        <v>6368</v>
      </c>
      <c r="J368">
        <v>0.15</v>
      </c>
      <c r="K368">
        <v>16238.4</v>
      </c>
      <c r="L368">
        <v>3299.36</v>
      </c>
    </row>
    <row r="369" spans="1:12" x14ac:dyDescent="0.3">
      <c r="A369" t="s">
        <v>584</v>
      </c>
      <c r="B369" s="3">
        <v>45996</v>
      </c>
      <c r="C369" t="s">
        <v>310</v>
      </c>
      <c r="D369" t="s">
        <v>20</v>
      </c>
      <c r="E369" t="s">
        <v>15</v>
      </c>
      <c r="F369" t="s">
        <v>21</v>
      </c>
      <c r="G369" t="s">
        <v>22</v>
      </c>
      <c r="H369">
        <v>3</v>
      </c>
      <c r="I369">
        <v>10877</v>
      </c>
      <c r="J369">
        <v>0.1</v>
      </c>
      <c r="K369">
        <v>29367.9</v>
      </c>
      <c r="L369">
        <v>4872.7</v>
      </c>
    </row>
    <row r="370" spans="1:12" x14ac:dyDescent="0.3">
      <c r="A370" t="s">
        <v>585</v>
      </c>
      <c r="B370" s="3">
        <v>45804</v>
      </c>
      <c r="C370" t="s">
        <v>323</v>
      </c>
      <c r="D370" t="s">
        <v>65</v>
      </c>
      <c r="E370" t="s">
        <v>26</v>
      </c>
      <c r="F370" t="s">
        <v>58</v>
      </c>
      <c r="G370" t="s">
        <v>69</v>
      </c>
      <c r="H370">
        <v>1</v>
      </c>
      <c r="I370">
        <v>1635</v>
      </c>
      <c r="J370">
        <v>0.15</v>
      </c>
      <c r="K370">
        <v>1389.75</v>
      </c>
      <c r="L370">
        <v>154.88999999999999</v>
      </c>
    </row>
    <row r="371" spans="1:12" x14ac:dyDescent="0.3">
      <c r="A371" t="s">
        <v>586</v>
      </c>
      <c r="B371" s="3">
        <v>45970</v>
      </c>
      <c r="C371" t="s">
        <v>463</v>
      </c>
      <c r="D371" t="s">
        <v>20</v>
      </c>
      <c r="E371" t="s">
        <v>15</v>
      </c>
      <c r="F371" t="s">
        <v>27</v>
      </c>
      <c r="G371" t="s">
        <v>31</v>
      </c>
      <c r="H371">
        <v>3</v>
      </c>
      <c r="I371">
        <v>7755</v>
      </c>
      <c r="J371">
        <v>0.1</v>
      </c>
      <c r="K371">
        <v>20938.5</v>
      </c>
      <c r="L371">
        <v>4069.38</v>
      </c>
    </row>
    <row r="372" spans="1:12" x14ac:dyDescent="0.3">
      <c r="A372" t="s">
        <v>587</v>
      </c>
      <c r="B372" s="3">
        <v>45770</v>
      </c>
      <c r="C372" t="s">
        <v>208</v>
      </c>
      <c r="D372" t="s">
        <v>202</v>
      </c>
      <c r="E372" t="s">
        <v>44</v>
      </c>
      <c r="F372" t="s">
        <v>27</v>
      </c>
      <c r="G372" t="s">
        <v>28</v>
      </c>
      <c r="H372">
        <v>1</v>
      </c>
      <c r="I372">
        <v>1916</v>
      </c>
      <c r="J372">
        <v>0</v>
      </c>
      <c r="K372">
        <v>1916</v>
      </c>
      <c r="L372">
        <v>311.02999999999997</v>
      </c>
    </row>
    <row r="373" spans="1:12" x14ac:dyDescent="0.3">
      <c r="A373" t="s">
        <v>588</v>
      </c>
      <c r="B373" s="3">
        <v>45726</v>
      </c>
      <c r="C373" t="s">
        <v>143</v>
      </c>
      <c r="D373" t="s">
        <v>14</v>
      </c>
      <c r="E373" t="s">
        <v>15</v>
      </c>
      <c r="F373" t="s">
        <v>21</v>
      </c>
      <c r="G373" t="s">
        <v>55</v>
      </c>
      <c r="H373">
        <v>1</v>
      </c>
      <c r="I373">
        <v>15405</v>
      </c>
      <c r="J373">
        <v>0.05</v>
      </c>
      <c r="K373">
        <v>14634.75</v>
      </c>
      <c r="L373">
        <v>2437.4699999999998</v>
      </c>
    </row>
    <row r="374" spans="1:12" x14ac:dyDescent="0.3">
      <c r="A374" t="s">
        <v>589</v>
      </c>
      <c r="B374" s="3">
        <v>45704</v>
      </c>
      <c r="C374" t="s">
        <v>159</v>
      </c>
      <c r="D374" t="s">
        <v>88</v>
      </c>
      <c r="E374" t="s">
        <v>73</v>
      </c>
      <c r="F374" t="s">
        <v>27</v>
      </c>
      <c r="G374" t="s">
        <v>40</v>
      </c>
      <c r="H374">
        <v>1</v>
      </c>
      <c r="I374">
        <v>591</v>
      </c>
      <c r="J374">
        <v>0.15</v>
      </c>
      <c r="K374">
        <v>502.34999999999997</v>
      </c>
      <c r="L374">
        <v>113.88</v>
      </c>
    </row>
    <row r="375" spans="1:12" x14ac:dyDescent="0.3">
      <c r="A375" t="s">
        <v>590</v>
      </c>
      <c r="B375" s="3">
        <v>45905</v>
      </c>
      <c r="C375" t="s">
        <v>204</v>
      </c>
      <c r="D375" t="s">
        <v>72</v>
      </c>
      <c r="E375" t="s">
        <v>73</v>
      </c>
      <c r="F375" t="s">
        <v>27</v>
      </c>
      <c r="G375" t="s">
        <v>28</v>
      </c>
      <c r="H375">
        <v>5</v>
      </c>
      <c r="I375">
        <v>559</v>
      </c>
      <c r="J375">
        <v>0.2</v>
      </c>
      <c r="K375">
        <v>2236</v>
      </c>
      <c r="L375">
        <v>587.95000000000005</v>
      </c>
    </row>
    <row r="376" spans="1:12" x14ac:dyDescent="0.3">
      <c r="A376" t="s">
        <v>591</v>
      </c>
      <c r="B376" s="3">
        <v>45979</v>
      </c>
      <c r="C376" t="s">
        <v>516</v>
      </c>
      <c r="D376" t="s">
        <v>103</v>
      </c>
      <c r="E376" t="s">
        <v>51</v>
      </c>
      <c r="F376" t="s">
        <v>27</v>
      </c>
      <c r="G376" t="s">
        <v>28</v>
      </c>
      <c r="H376">
        <v>5</v>
      </c>
      <c r="I376">
        <v>2084</v>
      </c>
      <c r="J376">
        <v>0.05</v>
      </c>
      <c r="K376">
        <v>9899</v>
      </c>
      <c r="L376">
        <v>2252.7800000000002</v>
      </c>
    </row>
    <row r="377" spans="1:12" x14ac:dyDescent="0.3">
      <c r="A377" t="s">
        <v>592</v>
      </c>
      <c r="B377" s="3">
        <v>45923</v>
      </c>
      <c r="C377" t="s">
        <v>551</v>
      </c>
      <c r="D377" t="s">
        <v>80</v>
      </c>
      <c r="E377" t="s">
        <v>51</v>
      </c>
      <c r="F377" t="s">
        <v>21</v>
      </c>
      <c r="G377" t="s">
        <v>22</v>
      </c>
      <c r="H377">
        <v>2</v>
      </c>
      <c r="I377">
        <v>74606</v>
      </c>
      <c r="J377">
        <v>0.1</v>
      </c>
      <c r="K377">
        <v>134290.80000000002</v>
      </c>
      <c r="L377">
        <v>25504.68</v>
      </c>
    </row>
    <row r="378" spans="1:12" x14ac:dyDescent="0.3">
      <c r="A378" t="s">
        <v>593</v>
      </c>
      <c r="B378" s="3">
        <v>45876</v>
      </c>
      <c r="C378" t="s">
        <v>119</v>
      </c>
      <c r="D378" t="s">
        <v>202</v>
      </c>
      <c r="E378" t="s">
        <v>44</v>
      </c>
      <c r="F378" t="s">
        <v>16</v>
      </c>
      <c r="G378" t="s">
        <v>17</v>
      </c>
      <c r="H378">
        <v>1</v>
      </c>
      <c r="I378">
        <v>3374</v>
      </c>
      <c r="J378">
        <v>0.05</v>
      </c>
      <c r="K378">
        <v>3205.2999999999997</v>
      </c>
      <c r="L378">
        <v>315.44</v>
      </c>
    </row>
    <row r="379" spans="1:12" x14ac:dyDescent="0.3">
      <c r="A379" t="s">
        <v>594</v>
      </c>
      <c r="B379" s="3">
        <v>45966</v>
      </c>
      <c r="C379" t="s">
        <v>595</v>
      </c>
      <c r="D379" t="s">
        <v>30</v>
      </c>
      <c r="E379" t="s">
        <v>15</v>
      </c>
      <c r="F379" t="s">
        <v>16</v>
      </c>
      <c r="G379" t="s">
        <v>104</v>
      </c>
      <c r="H379">
        <v>1</v>
      </c>
      <c r="I379">
        <v>13668</v>
      </c>
      <c r="J379">
        <v>0.05</v>
      </c>
      <c r="K379">
        <v>12984.599999999999</v>
      </c>
      <c r="L379">
        <v>2794.35</v>
      </c>
    </row>
    <row r="380" spans="1:12" x14ac:dyDescent="0.3">
      <c r="A380" t="s">
        <v>596</v>
      </c>
      <c r="B380" s="3">
        <v>45915</v>
      </c>
      <c r="C380" t="s">
        <v>597</v>
      </c>
      <c r="D380" t="s">
        <v>47</v>
      </c>
      <c r="E380" t="s">
        <v>26</v>
      </c>
      <c r="F380" t="s">
        <v>16</v>
      </c>
      <c r="G380" t="s">
        <v>17</v>
      </c>
      <c r="H380">
        <v>4</v>
      </c>
      <c r="I380">
        <v>21201</v>
      </c>
      <c r="J380">
        <v>0</v>
      </c>
      <c r="K380">
        <v>84804</v>
      </c>
      <c r="L380">
        <v>9410.34</v>
      </c>
    </row>
    <row r="381" spans="1:12" x14ac:dyDescent="0.3">
      <c r="A381" t="s">
        <v>598</v>
      </c>
      <c r="B381" s="3">
        <v>45905</v>
      </c>
      <c r="C381" t="s">
        <v>77</v>
      </c>
      <c r="D381" t="s">
        <v>50</v>
      </c>
      <c r="E381" t="s">
        <v>51</v>
      </c>
      <c r="F381" t="s">
        <v>21</v>
      </c>
      <c r="G381" t="s">
        <v>35</v>
      </c>
      <c r="H381">
        <v>2</v>
      </c>
      <c r="I381">
        <v>2693</v>
      </c>
      <c r="J381">
        <v>0.1</v>
      </c>
      <c r="K381">
        <v>4847.4000000000005</v>
      </c>
      <c r="L381">
        <v>783.49</v>
      </c>
    </row>
    <row r="382" spans="1:12" x14ac:dyDescent="0.3">
      <c r="A382" t="s">
        <v>599</v>
      </c>
      <c r="B382" s="3">
        <v>45821</v>
      </c>
      <c r="C382" t="s">
        <v>75</v>
      </c>
      <c r="D382" t="s">
        <v>30</v>
      </c>
      <c r="E382" t="s">
        <v>15</v>
      </c>
      <c r="F382" t="s">
        <v>58</v>
      </c>
      <c r="G382" t="s">
        <v>126</v>
      </c>
      <c r="H382">
        <v>4</v>
      </c>
      <c r="I382">
        <v>6595</v>
      </c>
      <c r="J382">
        <v>0.15</v>
      </c>
      <c r="K382">
        <v>22423</v>
      </c>
      <c r="L382">
        <v>4561.95</v>
      </c>
    </row>
    <row r="383" spans="1:12" x14ac:dyDescent="0.3">
      <c r="A383" t="s">
        <v>600</v>
      </c>
      <c r="B383" s="3">
        <v>45987</v>
      </c>
      <c r="C383" t="s">
        <v>189</v>
      </c>
      <c r="D383" t="s">
        <v>72</v>
      </c>
      <c r="E383" t="s">
        <v>73</v>
      </c>
      <c r="F383" t="s">
        <v>27</v>
      </c>
      <c r="G383" t="s">
        <v>28</v>
      </c>
      <c r="H383">
        <v>1</v>
      </c>
      <c r="I383">
        <v>662</v>
      </c>
      <c r="J383">
        <v>0</v>
      </c>
      <c r="K383">
        <v>662</v>
      </c>
      <c r="L383">
        <v>152.05000000000001</v>
      </c>
    </row>
    <row r="384" spans="1:12" x14ac:dyDescent="0.3">
      <c r="A384" t="s">
        <v>601</v>
      </c>
      <c r="B384" s="3">
        <v>45730</v>
      </c>
      <c r="C384" t="s">
        <v>451</v>
      </c>
      <c r="D384" t="s">
        <v>88</v>
      </c>
      <c r="E384" t="s">
        <v>73</v>
      </c>
      <c r="F384" t="s">
        <v>16</v>
      </c>
      <c r="G384" t="s">
        <v>52</v>
      </c>
      <c r="H384">
        <v>2</v>
      </c>
      <c r="I384">
        <v>598</v>
      </c>
      <c r="J384">
        <v>0.05</v>
      </c>
      <c r="K384">
        <v>1136.2</v>
      </c>
      <c r="L384">
        <v>215.17</v>
      </c>
    </row>
    <row r="385" spans="1:12" x14ac:dyDescent="0.3">
      <c r="A385" t="s">
        <v>602</v>
      </c>
      <c r="B385" s="3">
        <v>45902</v>
      </c>
      <c r="C385" t="s">
        <v>170</v>
      </c>
      <c r="D385" t="s">
        <v>120</v>
      </c>
      <c r="E385" t="s">
        <v>51</v>
      </c>
      <c r="F385" t="s">
        <v>58</v>
      </c>
      <c r="G385" t="s">
        <v>59</v>
      </c>
      <c r="H385">
        <v>4</v>
      </c>
      <c r="I385">
        <v>1730</v>
      </c>
      <c r="J385">
        <v>0</v>
      </c>
      <c r="K385">
        <v>6920</v>
      </c>
      <c r="L385">
        <v>897.35</v>
      </c>
    </row>
    <row r="386" spans="1:12" x14ac:dyDescent="0.3">
      <c r="A386" t="s">
        <v>603</v>
      </c>
      <c r="B386" s="3">
        <v>45718</v>
      </c>
      <c r="C386" t="s">
        <v>407</v>
      </c>
      <c r="D386" t="s">
        <v>92</v>
      </c>
      <c r="E386" t="s">
        <v>51</v>
      </c>
      <c r="F386" t="s">
        <v>21</v>
      </c>
      <c r="G386" t="s">
        <v>22</v>
      </c>
      <c r="H386">
        <v>2</v>
      </c>
      <c r="I386">
        <v>12446</v>
      </c>
      <c r="J386">
        <v>0.1</v>
      </c>
      <c r="K386">
        <v>22402.799999999999</v>
      </c>
      <c r="L386">
        <v>4457.28</v>
      </c>
    </row>
    <row r="387" spans="1:12" x14ac:dyDescent="0.3">
      <c r="A387" t="s">
        <v>604</v>
      </c>
      <c r="B387" s="3">
        <v>45784</v>
      </c>
      <c r="C387" t="s">
        <v>161</v>
      </c>
      <c r="D387" t="s">
        <v>68</v>
      </c>
      <c r="E387" t="s">
        <v>44</v>
      </c>
      <c r="F387" t="s">
        <v>27</v>
      </c>
      <c r="G387" t="s">
        <v>40</v>
      </c>
      <c r="H387">
        <v>3</v>
      </c>
      <c r="I387">
        <v>7583</v>
      </c>
      <c r="J387">
        <v>0.1</v>
      </c>
      <c r="K387">
        <v>20474.100000000002</v>
      </c>
      <c r="L387">
        <v>2458.0500000000002</v>
      </c>
    </row>
    <row r="388" spans="1:12" x14ac:dyDescent="0.3">
      <c r="A388" t="s">
        <v>605</v>
      </c>
      <c r="B388" s="3">
        <v>45921</v>
      </c>
      <c r="C388" t="s">
        <v>125</v>
      </c>
      <c r="D388" t="s">
        <v>72</v>
      </c>
      <c r="E388" t="s">
        <v>73</v>
      </c>
      <c r="F388" t="s">
        <v>16</v>
      </c>
      <c r="G388" t="s">
        <v>104</v>
      </c>
      <c r="H388">
        <v>1</v>
      </c>
      <c r="I388">
        <v>603</v>
      </c>
      <c r="J388">
        <v>0.2</v>
      </c>
      <c r="K388">
        <v>482.40000000000003</v>
      </c>
      <c r="L388">
        <v>94.98</v>
      </c>
    </row>
    <row r="389" spans="1:12" x14ac:dyDescent="0.3">
      <c r="A389" t="s">
        <v>606</v>
      </c>
      <c r="B389" s="3">
        <v>45839</v>
      </c>
      <c r="C389" t="s">
        <v>116</v>
      </c>
      <c r="D389" t="s">
        <v>20</v>
      </c>
      <c r="E389" t="s">
        <v>15</v>
      </c>
      <c r="F389" t="s">
        <v>21</v>
      </c>
      <c r="G389" t="s">
        <v>35</v>
      </c>
      <c r="H389">
        <v>3</v>
      </c>
      <c r="I389">
        <v>5385</v>
      </c>
      <c r="J389">
        <v>0.15</v>
      </c>
      <c r="K389">
        <v>13731.75</v>
      </c>
      <c r="L389">
        <v>2228.2199999999998</v>
      </c>
    </row>
    <row r="390" spans="1:12" x14ac:dyDescent="0.3">
      <c r="A390" t="s">
        <v>607</v>
      </c>
      <c r="B390" s="3">
        <v>45825</v>
      </c>
      <c r="C390" t="s">
        <v>255</v>
      </c>
      <c r="D390" t="s">
        <v>120</v>
      </c>
      <c r="E390" t="s">
        <v>51</v>
      </c>
      <c r="F390" t="s">
        <v>27</v>
      </c>
      <c r="G390" t="s">
        <v>40</v>
      </c>
      <c r="H390">
        <v>2</v>
      </c>
      <c r="I390">
        <v>1569</v>
      </c>
      <c r="J390">
        <v>0.2</v>
      </c>
      <c r="K390">
        <v>2510.4</v>
      </c>
      <c r="L390">
        <v>232.97</v>
      </c>
    </row>
    <row r="391" spans="1:12" x14ac:dyDescent="0.3">
      <c r="A391" t="s">
        <v>608</v>
      </c>
      <c r="B391" s="3">
        <v>45842</v>
      </c>
      <c r="C391" t="s">
        <v>13</v>
      </c>
      <c r="D391" t="s">
        <v>65</v>
      </c>
      <c r="E391" t="s">
        <v>26</v>
      </c>
      <c r="F391" t="s">
        <v>16</v>
      </c>
      <c r="G391" t="s">
        <v>104</v>
      </c>
      <c r="H391">
        <v>1</v>
      </c>
      <c r="I391">
        <v>3148</v>
      </c>
      <c r="J391">
        <v>0.05</v>
      </c>
      <c r="K391">
        <v>2990.6</v>
      </c>
      <c r="L391">
        <v>520.08000000000004</v>
      </c>
    </row>
    <row r="392" spans="1:12" x14ac:dyDescent="0.3">
      <c r="A392" t="s">
        <v>609</v>
      </c>
      <c r="B392" s="3">
        <v>45660</v>
      </c>
      <c r="C392" t="s">
        <v>220</v>
      </c>
      <c r="D392" t="s">
        <v>202</v>
      </c>
      <c r="E392" t="s">
        <v>44</v>
      </c>
      <c r="F392" t="s">
        <v>58</v>
      </c>
      <c r="G392" t="s">
        <v>59</v>
      </c>
      <c r="H392">
        <v>1</v>
      </c>
      <c r="I392">
        <v>2603</v>
      </c>
      <c r="J392">
        <v>0.05</v>
      </c>
      <c r="K392">
        <v>2472.85</v>
      </c>
      <c r="L392">
        <v>276.70999999999998</v>
      </c>
    </row>
    <row r="393" spans="1:12" x14ac:dyDescent="0.3">
      <c r="A393" t="s">
        <v>610</v>
      </c>
      <c r="B393" s="3">
        <v>45899</v>
      </c>
      <c r="C393" t="s">
        <v>368</v>
      </c>
      <c r="D393" t="s">
        <v>92</v>
      </c>
      <c r="E393" t="s">
        <v>51</v>
      </c>
      <c r="F393" t="s">
        <v>21</v>
      </c>
      <c r="G393" t="s">
        <v>35</v>
      </c>
      <c r="H393">
        <v>4</v>
      </c>
      <c r="I393">
        <v>22026</v>
      </c>
      <c r="J393">
        <v>0.1</v>
      </c>
      <c r="K393">
        <v>79293.600000000006</v>
      </c>
      <c r="L393">
        <v>8094.8</v>
      </c>
    </row>
    <row r="394" spans="1:12" x14ac:dyDescent="0.3">
      <c r="A394" t="s">
        <v>611</v>
      </c>
      <c r="B394" s="3">
        <v>45969</v>
      </c>
      <c r="C394" t="s">
        <v>13</v>
      </c>
      <c r="D394" t="s">
        <v>120</v>
      </c>
      <c r="E394" t="s">
        <v>51</v>
      </c>
      <c r="F394" t="s">
        <v>21</v>
      </c>
      <c r="G394" t="s">
        <v>22</v>
      </c>
      <c r="H394">
        <v>2</v>
      </c>
      <c r="I394">
        <v>859</v>
      </c>
      <c r="J394">
        <v>0.15</v>
      </c>
      <c r="K394">
        <v>1460.3</v>
      </c>
      <c r="L394">
        <v>139.21</v>
      </c>
    </row>
    <row r="395" spans="1:12" x14ac:dyDescent="0.3">
      <c r="A395" t="s">
        <v>612</v>
      </c>
      <c r="B395" s="3">
        <v>46009</v>
      </c>
      <c r="C395" t="s">
        <v>156</v>
      </c>
      <c r="D395" t="s">
        <v>88</v>
      </c>
      <c r="E395" t="s">
        <v>73</v>
      </c>
      <c r="F395" t="s">
        <v>27</v>
      </c>
      <c r="G395" t="s">
        <v>31</v>
      </c>
      <c r="H395">
        <v>3</v>
      </c>
      <c r="I395">
        <v>416</v>
      </c>
      <c r="J395">
        <v>0.05</v>
      </c>
      <c r="K395">
        <v>1185.5999999999999</v>
      </c>
      <c r="L395">
        <v>159.22999999999999</v>
      </c>
    </row>
    <row r="396" spans="1:12" x14ac:dyDescent="0.3">
      <c r="A396" t="s">
        <v>613</v>
      </c>
      <c r="B396" s="3">
        <v>45663</v>
      </c>
      <c r="C396" t="s">
        <v>278</v>
      </c>
      <c r="D396" t="s">
        <v>97</v>
      </c>
      <c r="E396" t="s">
        <v>44</v>
      </c>
      <c r="F396" t="s">
        <v>58</v>
      </c>
      <c r="G396" t="s">
        <v>126</v>
      </c>
      <c r="H396">
        <v>2</v>
      </c>
      <c r="I396">
        <v>728</v>
      </c>
      <c r="J396">
        <v>0</v>
      </c>
      <c r="K396">
        <v>1456</v>
      </c>
      <c r="L396">
        <v>366.57</v>
      </c>
    </row>
    <row r="397" spans="1:12" x14ac:dyDescent="0.3">
      <c r="A397" t="s">
        <v>614</v>
      </c>
      <c r="B397" s="3">
        <v>45970</v>
      </c>
      <c r="C397" t="s">
        <v>75</v>
      </c>
      <c r="D397" t="s">
        <v>43</v>
      </c>
      <c r="E397" t="s">
        <v>44</v>
      </c>
      <c r="F397" t="s">
        <v>16</v>
      </c>
      <c r="G397" t="s">
        <v>17</v>
      </c>
      <c r="H397">
        <v>1</v>
      </c>
      <c r="I397">
        <v>655</v>
      </c>
      <c r="J397">
        <v>0.05</v>
      </c>
      <c r="K397">
        <v>622.25</v>
      </c>
      <c r="L397">
        <v>100.94</v>
      </c>
    </row>
    <row r="398" spans="1:12" x14ac:dyDescent="0.3">
      <c r="A398" t="s">
        <v>615</v>
      </c>
      <c r="B398" s="3">
        <v>45702</v>
      </c>
      <c r="C398" t="s">
        <v>501</v>
      </c>
      <c r="D398" t="s">
        <v>88</v>
      </c>
      <c r="E398" t="s">
        <v>73</v>
      </c>
      <c r="F398" t="s">
        <v>21</v>
      </c>
      <c r="G398" t="s">
        <v>22</v>
      </c>
      <c r="H398">
        <v>1</v>
      </c>
      <c r="I398">
        <v>101</v>
      </c>
      <c r="J398">
        <v>0.1</v>
      </c>
      <c r="K398">
        <v>90.9</v>
      </c>
      <c r="L398">
        <v>20.59</v>
      </c>
    </row>
    <row r="399" spans="1:12" x14ac:dyDescent="0.3">
      <c r="A399" t="s">
        <v>616</v>
      </c>
      <c r="B399" s="3">
        <v>45866</v>
      </c>
      <c r="C399" t="s">
        <v>617</v>
      </c>
      <c r="D399" t="s">
        <v>34</v>
      </c>
      <c r="E399" t="s">
        <v>15</v>
      </c>
      <c r="F399" t="s">
        <v>58</v>
      </c>
      <c r="G399" t="s">
        <v>69</v>
      </c>
      <c r="H399">
        <v>1</v>
      </c>
      <c r="I399">
        <v>20183</v>
      </c>
      <c r="J399">
        <v>0.2</v>
      </c>
      <c r="K399">
        <v>16146.400000000001</v>
      </c>
      <c r="L399">
        <v>1684.05</v>
      </c>
    </row>
    <row r="400" spans="1:12" x14ac:dyDescent="0.3">
      <c r="A400" t="s">
        <v>618</v>
      </c>
      <c r="B400" s="3">
        <v>45863</v>
      </c>
      <c r="C400" t="s">
        <v>542</v>
      </c>
      <c r="D400" t="s">
        <v>80</v>
      </c>
      <c r="E400" t="s">
        <v>51</v>
      </c>
      <c r="F400" t="s">
        <v>27</v>
      </c>
      <c r="G400" t="s">
        <v>31</v>
      </c>
      <c r="H400">
        <v>1</v>
      </c>
      <c r="I400">
        <v>54749</v>
      </c>
      <c r="J400">
        <v>0.05</v>
      </c>
      <c r="K400">
        <v>52011.549999999996</v>
      </c>
      <c r="L400">
        <v>7652.71</v>
      </c>
    </row>
    <row r="401" spans="1:12" x14ac:dyDescent="0.3">
      <c r="A401" t="s">
        <v>619</v>
      </c>
      <c r="B401" s="3">
        <v>45794</v>
      </c>
      <c r="C401" t="s">
        <v>305</v>
      </c>
      <c r="D401" t="s">
        <v>43</v>
      </c>
      <c r="E401" t="s">
        <v>44</v>
      </c>
      <c r="F401" t="s">
        <v>16</v>
      </c>
      <c r="G401" t="s">
        <v>52</v>
      </c>
      <c r="H401">
        <v>1</v>
      </c>
      <c r="I401">
        <v>815</v>
      </c>
      <c r="J401">
        <v>0.1</v>
      </c>
      <c r="K401">
        <v>733.5</v>
      </c>
      <c r="L401">
        <v>160.85</v>
      </c>
    </row>
    <row r="402" spans="1:12" x14ac:dyDescent="0.3">
      <c r="A402" t="s">
        <v>620</v>
      </c>
      <c r="B402" s="3">
        <v>45798</v>
      </c>
      <c r="C402" t="s">
        <v>139</v>
      </c>
      <c r="D402" t="s">
        <v>83</v>
      </c>
      <c r="E402" t="s">
        <v>73</v>
      </c>
      <c r="F402" t="s">
        <v>27</v>
      </c>
      <c r="G402" t="s">
        <v>40</v>
      </c>
      <c r="H402">
        <v>4</v>
      </c>
      <c r="I402">
        <v>660</v>
      </c>
      <c r="J402">
        <v>0.1</v>
      </c>
      <c r="K402">
        <v>2376</v>
      </c>
      <c r="L402">
        <v>244.92</v>
      </c>
    </row>
    <row r="403" spans="1:12" x14ac:dyDescent="0.3">
      <c r="A403" t="s">
        <v>621</v>
      </c>
      <c r="B403" s="3">
        <v>45785</v>
      </c>
      <c r="C403" t="s">
        <v>191</v>
      </c>
      <c r="D403" t="s">
        <v>47</v>
      </c>
      <c r="E403" t="s">
        <v>26</v>
      </c>
      <c r="F403" t="s">
        <v>58</v>
      </c>
      <c r="G403" t="s">
        <v>59</v>
      </c>
      <c r="H403">
        <v>5</v>
      </c>
      <c r="I403">
        <v>14684</v>
      </c>
      <c r="J403">
        <v>0</v>
      </c>
      <c r="K403">
        <v>73420</v>
      </c>
      <c r="L403">
        <v>17103.939999999999</v>
      </c>
    </row>
    <row r="404" spans="1:12" x14ac:dyDescent="0.3">
      <c r="A404" t="s">
        <v>622</v>
      </c>
      <c r="B404" s="3">
        <v>45898</v>
      </c>
      <c r="C404" t="s">
        <v>248</v>
      </c>
      <c r="D404" t="s">
        <v>88</v>
      </c>
      <c r="E404" t="s">
        <v>73</v>
      </c>
      <c r="F404" t="s">
        <v>58</v>
      </c>
      <c r="G404" t="s">
        <v>126</v>
      </c>
      <c r="H404">
        <v>2</v>
      </c>
      <c r="I404">
        <v>529</v>
      </c>
      <c r="J404">
        <v>0.1</v>
      </c>
      <c r="K404">
        <v>952.2</v>
      </c>
      <c r="L404">
        <v>153.9</v>
      </c>
    </row>
    <row r="405" spans="1:12" x14ac:dyDescent="0.3">
      <c r="A405" t="s">
        <v>623</v>
      </c>
      <c r="B405" s="3">
        <v>45967</v>
      </c>
      <c r="C405" t="s">
        <v>156</v>
      </c>
      <c r="D405" t="s">
        <v>65</v>
      </c>
      <c r="E405" t="s">
        <v>26</v>
      </c>
      <c r="F405" t="s">
        <v>27</v>
      </c>
      <c r="G405" t="s">
        <v>28</v>
      </c>
      <c r="H405">
        <v>3</v>
      </c>
      <c r="I405">
        <v>2968</v>
      </c>
      <c r="J405">
        <v>0.15</v>
      </c>
      <c r="K405">
        <v>7568.4</v>
      </c>
      <c r="L405">
        <v>1848.79</v>
      </c>
    </row>
    <row r="406" spans="1:12" x14ac:dyDescent="0.3">
      <c r="A406" t="s">
        <v>624</v>
      </c>
      <c r="B406" s="3">
        <v>45890</v>
      </c>
      <c r="C406" t="s">
        <v>24</v>
      </c>
      <c r="D406" t="s">
        <v>120</v>
      </c>
      <c r="E406" t="s">
        <v>51</v>
      </c>
      <c r="F406" t="s">
        <v>16</v>
      </c>
      <c r="G406" t="s">
        <v>104</v>
      </c>
      <c r="H406">
        <v>2</v>
      </c>
      <c r="I406">
        <v>1319</v>
      </c>
      <c r="J406">
        <v>0.15</v>
      </c>
      <c r="K406">
        <v>2242.2999999999997</v>
      </c>
      <c r="L406">
        <v>360.82</v>
      </c>
    </row>
    <row r="407" spans="1:12" x14ac:dyDescent="0.3">
      <c r="A407" t="s">
        <v>625</v>
      </c>
      <c r="B407" s="3">
        <v>45714</v>
      </c>
      <c r="C407" t="s">
        <v>300</v>
      </c>
      <c r="D407" t="s">
        <v>47</v>
      </c>
      <c r="E407" t="s">
        <v>26</v>
      </c>
      <c r="F407" t="s">
        <v>27</v>
      </c>
      <c r="G407" t="s">
        <v>40</v>
      </c>
      <c r="H407">
        <v>3</v>
      </c>
      <c r="I407">
        <v>20527</v>
      </c>
      <c r="J407">
        <v>0</v>
      </c>
      <c r="K407">
        <v>61581</v>
      </c>
      <c r="L407">
        <v>5751.34</v>
      </c>
    </row>
    <row r="408" spans="1:12" x14ac:dyDescent="0.3">
      <c r="A408" t="s">
        <v>626</v>
      </c>
      <c r="B408" s="3">
        <v>45877</v>
      </c>
      <c r="C408" t="s">
        <v>597</v>
      </c>
      <c r="D408" t="s">
        <v>153</v>
      </c>
      <c r="E408" t="s">
        <v>26</v>
      </c>
      <c r="F408" t="s">
        <v>58</v>
      </c>
      <c r="G408" t="s">
        <v>59</v>
      </c>
      <c r="H408">
        <v>2</v>
      </c>
      <c r="I408">
        <v>9863</v>
      </c>
      <c r="J408">
        <v>0.05</v>
      </c>
      <c r="K408">
        <v>18739.7</v>
      </c>
      <c r="L408">
        <v>3423.25</v>
      </c>
    </row>
    <row r="409" spans="1:12" x14ac:dyDescent="0.3">
      <c r="A409" t="s">
        <v>627</v>
      </c>
      <c r="B409" s="3">
        <v>45878</v>
      </c>
      <c r="C409" t="s">
        <v>394</v>
      </c>
      <c r="D409" t="s">
        <v>103</v>
      </c>
      <c r="E409" t="s">
        <v>51</v>
      </c>
      <c r="F409" t="s">
        <v>16</v>
      </c>
      <c r="G409" t="s">
        <v>104</v>
      </c>
      <c r="H409">
        <v>2</v>
      </c>
      <c r="I409">
        <v>1746</v>
      </c>
      <c r="J409">
        <v>0.15</v>
      </c>
      <c r="K409">
        <v>2968.2</v>
      </c>
      <c r="L409">
        <v>598.63</v>
      </c>
    </row>
    <row r="410" spans="1:12" x14ac:dyDescent="0.3">
      <c r="A410" t="s">
        <v>628</v>
      </c>
      <c r="B410" s="3">
        <v>45779</v>
      </c>
      <c r="C410" t="s">
        <v>427</v>
      </c>
      <c r="D410" t="s">
        <v>20</v>
      </c>
      <c r="E410" t="s">
        <v>15</v>
      </c>
      <c r="F410" t="s">
        <v>21</v>
      </c>
      <c r="G410" t="s">
        <v>22</v>
      </c>
      <c r="H410">
        <v>1</v>
      </c>
      <c r="I410">
        <v>15222</v>
      </c>
      <c r="J410">
        <v>0.05</v>
      </c>
      <c r="K410">
        <v>14460.9</v>
      </c>
      <c r="L410">
        <v>3561.34</v>
      </c>
    </row>
    <row r="411" spans="1:12" x14ac:dyDescent="0.3">
      <c r="A411" t="s">
        <v>629</v>
      </c>
      <c r="B411" s="3">
        <v>45974</v>
      </c>
      <c r="C411" t="s">
        <v>116</v>
      </c>
      <c r="D411" t="s">
        <v>30</v>
      </c>
      <c r="E411" t="s">
        <v>15</v>
      </c>
      <c r="F411" t="s">
        <v>21</v>
      </c>
      <c r="G411" t="s">
        <v>55</v>
      </c>
      <c r="H411">
        <v>1</v>
      </c>
      <c r="I411">
        <v>4962</v>
      </c>
      <c r="J411">
        <v>0.1</v>
      </c>
      <c r="K411">
        <v>4465.8</v>
      </c>
      <c r="L411">
        <v>737.81</v>
      </c>
    </row>
    <row r="412" spans="1:12" x14ac:dyDescent="0.3">
      <c r="A412" t="s">
        <v>630</v>
      </c>
      <c r="B412" s="3">
        <v>45971</v>
      </c>
      <c r="C412" t="s">
        <v>412</v>
      </c>
      <c r="D412" t="s">
        <v>83</v>
      </c>
      <c r="E412" t="s">
        <v>26</v>
      </c>
      <c r="F412" t="s">
        <v>27</v>
      </c>
      <c r="G412" t="s">
        <v>31</v>
      </c>
      <c r="H412">
        <v>3</v>
      </c>
      <c r="I412">
        <v>260</v>
      </c>
      <c r="J412">
        <v>0</v>
      </c>
      <c r="K412">
        <v>780</v>
      </c>
      <c r="L412">
        <v>173.66</v>
      </c>
    </row>
    <row r="413" spans="1:12" x14ac:dyDescent="0.3">
      <c r="A413" t="s">
        <v>632</v>
      </c>
      <c r="B413" s="3">
        <v>45872</v>
      </c>
      <c r="C413" t="s">
        <v>394</v>
      </c>
      <c r="D413" t="s">
        <v>80</v>
      </c>
      <c r="E413" t="s">
        <v>51</v>
      </c>
      <c r="F413" t="s">
        <v>16</v>
      </c>
      <c r="G413" t="s">
        <v>104</v>
      </c>
      <c r="H413">
        <v>2</v>
      </c>
      <c r="I413">
        <v>62327</v>
      </c>
      <c r="J413">
        <v>0.15</v>
      </c>
      <c r="K413">
        <v>105955.9</v>
      </c>
      <c r="L413">
        <v>26543.75</v>
      </c>
    </row>
    <row r="414" spans="1:12" x14ac:dyDescent="0.3">
      <c r="A414" t="s">
        <v>633</v>
      </c>
      <c r="B414" s="3">
        <v>45924</v>
      </c>
      <c r="C414" t="s">
        <v>260</v>
      </c>
      <c r="D414" t="s">
        <v>92</v>
      </c>
      <c r="E414" t="s">
        <v>51</v>
      </c>
      <c r="F414" t="s">
        <v>58</v>
      </c>
      <c r="G414" t="s">
        <v>126</v>
      </c>
      <c r="H414">
        <v>1</v>
      </c>
      <c r="I414">
        <v>12236</v>
      </c>
      <c r="J414">
        <v>0.05</v>
      </c>
      <c r="K414">
        <v>11624.199999999999</v>
      </c>
      <c r="L414">
        <v>1491.39</v>
      </c>
    </row>
    <row r="415" spans="1:12" x14ac:dyDescent="0.3">
      <c r="A415" t="s">
        <v>634</v>
      </c>
      <c r="B415" s="3">
        <v>45864</v>
      </c>
      <c r="C415" t="s">
        <v>123</v>
      </c>
      <c r="D415" t="s">
        <v>20</v>
      </c>
      <c r="E415" t="s">
        <v>15</v>
      </c>
      <c r="F415" t="s">
        <v>27</v>
      </c>
      <c r="G415" t="s">
        <v>31</v>
      </c>
      <c r="H415">
        <v>2</v>
      </c>
      <c r="I415">
        <v>11431</v>
      </c>
      <c r="J415">
        <v>0</v>
      </c>
      <c r="K415">
        <v>22862</v>
      </c>
      <c r="L415">
        <v>3858.46</v>
      </c>
    </row>
    <row r="416" spans="1:12" x14ac:dyDescent="0.3">
      <c r="A416" t="s">
        <v>635</v>
      </c>
      <c r="B416" s="3">
        <v>45951</v>
      </c>
      <c r="C416" t="s">
        <v>636</v>
      </c>
      <c r="D416" t="s">
        <v>65</v>
      </c>
      <c r="E416" t="s">
        <v>26</v>
      </c>
      <c r="F416" t="s">
        <v>58</v>
      </c>
      <c r="G416" t="s">
        <v>69</v>
      </c>
      <c r="H416">
        <v>2</v>
      </c>
      <c r="I416">
        <v>3301</v>
      </c>
      <c r="J416">
        <v>0.15</v>
      </c>
      <c r="K416">
        <v>5611.7</v>
      </c>
      <c r="L416">
        <v>701.51</v>
      </c>
    </row>
    <row r="417" spans="1:12" x14ac:dyDescent="0.3">
      <c r="A417" t="s">
        <v>637</v>
      </c>
      <c r="B417" s="3">
        <v>45926</v>
      </c>
      <c r="C417" t="s">
        <v>326</v>
      </c>
      <c r="D417" t="s">
        <v>97</v>
      </c>
      <c r="E417" t="s">
        <v>44</v>
      </c>
      <c r="F417" t="s">
        <v>27</v>
      </c>
      <c r="G417" t="s">
        <v>40</v>
      </c>
      <c r="H417">
        <v>2</v>
      </c>
      <c r="I417">
        <v>1033</v>
      </c>
      <c r="J417">
        <v>0</v>
      </c>
      <c r="K417">
        <v>2066</v>
      </c>
      <c r="L417">
        <v>486.25</v>
      </c>
    </row>
    <row r="418" spans="1:12" x14ac:dyDescent="0.3">
      <c r="A418" t="s">
        <v>638</v>
      </c>
      <c r="B418" s="3">
        <v>46014</v>
      </c>
      <c r="C418" t="s">
        <v>300</v>
      </c>
      <c r="D418" t="s">
        <v>153</v>
      </c>
      <c r="E418" t="s">
        <v>26</v>
      </c>
      <c r="F418" t="s">
        <v>27</v>
      </c>
      <c r="G418" t="s">
        <v>40</v>
      </c>
      <c r="H418">
        <v>3</v>
      </c>
      <c r="I418">
        <v>3630</v>
      </c>
      <c r="J418">
        <v>0</v>
      </c>
      <c r="K418">
        <v>10890</v>
      </c>
      <c r="L418">
        <v>1881.77</v>
      </c>
    </row>
    <row r="419" spans="1:12" x14ac:dyDescent="0.3">
      <c r="A419" t="s">
        <v>639</v>
      </c>
      <c r="B419" s="3">
        <v>45736</v>
      </c>
      <c r="C419" t="s">
        <v>640</v>
      </c>
      <c r="D419" t="s">
        <v>103</v>
      </c>
      <c r="E419" t="s">
        <v>51</v>
      </c>
      <c r="F419" t="s">
        <v>21</v>
      </c>
      <c r="G419" t="s">
        <v>22</v>
      </c>
      <c r="H419">
        <v>2</v>
      </c>
      <c r="I419">
        <v>1504</v>
      </c>
      <c r="J419">
        <v>0.1</v>
      </c>
      <c r="K419">
        <v>2707.2000000000003</v>
      </c>
      <c r="L419">
        <v>391.48</v>
      </c>
    </row>
    <row r="420" spans="1:12" x14ac:dyDescent="0.3">
      <c r="A420" t="s">
        <v>641</v>
      </c>
      <c r="B420" s="3">
        <v>45887</v>
      </c>
      <c r="C420" t="s">
        <v>346</v>
      </c>
      <c r="D420" t="s">
        <v>103</v>
      </c>
      <c r="E420" t="s">
        <v>51</v>
      </c>
      <c r="F420" t="s">
        <v>16</v>
      </c>
      <c r="G420" t="s">
        <v>52</v>
      </c>
      <c r="H420">
        <v>1</v>
      </c>
      <c r="I420">
        <v>7034</v>
      </c>
      <c r="J420">
        <v>0.15</v>
      </c>
      <c r="K420">
        <v>5978.9</v>
      </c>
      <c r="L420">
        <v>1323.53</v>
      </c>
    </row>
    <row r="421" spans="1:12" x14ac:dyDescent="0.3">
      <c r="A421" t="s">
        <v>642</v>
      </c>
      <c r="B421" s="3">
        <v>45944</v>
      </c>
      <c r="C421" t="s">
        <v>39</v>
      </c>
      <c r="D421" t="s">
        <v>120</v>
      </c>
      <c r="E421" t="s">
        <v>51</v>
      </c>
      <c r="F421" t="s">
        <v>21</v>
      </c>
      <c r="G421" t="s">
        <v>22</v>
      </c>
      <c r="H421">
        <v>3</v>
      </c>
      <c r="I421">
        <v>1614</v>
      </c>
      <c r="J421">
        <v>0</v>
      </c>
      <c r="K421">
        <v>4842</v>
      </c>
      <c r="L421">
        <v>838.47</v>
      </c>
    </row>
    <row r="422" spans="1:12" x14ac:dyDescent="0.3">
      <c r="A422" t="s">
        <v>643</v>
      </c>
      <c r="B422" s="3">
        <v>45948</v>
      </c>
      <c r="C422" t="s">
        <v>555</v>
      </c>
      <c r="D422" t="s">
        <v>103</v>
      </c>
      <c r="E422" t="s">
        <v>51</v>
      </c>
      <c r="F422" t="s">
        <v>58</v>
      </c>
      <c r="G422" t="s">
        <v>126</v>
      </c>
      <c r="H422">
        <v>1</v>
      </c>
      <c r="I422">
        <v>4011</v>
      </c>
      <c r="J422">
        <v>0.15</v>
      </c>
      <c r="K422">
        <v>3409.35</v>
      </c>
      <c r="L422">
        <v>658.81</v>
      </c>
    </row>
    <row r="423" spans="1:12" x14ac:dyDescent="0.3">
      <c r="A423" t="s">
        <v>644</v>
      </c>
      <c r="B423" s="3">
        <v>45771</v>
      </c>
      <c r="C423" t="s">
        <v>90</v>
      </c>
      <c r="D423" t="s">
        <v>34</v>
      </c>
      <c r="E423" t="s">
        <v>15</v>
      </c>
      <c r="F423" t="s">
        <v>27</v>
      </c>
      <c r="G423" t="s">
        <v>31</v>
      </c>
      <c r="H423">
        <v>3</v>
      </c>
      <c r="I423">
        <v>12561</v>
      </c>
      <c r="J423">
        <v>0</v>
      </c>
      <c r="K423">
        <v>37683</v>
      </c>
      <c r="L423">
        <v>6870.63</v>
      </c>
    </row>
    <row r="424" spans="1:12" x14ac:dyDescent="0.3">
      <c r="A424" t="s">
        <v>645</v>
      </c>
      <c r="B424" s="3">
        <v>45795</v>
      </c>
      <c r="C424" t="s">
        <v>363</v>
      </c>
      <c r="D424" t="s">
        <v>97</v>
      </c>
      <c r="E424" t="s">
        <v>44</v>
      </c>
      <c r="F424" t="s">
        <v>58</v>
      </c>
      <c r="G424" t="s">
        <v>126</v>
      </c>
      <c r="H424">
        <v>1</v>
      </c>
      <c r="I424">
        <v>316</v>
      </c>
      <c r="J424">
        <v>0.1</v>
      </c>
      <c r="K424">
        <v>284.40000000000003</v>
      </c>
      <c r="L424">
        <v>64.45</v>
      </c>
    </row>
    <row r="425" spans="1:12" x14ac:dyDescent="0.3">
      <c r="A425" t="s">
        <v>646</v>
      </c>
      <c r="B425" s="3">
        <v>46000</v>
      </c>
      <c r="C425" t="s">
        <v>412</v>
      </c>
      <c r="D425" t="s">
        <v>80</v>
      </c>
      <c r="E425" t="s">
        <v>51</v>
      </c>
      <c r="F425" t="s">
        <v>21</v>
      </c>
      <c r="G425" t="s">
        <v>22</v>
      </c>
      <c r="H425">
        <v>4</v>
      </c>
      <c r="I425">
        <v>82166</v>
      </c>
      <c r="J425">
        <v>0.05</v>
      </c>
      <c r="K425">
        <v>312230.8</v>
      </c>
      <c r="L425">
        <v>57929.9</v>
      </c>
    </row>
    <row r="426" spans="1:12" x14ac:dyDescent="0.3">
      <c r="A426" t="s">
        <v>647</v>
      </c>
      <c r="B426" s="3">
        <v>45903</v>
      </c>
      <c r="C426" t="s">
        <v>398</v>
      </c>
      <c r="D426" t="s">
        <v>47</v>
      </c>
      <c r="E426" t="s">
        <v>26</v>
      </c>
      <c r="F426" t="s">
        <v>21</v>
      </c>
      <c r="G426" t="s">
        <v>55</v>
      </c>
      <c r="H426">
        <v>3</v>
      </c>
      <c r="I426">
        <v>17727</v>
      </c>
      <c r="J426">
        <v>0.1</v>
      </c>
      <c r="K426">
        <v>47862.9</v>
      </c>
      <c r="L426">
        <v>4339.71</v>
      </c>
    </row>
    <row r="427" spans="1:12" x14ac:dyDescent="0.3">
      <c r="A427" t="s">
        <v>648</v>
      </c>
      <c r="B427" s="3">
        <v>45867</v>
      </c>
      <c r="C427" t="s">
        <v>412</v>
      </c>
      <c r="D427" t="s">
        <v>202</v>
      </c>
      <c r="E427" t="s">
        <v>44</v>
      </c>
      <c r="F427" t="s">
        <v>16</v>
      </c>
      <c r="G427" t="s">
        <v>104</v>
      </c>
      <c r="H427">
        <v>1</v>
      </c>
      <c r="I427">
        <v>3305</v>
      </c>
      <c r="J427">
        <v>0.1</v>
      </c>
      <c r="K427">
        <v>2974.5</v>
      </c>
      <c r="L427">
        <v>270.32</v>
      </c>
    </row>
    <row r="428" spans="1:12" x14ac:dyDescent="0.3">
      <c r="A428" t="s">
        <v>649</v>
      </c>
      <c r="B428" s="3">
        <v>45996</v>
      </c>
      <c r="C428" t="s">
        <v>650</v>
      </c>
      <c r="D428" t="s">
        <v>83</v>
      </c>
      <c r="E428" t="s">
        <v>73</v>
      </c>
      <c r="F428" t="s">
        <v>27</v>
      </c>
      <c r="G428" t="s">
        <v>40</v>
      </c>
      <c r="H428">
        <v>3</v>
      </c>
      <c r="I428">
        <v>777</v>
      </c>
      <c r="J428">
        <v>0.05</v>
      </c>
      <c r="K428">
        <v>2214.4499999999998</v>
      </c>
      <c r="L428">
        <v>267.58</v>
      </c>
    </row>
    <row r="429" spans="1:12" x14ac:dyDescent="0.3">
      <c r="A429" t="s">
        <v>651</v>
      </c>
      <c r="B429" s="3">
        <v>45799</v>
      </c>
      <c r="C429" t="s">
        <v>328</v>
      </c>
      <c r="D429" t="s">
        <v>30</v>
      </c>
      <c r="E429" t="s">
        <v>15</v>
      </c>
      <c r="F429" t="s">
        <v>58</v>
      </c>
      <c r="G429" t="s">
        <v>126</v>
      </c>
      <c r="H429">
        <v>1</v>
      </c>
      <c r="I429">
        <v>11011</v>
      </c>
      <c r="J429">
        <v>0</v>
      </c>
      <c r="K429">
        <v>11011</v>
      </c>
      <c r="L429">
        <v>1258.4100000000001</v>
      </c>
    </row>
    <row r="430" spans="1:12" x14ac:dyDescent="0.3">
      <c r="A430" t="s">
        <v>652</v>
      </c>
      <c r="B430" s="3">
        <v>45788</v>
      </c>
      <c r="C430" t="s">
        <v>139</v>
      </c>
      <c r="D430" t="s">
        <v>20</v>
      </c>
      <c r="E430" t="s">
        <v>15</v>
      </c>
      <c r="F430" t="s">
        <v>27</v>
      </c>
      <c r="G430" t="s">
        <v>40</v>
      </c>
      <c r="H430">
        <v>2</v>
      </c>
      <c r="I430">
        <v>15489</v>
      </c>
      <c r="J430">
        <v>0.2</v>
      </c>
      <c r="K430">
        <v>24782.400000000001</v>
      </c>
      <c r="L430">
        <v>4879.6499999999996</v>
      </c>
    </row>
    <row r="431" spans="1:12" x14ac:dyDescent="0.3">
      <c r="A431" t="s">
        <v>653</v>
      </c>
      <c r="B431" s="3">
        <v>45732</v>
      </c>
      <c r="C431" t="s">
        <v>253</v>
      </c>
      <c r="D431" t="s">
        <v>120</v>
      </c>
      <c r="E431" t="s">
        <v>51</v>
      </c>
      <c r="F431" t="s">
        <v>27</v>
      </c>
      <c r="G431" t="s">
        <v>40</v>
      </c>
      <c r="H431">
        <v>2</v>
      </c>
      <c r="I431">
        <v>1039</v>
      </c>
      <c r="J431">
        <v>0</v>
      </c>
      <c r="K431">
        <v>2078</v>
      </c>
      <c r="L431">
        <v>179.43</v>
      </c>
    </row>
    <row r="432" spans="1:12" x14ac:dyDescent="0.3">
      <c r="A432" t="s">
        <v>654</v>
      </c>
      <c r="B432" s="3">
        <v>45801</v>
      </c>
      <c r="C432" t="s">
        <v>429</v>
      </c>
      <c r="D432" t="s">
        <v>80</v>
      </c>
      <c r="E432" t="s">
        <v>51</v>
      </c>
      <c r="F432" t="s">
        <v>21</v>
      </c>
      <c r="G432" t="s">
        <v>22</v>
      </c>
      <c r="H432">
        <v>2</v>
      </c>
      <c r="I432">
        <v>68871</v>
      </c>
      <c r="J432">
        <v>0.1</v>
      </c>
      <c r="K432">
        <v>123967.8</v>
      </c>
      <c r="L432">
        <v>34120.57</v>
      </c>
    </row>
    <row r="433" spans="1:12" x14ac:dyDescent="0.3">
      <c r="A433" t="s">
        <v>655</v>
      </c>
      <c r="B433" s="3">
        <v>45730</v>
      </c>
      <c r="C433" t="s">
        <v>100</v>
      </c>
      <c r="D433" t="s">
        <v>30</v>
      </c>
      <c r="E433" t="s">
        <v>15</v>
      </c>
      <c r="F433" t="s">
        <v>21</v>
      </c>
      <c r="G433" t="s">
        <v>22</v>
      </c>
      <c r="H433">
        <v>5</v>
      </c>
      <c r="I433">
        <v>4785</v>
      </c>
      <c r="J433">
        <v>0.2</v>
      </c>
      <c r="K433">
        <v>19140</v>
      </c>
      <c r="L433">
        <v>3914.63</v>
      </c>
    </row>
    <row r="434" spans="1:12" x14ac:dyDescent="0.3">
      <c r="A434" t="s">
        <v>656</v>
      </c>
      <c r="B434" s="3">
        <v>45879</v>
      </c>
      <c r="C434" t="s">
        <v>234</v>
      </c>
      <c r="D434" t="s">
        <v>153</v>
      </c>
      <c r="E434" t="s">
        <v>26</v>
      </c>
      <c r="F434" t="s">
        <v>16</v>
      </c>
      <c r="G434" t="s">
        <v>52</v>
      </c>
      <c r="H434">
        <v>1</v>
      </c>
      <c r="I434">
        <v>5106</v>
      </c>
      <c r="J434">
        <v>0.05</v>
      </c>
      <c r="K434">
        <v>4850.7</v>
      </c>
      <c r="L434">
        <v>772.19</v>
      </c>
    </row>
    <row r="435" spans="1:12" x14ac:dyDescent="0.3">
      <c r="A435" t="s">
        <v>657</v>
      </c>
      <c r="B435" s="3">
        <v>45668</v>
      </c>
      <c r="C435" t="s">
        <v>176</v>
      </c>
      <c r="D435" t="s">
        <v>68</v>
      </c>
      <c r="E435" t="s">
        <v>44</v>
      </c>
      <c r="F435" t="s">
        <v>58</v>
      </c>
      <c r="G435" t="s">
        <v>59</v>
      </c>
      <c r="H435">
        <v>3</v>
      </c>
      <c r="I435">
        <v>4381</v>
      </c>
      <c r="J435">
        <v>0</v>
      </c>
      <c r="K435">
        <v>13143</v>
      </c>
      <c r="L435">
        <v>2299.9</v>
      </c>
    </row>
    <row r="436" spans="1:12" x14ac:dyDescent="0.3">
      <c r="A436" t="s">
        <v>658</v>
      </c>
      <c r="B436" s="3">
        <v>45741</v>
      </c>
      <c r="C436" t="s">
        <v>640</v>
      </c>
      <c r="D436" t="s">
        <v>92</v>
      </c>
      <c r="E436" t="s">
        <v>51</v>
      </c>
      <c r="F436" t="s">
        <v>21</v>
      </c>
      <c r="G436" t="s">
        <v>22</v>
      </c>
      <c r="H436">
        <v>5</v>
      </c>
      <c r="I436">
        <v>21149</v>
      </c>
      <c r="J436">
        <v>0.2</v>
      </c>
      <c r="K436">
        <v>84596</v>
      </c>
      <c r="L436">
        <v>14207.74</v>
      </c>
    </row>
    <row r="437" spans="1:12" x14ac:dyDescent="0.3">
      <c r="A437" t="s">
        <v>659</v>
      </c>
      <c r="B437" s="3">
        <v>46007</v>
      </c>
      <c r="C437" t="s">
        <v>141</v>
      </c>
      <c r="D437" t="s">
        <v>50</v>
      </c>
      <c r="E437" t="s">
        <v>51</v>
      </c>
      <c r="F437" t="s">
        <v>27</v>
      </c>
      <c r="G437" t="s">
        <v>28</v>
      </c>
      <c r="H437">
        <v>1</v>
      </c>
      <c r="I437">
        <v>3032</v>
      </c>
      <c r="J437">
        <v>0.05</v>
      </c>
      <c r="K437">
        <v>2880.4</v>
      </c>
      <c r="L437">
        <v>434.19</v>
      </c>
    </row>
    <row r="438" spans="1:12" x14ac:dyDescent="0.3">
      <c r="A438" t="s">
        <v>660</v>
      </c>
      <c r="B438" s="3">
        <v>45661</v>
      </c>
      <c r="C438" t="s">
        <v>300</v>
      </c>
      <c r="D438" t="s">
        <v>103</v>
      </c>
      <c r="E438" t="s">
        <v>51</v>
      </c>
      <c r="F438" t="s">
        <v>27</v>
      </c>
      <c r="G438" t="s">
        <v>40</v>
      </c>
      <c r="H438">
        <v>1</v>
      </c>
      <c r="I438">
        <v>3873</v>
      </c>
      <c r="J438">
        <v>0.15</v>
      </c>
      <c r="K438">
        <v>3292.0499999999997</v>
      </c>
      <c r="L438">
        <v>365.37</v>
      </c>
    </row>
    <row r="439" spans="1:12" x14ac:dyDescent="0.3">
      <c r="A439" t="s">
        <v>661</v>
      </c>
      <c r="B439" s="3">
        <v>45753</v>
      </c>
      <c r="C439" t="s">
        <v>94</v>
      </c>
      <c r="D439" t="s">
        <v>153</v>
      </c>
      <c r="E439" t="s">
        <v>26</v>
      </c>
      <c r="F439" t="s">
        <v>16</v>
      </c>
      <c r="G439" t="s">
        <v>104</v>
      </c>
      <c r="H439">
        <v>1</v>
      </c>
      <c r="I439">
        <v>6089</v>
      </c>
      <c r="J439">
        <v>0.15</v>
      </c>
      <c r="K439">
        <v>5175.6499999999996</v>
      </c>
      <c r="L439">
        <v>728.34</v>
      </c>
    </row>
    <row r="440" spans="1:12" x14ac:dyDescent="0.3">
      <c r="A440" t="s">
        <v>662</v>
      </c>
      <c r="B440" s="3">
        <v>46000</v>
      </c>
      <c r="C440" t="s">
        <v>178</v>
      </c>
      <c r="D440" t="s">
        <v>65</v>
      </c>
      <c r="E440" t="s">
        <v>26</v>
      </c>
      <c r="F440" t="s">
        <v>21</v>
      </c>
      <c r="G440" t="s">
        <v>55</v>
      </c>
      <c r="H440">
        <v>1</v>
      </c>
      <c r="I440">
        <v>2717</v>
      </c>
      <c r="J440">
        <v>0.05</v>
      </c>
      <c r="K440">
        <v>2581.15</v>
      </c>
      <c r="L440">
        <v>631.03</v>
      </c>
    </row>
    <row r="441" spans="1:12" x14ac:dyDescent="0.3">
      <c r="A441" t="s">
        <v>663</v>
      </c>
      <c r="B441" s="3">
        <v>45746</v>
      </c>
      <c r="C441" t="s">
        <v>24</v>
      </c>
      <c r="D441" t="s">
        <v>34</v>
      </c>
      <c r="E441" t="s">
        <v>15</v>
      </c>
      <c r="F441" t="s">
        <v>58</v>
      </c>
      <c r="G441" t="s">
        <v>69</v>
      </c>
      <c r="H441">
        <v>2</v>
      </c>
      <c r="I441">
        <v>19010</v>
      </c>
      <c r="J441">
        <v>0.15</v>
      </c>
      <c r="K441">
        <v>32317</v>
      </c>
      <c r="L441">
        <v>8158.12</v>
      </c>
    </row>
    <row r="442" spans="1:12" x14ac:dyDescent="0.3">
      <c r="A442" t="s">
        <v>664</v>
      </c>
      <c r="B442" s="3">
        <v>45697</v>
      </c>
      <c r="C442" t="s">
        <v>665</v>
      </c>
      <c r="D442" t="s">
        <v>103</v>
      </c>
      <c r="E442" t="s">
        <v>51</v>
      </c>
      <c r="F442" t="s">
        <v>58</v>
      </c>
      <c r="G442" t="s">
        <v>126</v>
      </c>
      <c r="H442">
        <v>1</v>
      </c>
      <c r="I442">
        <v>2722</v>
      </c>
      <c r="J442">
        <v>0.1</v>
      </c>
      <c r="K442">
        <v>2449.8000000000002</v>
      </c>
      <c r="L442">
        <v>559.36</v>
      </c>
    </row>
    <row r="443" spans="1:12" x14ac:dyDescent="0.3">
      <c r="A443" t="s">
        <v>666</v>
      </c>
      <c r="B443" s="3">
        <v>45906</v>
      </c>
      <c r="C443" t="s">
        <v>125</v>
      </c>
      <c r="D443" t="s">
        <v>153</v>
      </c>
      <c r="E443" t="s">
        <v>26</v>
      </c>
      <c r="F443" t="s">
        <v>21</v>
      </c>
      <c r="G443" t="s">
        <v>22</v>
      </c>
      <c r="H443">
        <v>3</v>
      </c>
      <c r="I443">
        <v>5551</v>
      </c>
      <c r="J443">
        <v>0.05</v>
      </c>
      <c r="K443">
        <v>15820.349999999999</v>
      </c>
      <c r="L443">
        <v>2702.08</v>
      </c>
    </row>
    <row r="444" spans="1:12" x14ac:dyDescent="0.3">
      <c r="A444" t="s">
        <v>667</v>
      </c>
      <c r="B444" s="3">
        <v>45994</v>
      </c>
      <c r="C444" t="s">
        <v>159</v>
      </c>
      <c r="D444" t="s">
        <v>65</v>
      </c>
      <c r="E444" t="s">
        <v>26</v>
      </c>
      <c r="F444" t="s">
        <v>58</v>
      </c>
      <c r="G444" t="s">
        <v>126</v>
      </c>
      <c r="H444">
        <v>3</v>
      </c>
      <c r="I444">
        <v>2883</v>
      </c>
      <c r="J444">
        <v>0.15</v>
      </c>
      <c r="K444">
        <v>7351.65</v>
      </c>
      <c r="L444">
        <v>1342.26</v>
      </c>
    </row>
    <row r="445" spans="1:12" x14ac:dyDescent="0.3">
      <c r="A445" t="s">
        <v>668</v>
      </c>
      <c r="B445" s="3">
        <v>45729</v>
      </c>
      <c r="C445" t="s">
        <v>42</v>
      </c>
      <c r="D445" t="s">
        <v>65</v>
      </c>
      <c r="E445" t="s">
        <v>26</v>
      </c>
      <c r="F445" t="s">
        <v>21</v>
      </c>
      <c r="G445" t="s">
        <v>22</v>
      </c>
      <c r="H445">
        <v>1</v>
      </c>
      <c r="I445">
        <v>3384</v>
      </c>
      <c r="J445">
        <v>0</v>
      </c>
      <c r="K445">
        <v>3384</v>
      </c>
      <c r="L445">
        <v>657.09</v>
      </c>
    </row>
    <row r="446" spans="1:12" x14ac:dyDescent="0.3">
      <c r="A446" t="s">
        <v>669</v>
      </c>
      <c r="B446" s="3">
        <v>45903</v>
      </c>
      <c r="C446" t="s">
        <v>670</v>
      </c>
      <c r="D446" t="s">
        <v>120</v>
      </c>
      <c r="E446" t="s">
        <v>51</v>
      </c>
      <c r="F446" t="s">
        <v>16</v>
      </c>
      <c r="G446" t="s">
        <v>52</v>
      </c>
      <c r="H446">
        <v>3</v>
      </c>
      <c r="I446">
        <v>914</v>
      </c>
      <c r="J446">
        <v>0.2</v>
      </c>
      <c r="K446">
        <v>2193.6</v>
      </c>
      <c r="L446">
        <v>601.01</v>
      </c>
    </row>
    <row r="447" spans="1:12" x14ac:dyDescent="0.3">
      <c r="A447" t="s">
        <v>671</v>
      </c>
      <c r="B447" s="3">
        <v>45913</v>
      </c>
      <c r="C447" t="s">
        <v>61</v>
      </c>
      <c r="D447" t="s">
        <v>34</v>
      </c>
      <c r="E447" t="s">
        <v>15</v>
      </c>
      <c r="F447" t="s">
        <v>27</v>
      </c>
      <c r="G447" t="s">
        <v>31</v>
      </c>
      <c r="H447">
        <v>1</v>
      </c>
      <c r="I447">
        <v>17022</v>
      </c>
      <c r="J447">
        <v>0.15</v>
      </c>
      <c r="K447">
        <v>14468.699999999999</v>
      </c>
      <c r="L447">
        <v>3460.7</v>
      </c>
    </row>
    <row r="448" spans="1:12" x14ac:dyDescent="0.3">
      <c r="A448" t="s">
        <v>672</v>
      </c>
      <c r="B448" s="3">
        <v>45870</v>
      </c>
      <c r="C448" t="s">
        <v>189</v>
      </c>
      <c r="D448" t="s">
        <v>83</v>
      </c>
      <c r="E448" t="s">
        <v>73</v>
      </c>
      <c r="F448" t="s">
        <v>16</v>
      </c>
      <c r="G448" t="s">
        <v>104</v>
      </c>
      <c r="H448">
        <v>4</v>
      </c>
      <c r="I448">
        <v>412</v>
      </c>
      <c r="J448">
        <v>0.05</v>
      </c>
      <c r="K448">
        <v>1565.6</v>
      </c>
      <c r="L448">
        <v>125.45</v>
      </c>
    </row>
    <row r="449" spans="1:12" x14ac:dyDescent="0.3">
      <c r="A449" t="s">
        <v>673</v>
      </c>
      <c r="B449" s="3">
        <v>45994</v>
      </c>
      <c r="C449" t="s">
        <v>116</v>
      </c>
      <c r="D449" t="s">
        <v>47</v>
      </c>
      <c r="E449" t="s">
        <v>26</v>
      </c>
      <c r="F449" t="s">
        <v>21</v>
      </c>
      <c r="G449" t="s">
        <v>35</v>
      </c>
      <c r="H449">
        <v>1</v>
      </c>
      <c r="I449">
        <v>13875</v>
      </c>
      <c r="J449">
        <v>0.05</v>
      </c>
      <c r="K449">
        <v>13181.25</v>
      </c>
      <c r="L449">
        <v>1301.72</v>
      </c>
    </row>
    <row r="450" spans="1:12" x14ac:dyDescent="0.3">
      <c r="A450" t="s">
        <v>674</v>
      </c>
      <c r="B450" s="3">
        <v>45831</v>
      </c>
      <c r="C450" t="s">
        <v>456</v>
      </c>
      <c r="D450" t="s">
        <v>50</v>
      </c>
      <c r="E450" t="s">
        <v>51</v>
      </c>
      <c r="F450" t="s">
        <v>58</v>
      </c>
      <c r="G450" t="s">
        <v>59</v>
      </c>
      <c r="H450">
        <v>2</v>
      </c>
      <c r="I450">
        <v>3296</v>
      </c>
      <c r="J450">
        <v>0.15</v>
      </c>
      <c r="K450">
        <v>5603.2</v>
      </c>
      <c r="L450">
        <v>1109.3800000000001</v>
      </c>
    </row>
    <row r="451" spans="1:12" x14ac:dyDescent="0.3">
      <c r="A451" t="s">
        <v>675</v>
      </c>
      <c r="B451" s="3">
        <v>45903</v>
      </c>
      <c r="C451" t="s">
        <v>407</v>
      </c>
      <c r="D451" t="s">
        <v>72</v>
      </c>
      <c r="E451" t="s">
        <v>73</v>
      </c>
      <c r="F451" t="s">
        <v>16</v>
      </c>
      <c r="G451" t="s">
        <v>104</v>
      </c>
      <c r="H451">
        <v>2</v>
      </c>
      <c r="I451">
        <v>817</v>
      </c>
      <c r="J451">
        <v>0.25</v>
      </c>
      <c r="K451">
        <v>1225.5</v>
      </c>
      <c r="L451">
        <v>286.63</v>
      </c>
    </row>
    <row r="452" spans="1:12" x14ac:dyDescent="0.3">
      <c r="A452" t="s">
        <v>676</v>
      </c>
      <c r="B452" s="3">
        <v>45806</v>
      </c>
      <c r="C452" t="s">
        <v>223</v>
      </c>
      <c r="D452" t="s">
        <v>153</v>
      </c>
      <c r="E452" t="s">
        <v>26</v>
      </c>
      <c r="F452" t="s">
        <v>58</v>
      </c>
      <c r="G452" t="s">
        <v>69</v>
      </c>
      <c r="H452">
        <v>1</v>
      </c>
      <c r="I452">
        <v>7350</v>
      </c>
      <c r="J452">
        <v>0.05</v>
      </c>
      <c r="K452">
        <v>6982.5</v>
      </c>
      <c r="L452">
        <v>1494.3</v>
      </c>
    </row>
    <row r="453" spans="1:12" x14ac:dyDescent="0.3">
      <c r="A453" t="s">
        <v>677</v>
      </c>
      <c r="B453" s="3">
        <v>45837</v>
      </c>
      <c r="C453" t="s">
        <v>358</v>
      </c>
      <c r="D453" t="s">
        <v>153</v>
      </c>
      <c r="E453" t="s">
        <v>26</v>
      </c>
      <c r="F453" t="s">
        <v>58</v>
      </c>
      <c r="G453" t="s">
        <v>59</v>
      </c>
      <c r="H453">
        <v>1</v>
      </c>
      <c r="I453">
        <v>8897</v>
      </c>
      <c r="J453">
        <v>0.2</v>
      </c>
      <c r="K453">
        <v>7117.6</v>
      </c>
      <c r="L453">
        <v>1987.8</v>
      </c>
    </row>
    <row r="454" spans="1:12" x14ac:dyDescent="0.3">
      <c r="A454" t="s">
        <v>678</v>
      </c>
      <c r="B454" s="3">
        <v>45945</v>
      </c>
      <c r="C454" t="s">
        <v>670</v>
      </c>
      <c r="D454" t="s">
        <v>92</v>
      </c>
      <c r="E454" t="s">
        <v>51</v>
      </c>
      <c r="F454" t="s">
        <v>21</v>
      </c>
      <c r="G454" t="s">
        <v>35</v>
      </c>
      <c r="H454">
        <v>1</v>
      </c>
      <c r="I454">
        <v>20594</v>
      </c>
      <c r="J454">
        <v>0</v>
      </c>
      <c r="K454">
        <v>20594</v>
      </c>
      <c r="L454">
        <v>4153.07</v>
      </c>
    </row>
    <row r="455" spans="1:12" x14ac:dyDescent="0.3">
      <c r="A455" t="s">
        <v>679</v>
      </c>
      <c r="B455" s="3">
        <v>45889</v>
      </c>
      <c r="C455" t="s">
        <v>75</v>
      </c>
      <c r="D455" t="s">
        <v>43</v>
      </c>
      <c r="E455" t="s">
        <v>44</v>
      </c>
      <c r="F455" t="s">
        <v>58</v>
      </c>
      <c r="G455" t="s">
        <v>59</v>
      </c>
      <c r="H455">
        <v>1</v>
      </c>
      <c r="I455">
        <v>367</v>
      </c>
      <c r="J455">
        <v>0.1</v>
      </c>
      <c r="K455">
        <v>330.3</v>
      </c>
      <c r="L455">
        <v>69.459999999999994</v>
      </c>
    </row>
    <row r="456" spans="1:12" x14ac:dyDescent="0.3">
      <c r="A456" t="s">
        <v>680</v>
      </c>
      <c r="B456" s="3">
        <v>45713</v>
      </c>
      <c r="C456" t="s">
        <v>354</v>
      </c>
      <c r="D456" t="s">
        <v>47</v>
      </c>
      <c r="E456" t="s">
        <v>26</v>
      </c>
      <c r="F456" t="s">
        <v>58</v>
      </c>
      <c r="G456" t="s">
        <v>59</v>
      </c>
      <c r="H456">
        <v>1</v>
      </c>
      <c r="I456">
        <v>7992</v>
      </c>
      <c r="J456">
        <v>0</v>
      </c>
      <c r="K456">
        <v>7992</v>
      </c>
      <c r="L456">
        <v>1961.01</v>
      </c>
    </row>
    <row r="457" spans="1:12" x14ac:dyDescent="0.3">
      <c r="A457" t="s">
        <v>681</v>
      </c>
      <c r="B457" s="3">
        <v>45796</v>
      </c>
      <c r="C457" t="s">
        <v>274</v>
      </c>
      <c r="D457" t="s">
        <v>80</v>
      </c>
      <c r="E457" t="s">
        <v>51</v>
      </c>
      <c r="F457" t="s">
        <v>16</v>
      </c>
      <c r="G457" t="s">
        <v>17</v>
      </c>
      <c r="H457">
        <v>1</v>
      </c>
      <c r="I457">
        <v>58288</v>
      </c>
      <c r="J457">
        <v>0.05</v>
      </c>
      <c r="K457">
        <v>55373.599999999999</v>
      </c>
      <c r="L457">
        <v>4889.4799999999996</v>
      </c>
    </row>
    <row r="458" spans="1:12" x14ac:dyDescent="0.3">
      <c r="A458" t="s">
        <v>682</v>
      </c>
      <c r="B458" s="3">
        <v>45841</v>
      </c>
      <c r="C458" t="s">
        <v>503</v>
      </c>
      <c r="D458" t="s">
        <v>80</v>
      </c>
      <c r="E458" t="s">
        <v>51</v>
      </c>
      <c r="F458" t="s">
        <v>27</v>
      </c>
      <c r="G458" t="s">
        <v>31</v>
      </c>
      <c r="H458">
        <v>1</v>
      </c>
      <c r="I458">
        <v>78924</v>
      </c>
      <c r="J458">
        <v>0.2</v>
      </c>
      <c r="K458">
        <v>63139.200000000004</v>
      </c>
      <c r="L458">
        <v>16224.94</v>
      </c>
    </row>
    <row r="459" spans="1:12" x14ac:dyDescent="0.3">
      <c r="A459" t="s">
        <v>683</v>
      </c>
      <c r="B459" s="3">
        <v>45926</v>
      </c>
      <c r="C459" t="s">
        <v>391</v>
      </c>
      <c r="D459" t="s">
        <v>14</v>
      </c>
      <c r="E459" t="s">
        <v>15</v>
      </c>
      <c r="F459" t="s">
        <v>16</v>
      </c>
      <c r="G459" t="s">
        <v>104</v>
      </c>
      <c r="H459">
        <v>1</v>
      </c>
      <c r="I459">
        <v>14593</v>
      </c>
      <c r="J459">
        <v>0.1</v>
      </c>
      <c r="K459">
        <v>13133.7</v>
      </c>
      <c r="L459">
        <v>2686.34</v>
      </c>
    </row>
    <row r="460" spans="1:12" x14ac:dyDescent="0.3">
      <c r="A460" t="s">
        <v>684</v>
      </c>
      <c r="B460" s="3">
        <v>45941</v>
      </c>
      <c r="C460" t="s">
        <v>109</v>
      </c>
      <c r="D460" t="s">
        <v>30</v>
      </c>
      <c r="E460" t="s">
        <v>15</v>
      </c>
      <c r="F460" t="s">
        <v>27</v>
      </c>
      <c r="G460" t="s">
        <v>31</v>
      </c>
      <c r="H460">
        <v>1</v>
      </c>
      <c r="I460">
        <v>7762</v>
      </c>
      <c r="J460">
        <v>0.15</v>
      </c>
      <c r="K460">
        <v>6597.7</v>
      </c>
      <c r="L460">
        <v>1762.23</v>
      </c>
    </row>
    <row r="461" spans="1:12" x14ac:dyDescent="0.3">
      <c r="A461" t="s">
        <v>685</v>
      </c>
      <c r="B461" s="3">
        <v>45841</v>
      </c>
      <c r="C461" t="s">
        <v>131</v>
      </c>
      <c r="D461" t="s">
        <v>43</v>
      </c>
      <c r="E461" t="s">
        <v>44</v>
      </c>
      <c r="F461" t="s">
        <v>16</v>
      </c>
      <c r="G461" t="s">
        <v>52</v>
      </c>
      <c r="H461">
        <v>2</v>
      </c>
      <c r="I461">
        <v>481</v>
      </c>
      <c r="J461">
        <v>0.2</v>
      </c>
      <c r="K461">
        <v>769.6</v>
      </c>
      <c r="L461">
        <v>130.33000000000001</v>
      </c>
    </row>
    <row r="462" spans="1:12" x14ac:dyDescent="0.3">
      <c r="A462" t="s">
        <v>686</v>
      </c>
      <c r="B462" s="3">
        <v>46017</v>
      </c>
      <c r="C462" t="s">
        <v>77</v>
      </c>
      <c r="D462" t="s">
        <v>92</v>
      </c>
      <c r="E462" t="s">
        <v>51</v>
      </c>
      <c r="F462" t="s">
        <v>58</v>
      </c>
      <c r="G462" t="s">
        <v>69</v>
      </c>
      <c r="H462">
        <v>2</v>
      </c>
      <c r="I462">
        <v>23470</v>
      </c>
      <c r="J462">
        <v>0.15</v>
      </c>
      <c r="K462">
        <v>39899</v>
      </c>
      <c r="L462">
        <v>9233.01</v>
      </c>
    </row>
    <row r="463" spans="1:12" x14ac:dyDescent="0.3">
      <c r="A463" t="s">
        <v>687</v>
      </c>
      <c r="B463" s="3">
        <v>45701</v>
      </c>
      <c r="C463" t="s">
        <v>326</v>
      </c>
      <c r="D463" t="s">
        <v>120</v>
      </c>
      <c r="E463" t="s">
        <v>51</v>
      </c>
      <c r="F463" t="s">
        <v>58</v>
      </c>
      <c r="G463" t="s">
        <v>126</v>
      </c>
      <c r="H463">
        <v>1</v>
      </c>
      <c r="I463">
        <v>1124</v>
      </c>
      <c r="J463">
        <v>0.2</v>
      </c>
      <c r="K463">
        <v>899.2</v>
      </c>
      <c r="L463">
        <v>232.99</v>
      </c>
    </row>
    <row r="464" spans="1:12" x14ac:dyDescent="0.3">
      <c r="A464" t="s">
        <v>688</v>
      </c>
      <c r="B464" s="3">
        <v>45903</v>
      </c>
      <c r="C464" t="s">
        <v>139</v>
      </c>
      <c r="D464" t="s">
        <v>30</v>
      </c>
      <c r="E464" t="s">
        <v>15</v>
      </c>
      <c r="F464" t="s">
        <v>21</v>
      </c>
      <c r="G464" t="s">
        <v>35</v>
      </c>
      <c r="H464">
        <v>1</v>
      </c>
      <c r="I464">
        <v>6254</v>
      </c>
      <c r="J464">
        <v>0.05</v>
      </c>
      <c r="K464">
        <v>5941.2999999999993</v>
      </c>
      <c r="L464">
        <v>986.21</v>
      </c>
    </row>
    <row r="465" spans="1:12" x14ac:dyDescent="0.3">
      <c r="A465" t="s">
        <v>689</v>
      </c>
      <c r="B465" s="3">
        <v>45951</v>
      </c>
      <c r="C465" t="s">
        <v>194</v>
      </c>
      <c r="D465" t="s">
        <v>97</v>
      </c>
      <c r="E465" t="s">
        <v>44</v>
      </c>
      <c r="F465" t="s">
        <v>27</v>
      </c>
      <c r="G465" t="s">
        <v>28</v>
      </c>
      <c r="H465">
        <v>2</v>
      </c>
      <c r="I465">
        <v>1152</v>
      </c>
      <c r="J465">
        <v>0</v>
      </c>
      <c r="K465">
        <v>2304</v>
      </c>
      <c r="L465">
        <v>522.49</v>
      </c>
    </row>
    <row r="466" spans="1:12" x14ac:dyDescent="0.3">
      <c r="A466" t="s">
        <v>690</v>
      </c>
      <c r="B466" s="3">
        <v>45727</v>
      </c>
      <c r="C466" t="s">
        <v>501</v>
      </c>
      <c r="D466" t="s">
        <v>80</v>
      </c>
      <c r="E466" t="s">
        <v>51</v>
      </c>
      <c r="F466" t="s">
        <v>27</v>
      </c>
      <c r="G466" t="s">
        <v>28</v>
      </c>
      <c r="H466">
        <v>4</v>
      </c>
      <c r="I466">
        <v>58758</v>
      </c>
      <c r="J466">
        <v>0.15</v>
      </c>
      <c r="K466">
        <v>199777.19999999998</v>
      </c>
      <c r="L466">
        <v>42299.28</v>
      </c>
    </row>
    <row r="467" spans="1:12" x14ac:dyDescent="0.3">
      <c r="A467" t="s">
        <v>691</v>
      </c>
      <c r="B467" s="3">
        <v>45849</v>
      </c>
      <c r="C467" t="s">
        <v>102</v>
      </c>
      <c r="D467" t="s">
        <v>50</v>
      </c>
      <c r="E467" t="s">
        <v>51</v>
      </c>
      <c r="F467" t="s">
        <v>27</v>
      </c>
      <c r="G467" t="s">
        <v>31</v>
      </c>
      <c r="H467">
        <v>4</v>
      </c>
      <c r="I467">
        <v>1879</v>
      </c>
      <c r="J467">
        <v>0.05</v>
      </c>
      <c r="K467">
        <v>7140.2</v>
      </c>
      <c r="L467">
        <v>586.65</v>
      </c>
    </row>
    <row r="468" spans="1:12" x14ac:dyDescent="0.3">
      <c r="A468" t="s">
        <v>692</v>
      </c>
      <c r="B468" s="3">
        <v>45968</v>
      </c>
      <c r="C468" t="s">
        <v>412</v>
      </c>
      <c r="D468" t="s">
        <v>307</v>
      </c>
      <c r="E468" t="s">
        <v>73</v>
      </c>
      <c r="F468" t="s">
        <v>58</v>
      </c>
      <c r="G468" t="s">
        <v>126</v>
      </c>
      <c r="H468">
        <v>1</v>
      </c>
      <c r="I468">
        <v>114</v>
      </c>
      <c r="J468">
        <v>0.1</v>
      </c>
      <c r="K468">
        <v>102.60000000000001</v>
      </c>
      <c r="L468">
        <v>12.85</v>
      </c>
    </row>
    <row r="469" spans="1:12" x14ac:dyDescent="0.3">
      <c r="A469" t="s">
        <v>693</v>
      </c>
      <c r="B469" s="3">
        <v>45687</v>
      </c>
      <c r="C469" t="s">
        <v>217</v>
      </c>
      <c r="D469" t="s">
        <v>47</v>
      </c>
      <c r="E469" t="s">
        <v>26</v>
      </c>
      <c r="F469" t="s">
        <v>21</v>
      </c>
      <c r="G469" t="s">
        <v>22</v>
      </c>
      <c r="H469">
        <v>4</v>
      </c>
      <c r="I469">
        <v>10346</v>
      </c>
      <c r="J469">
        <v>0.15</v>
      </c>
      <c r="K469">
        <v>35176.400000000001</v>
      </c>
      <c r="L469">
        <v>8368.41</v>
      </c>
    </row>
    <row r="470" spans="1:12" x14ac:dyDescent="0.3">
      <c r="A470" t="s">
        <v>694</v>
      </c>
      <c r="B470" s="3">
        <v>45760</v>
      </c>
      <c r="C470" t="s">
        <v>61</v>
      </c>
      <c r="D470" t="s">
        <v>307</v>
      </c>
      <c r="E470" t="s">
        <v>73</v>
      </c>
      <c r="F470" t="s">
        <v>27</v>
      </c>
      <c r="G470" t="s">
        <v>28</v>
      </c>
      <c r="H470">
        <v>5</v>
      </c>
      <c r="I470">
        <v>240</v>
      </c>
      <c r="J470">
        <v>0.05</v>
      </c>
      <c r="K470">
        <v>1140</v>
      </c>
      <c r="L470">
        <v>102.68</v>
      </c>
    </row>
    <row r="471" spans="1:12" x14ac:dyDescent="0.3">
      <c r="A471" t="s">
        <v>695</v>
      </c>
      <c r="B471" s="3">
        <v>45697</v>
      </c>
      <c r="C471" t="s">
        <v>278</v>
      </c>
      <c r="D471" t="s">
        <v>80</v>
      </c>
      <c r="E471" t="s">
        <v>51</v>
      </c>
      <c r="F471" t="s">
        <v>16</v>
      </c>
      <c r="G471" t="s">
        <v>104</v>
      </c>
      <c r="H471">
        <v>5</v>
      </c>
      <c r="I471">
        <v>67977</v>
      </c>
      <c r="J471">
        <v>0</v>
      </c>
      <c r="K471">
        <v>339885</v>
      </c>
      <c r="L471">
        <v>74010.81</v>
      </c>
    </row>
    <row r="472" spans="1:12" x14ac:dyDescent="0.3">
      <c r="A472" t="s">
        <v>696</v>
      </c>
      <c r="B472" s="3">
        <v>45756</v>
      </c>
      <c r="C472" t="s">
        <v>482</v>
      </c>
      <c r="D472" t="s">
        <v>97</v>
      </c>
      <c r="E472" t="s">
        <v>44</v>
      </c>
      <c r="F472" t="s">
        <v>27</v>
      </c>
      <c r="G472" t="s">
        <v>40</v>
      </c>
      <c r="H472">
        <v>1</v>
      </c>
      <c r="I472">
        <v>594</v>
      </c>
      <c r="J472">
        <v>0.15</v>
      </c>
      <c r="K472">
        <v>504.9</v>
      </c>
      <c r="L472">
        <v>73.53</v>
      </c>
    </row>
    <row r="473" spans="1:12" x14ac:dyDescent="0.3">
      <c r="A473" t="s">
        <v>697</v>
      </c>
      <c r="B473" s="3">
        <v>45919</v>
      </c>
      <c r="C473" t="s">
        <v>310</v>
      </c>
      <c r="D473" t="s">
        <v>80</v>
      </c>
      <c r="E473" t="s">
        <v>51</v>
      </c>
      <c r="F473" t="s">
        <v>21</v>
      </c>
      <c r="G473" t="s">
        <v>55</v>
      </c>
      <c r="H473">
        <v>2</v>
      </c>
      <c r="I473">
        <v>52307</v>
      </c>
      <c r="J473">
        <v>0</v>
      </c>
      <c r="K473">
        <v>104614</v>
      </c>
      <c r="L473">
        <v>20430.54</v>
      </c>
    </row>
    <row r="474" spans="1:12" x14ac:dyDescent="0.3">
      <c r="A474" t="s">
        <v>698</v>
      </c>
      <c r="B474" s="3">
        <v>45717</v>
      </c>
      <c r="C474" t="s">
        <v>448</v>
      </c>
      <c r="D474" t="s">
        <v>88</v>
      </c>
      <c r="E474" t="s">
        <v>73</v>
      </c>
      <c r="F474" t="s">
        <v>58</v>
      </c>
      <c r="G474" t="s">
        <v>59</v>
      </c>
      <c r="H474">
        <v>1</v>
      </c>
      <c r="I474">
        <v>567</v>
      </c>
      <c r="J474">
        <v>0.1</v>
      </c>
      <c r="K474">
        <v>510.3</v>
      </c>
      <c r="L474">
        <v>95.08</v>
      </c>
    </row>
    <row r="475" spans="1:12" x14ac:dyDescent="0.3">
      <c r="A475" t="s">
        <v>699</v>
      </c>
      <c r="B475" s="3">
        <v>45855</v>
      </c>
      <c r="C475" t="s">
        <v>141</v>
      </c>
      <c r="D475" t="s">
        <v>68</v>
      </c>
      <c r="E475" t="s">
        <v>44</v>
      </c>
      <c r="F475" t="s">
        <v>21</v>
      </c>
      <c r="G475" t="s">
        <v>55</v>
      </c>
      <c r="H475">
        <v>2</v>
      </c>
      <c r="I475">
        <v>5639</v>
      </c>
      <c r="J475">
        <v>0.05</v>
      </c>
      <c r="K475">
        <v>10714.1</v>
      </c>
      <c r="L475">
        <v>2845.88</v>
      </c>
    </row>
    <row r="476" spans="1:12" x14ac:dyDescent="0.3">
      <c r="A476" t="s">
        <v>700</v>
      </c>
      <c r="B476" s="3">
        <v>45676</v>
      </c>
      <c r="C476" t="s">
        <v>319</v>
      </c>
      <c r="D476" t="s">
        <v>120</v>
      </c>
      <c r="E476" t="s">
        <v>51</v>
      </c>
      <c r="F476" t="s">
        <v>16</v>
      </c>
      <c r="G476" t="s">
        <v>17</v>
      </c>
      <c r="H476">
        <v>3</v>
      </c>
      <c r="I476">
        <v>479</v>
      </c>
      <c r="J476">
        <v>0.1</v>
      </c>
      <c r="K476">
        <v>1293.3</v>
      </c>
      <c r="L476">
        <v>271.14</v>
      </c>
    </row>
    <row r="477" spans="1:12" x14ac:dyDescent="0.3">
      <c r="A477" t="s">
        <v>701</v>
      </c>
      <c r="B477" s="3">
        <v>45802</v>
      </c>
      <c r="C477" t="s">
        <v>116</v>
      </c>
      <c r="D477" t="s">
        <v>65</v>
      </c>
      <c r="E477" t="s">
        <v>26</v>
      </c>
      <c r="F477" t="s">
        <v>27</v>
      </c>
      <c r="G477" t="s">
        <v>28</v>
      </c>
      <c r="H477">
        <v>4</v>
      </c>
      <c r="I477">
        <v>4375</v>
      </c>
      <c r="J477">
        <v>0.05</v>
      </c>
      <c r="K477">
        <v>16625</v>
      </c>
      <c r="L477">
        <v>3823.84</v>
      </c>
    </row>
    <row r="478" spans="1:12" x14ac:dyDescent="0.3">
      <c r="A478" t="s">
        <v>702</v>
      </c>
      <c r="B478" s="3">
        <v>45896</v>
      </c>
      <c r="C478" t="s">
        <v>326</v>
      </c>
      <c r="D478" t="s">
        <v>47</v>
      </c>
      <c r="E478" t="s">
        <v>26</v>
      </c>
      <c r="F478" t="s">
        <v>21</v>
      </c>
      <c r="G478" t="s">
        <v>22</v>
      </c>
      <c r="H478">
        <v>1</v>
      </c>
      <c r="I478">
        <v>15345</v>
      </c>
      <c r="J478">
        <v>0</v>
      </c>
      <c r="K478">
        <v>15345</v>
      </c>
      <c r="L478">
        <v>4011.95</v>
      </c>
    </row>
    <row r="479" spans="1:12" x14ac:dyDescent="0.3">
      <c r="A479" t="s">
        <v>703</v>
      </c>
      <c r="B479" s="3">
        <v>45851</v>
      </c>
      <c r="C479" t="s">
        <v>544</v>
      </c>
      <c r="D479" t="s">
        <v>20</v>
      </c>
      <c r="E479" t="s">
        <v>15</v>
      </c>
      <c r="F479" t="s">
        <v>21</v>
      </c>
      <c r="G479" t="s">
        <v>35</v>
      </c>
      <c r="H479">
        <v>2</v>
      </c>
      <c r="I479">
        <v>7545</v>
      </c>
      <c r="J479">
        <v>0.1</v>
      </c>
      <c r="K479">
        <v>13581</v>
      </c>
      <c r="L479">
        <v>3073.34</v>
      </c>
    </row>
    <row r="480" spans="1:12" x14ac:dyDescent="0.3">
      <c r="A480" t="s">
        <v>704</v>
      </c>
      <c r="B480" s="3">
        <v>45760</v>
      </c>
      <c r="C480" t="s">
        <v>705</v>
      </c>
      <c r="D480" t="s">
        <v>202</v>
      </c>
      <c r="E480" t="s">
        <v>44</v>
      </c>
      <c r="F480" t="s">
        <v>21</v>
      </c>
      <c r="G480" t="s">
        <v>22</v>
      </c>
      <c r="H480">
        <v>2</v>
      </c>
      <c r="I480">
        <v>2538</v>
      </c>
      <c r="J480">
        <v>0.05</v>
      </c>
      <c r="K480">
        <v>4822.2</v>
      </c>
      <c r="L480">
        <v>1111.42</v>
      </c>
    </row>
    <row r="481" spans="1:12" x14ac:dyDescent="0.3">
      <c r="A481" t="s">
        <v>706</v>
      </c>
      <c r="B481" s="3">
        <v>45717</v>
      </c>
      <c r="C481" t="s">
        <v>580</v>
      </c>
      <c r="D481" t="s">
        <v>103</v>
      </c>
      <c r="E481" t="s">
        <v>51</v>
      </c>
      <c r="F481" t="s">
        <v>58</v>
      </c>
      <c r="G481" t="s">
        <v>59</v>
      </c>
      <c r="H481">
        <v>2</v>
      </c>
      <c r="I481">
        <v>8170</v>
      </c>
      <c r="J481">
        <v>0.1</v>
      </c>
      <c r="K481">
        <v>14706</v>
      </c>
      <c r="L481">
        <v>1200.18</v>
      </c>
    </row>
    <row r="482" spans="1:12" x14ac:dyDescent="0.3">
      <c r="A482" t="s">
        <v>707</v>
      </c>
      <c r="B482" s="3">
        <v>45663</v>
      </c>
      <c r="C482" t="s">
        <v>180</v>
      </c>
      <c r="D482" t="s">
        <v>120</v>
      </c>
      <c r="E482" t="s">
        <v>51</v>
      </c>
      <c r="F482" t="s">
        <v>21</v>
      </c>
      <c r="G482" t="s">
        <v>35</v>
      </c>
      <c r="H482">
        <v>1</v>
      </c>
      <c r="I482">
        <v>1920</v>
      </c>
      <c r="J482">
        <v>0.1</v>
      </c>
      <c r="K482">
        <v>1728</v>
      </c>
      <c r="L482">
        <v>315.91000000000003</v>
      </c>
    </row>
    <row r="483" spans="1:12" x14ac:dyDescent="0.3">
      <c r="A483" t="s">
        <v>708</v>
      </c>
      <c r="B483" s="3">
        <v>45763</v>
      </c>
      <c r="C483" t="s">
        <v>451</v>
      </c>
      <c r="D483" t="s">
        <v>30</v>
      </c>
      <c r="E483" t="s">
        <v>15</v>
      </c>
      <c r="F483" t="s">
        <v>16</v>
      </c>
      <c r="G483" t="s">
        <v>17</v>
      </c>
      <c r="H483">
        <v>1</v>
      </c>
      <c r="I483">
        <v>13794</v>
      </c>
      <c r="J483">
        <v>0.2</v>
      </c>
      <c r="K483">
        <v>11035.2</v>
      </c>
      <c r="L483">
        <v>1754.94</v>
      </c>
    </row>
    <row r="484" spans="1:12" x14ac:dyDescent="0.3">
      <c r="A484" t="s">
        <v>709</v>
      </c>
      <c r="B484" s="3">
        <v>45807</v>
      </c>
      <c r="C484" t="s">
        <v>401</v>
      </c>
      <c r="D484" t="s">
        <v>50</v>
      </c>
      <c r="E484" t="s">
        <v>51</v>
      </c>
      <c r="F484" t="s">
        <v>27</v>
      </c>
      <c r="G484" t="s">
        <v>28</v>
      </c>
      <c r="H484">
        <v>3</v>
      </c>
      <c r="I484">
        <v>1518</v>
      </c>
      <c r="J484">
        <v>0.25</v>
      </c>
      <c r="K484">
        <v>3415.5</v>
      </c>
      <c r="L484">
        <v>290.83999999999997</v>
      </c>
    </row>
    <row r="485" spans="1:12" x14ac:dyDescent="0.3">
      <c r="A485" t="s">
        <v>710</v>
      </c>
      <c r="B485" s="3">
        <v>45908</v>
      </c>
      <c r="C485" t="s">
        <v>174</v>
      </c>
      <c r="D485" t="s">
        <v>80</v>
      </c>
      <c r="E485" t="s">
        <v>51</v>
      </c>
      <c r="F485" t="s">
        <v>27</v>
      </c>
      <c r="G485" t="s">
        <v>28</v>
      </c>
      <c r="H485">
        <v>4</v>
      </c>
      <c r="I485">
        <v>52247</v>
      </c>
      <c r="J485">
        <v>0.1</v>
      </c>
      <c r="K485">
        <v>188089.2</v>
      </c>
      <c r="L485">
        <v>23423.73</v>
      </c>
    </row>
    <row r="486" spans="1:12" x14ac:dyDescent="0.3">
      <c r="A486" t="s">
        <v>711</v>
      </c>
      <c r="B486" s="3">
        <v>45894</v>
      </c>
      <c r="C486" t="s">
        <v>116</v>
      </c>
      <c r="D486" t="s">
        <v>153</v>
      </c>
      <c r="E486" t="s">
        <v>26</v>
      </c>
      <c r="F486" t="s">
        <v>27</v>
      </c>
      <c r="G486" t="s">
        <v>28</v>
      </c>
      <c r="H486">
        <v>2</v>
      </c>
      <c r="I486">
        <v>5817</v>
      </c>
      <c r="J486">
        <v>0.15</v>
      </c>
      <c r="K486">
        <v>9888.9</v>
      </c>
      <c r="L486">
        <v>2223.48</v>
      </c>
    </row>
    <row r="487" spans="1:12" x14ac:dyDescent="0.3">
      <c r="A487" t="s">
        <v>712</v>
      </c>
      <c r="B487" s="3">
        <v>45991</v>
      </c>
      <c r="C487" t="s">
        <v>713</v>
      </c>
      <c r="D487" t="s">
        <v>30</v>
      </c>
      <c r="E487" t="s">
        <v>15</v>
      </c>
      <c r="F487" t="s">
        <v>58</v>
      </c>
      <c r="G487" t="s">
        <v>126</v>
      </c>
      <c r="H487">
        <v>1</v>
      </c>
      <c r="I487">
        <v>7688</v>
      </c>
      <c r="J487">
        <v>0</v>
      </c>
      <c r="K487">
        <v>7688</v>
      </c>
      <c r="L487">
        <v>976.37</v>
      </c>
    </row>
    <row r="488" spans="1:12" x14ac:dyDescent="0.3">
      <c r="A488" t="s">
        <v>714</v>
      </c>
      <c r="B488" s="3">
        <v>45866</v>
      </c>
      <c r="C488" t="s">
        <v>354</v>
      </c>
      <c r="D488" t="s">
        <v>97</v>
      </c>
      <c r="E488" t="s">
        <v>44</v>
      </c>
      <c r="F488" t="s">
        <v>16</v>
      </c>
      <c r="G488" t="s">
        <v>17</v>
      </c>
      <c r="H488">
        <v>1</v>
      </c>
      <c r="I488">
        <v>1075</v>
      </c>
      <c r="J488">
        <v>0.2</v>
      </c>
      <c r="K488">
        <v>860</v>
      </c>
      <c r="L488">
        <v>140.97999999999999</v>
      </c>
    </row>
    <row r="489" spans="1:12" x14ac:dyDescent="0.3">
      <c r="A489" t="s">
        <v>715</v>
      </c>
      <c r="B489" s="3">
        <v>45844</v>
      </c>
      <c r="C489" t="s">
        <v>555</v>
      </c>
      <c r="D489" t="s">
        <v>80</v>
      </c>
      <c r="E489" t="s">
        <v>51</v>
      </c>
      <c r="F489" t="s">
        <v>16</v>
      </c>
      <c r="G489" t="s">
        <v>104</v>
      </c>
      <c r="H489">
        <v>2</v>
      </c>
      <c r="I489">
        <v>45452</v>
      </c>
      <c r="J489">
        <v>0.15</v>
      </c>
      <c r="K489">
        <v>77268.399999999994</v>
      </c>
      <c r="L489">
        <v>10916.99</v>
      </c>
    </row>
    <row r="490" spans="1:12" x14ac:dyDescent="0.3">
      <c r="A490" t="s">
        <v>716</v>
      </c>
      <c r="B490" s="3">
        <v>45903</v>
      </c>
      <c r="C490" t="s">
        <v>191</v>
      </c>
      <c r="D490" t="s">
        <v>72</v>
      </c>
      <c r="E490" t="s">
        <v>73</v>
      </c>
      <c r="F490" t="s">
        <v>58</v>
      </c>
      <c r="G490" t="s">
        <v>59</v>
      </c>
      <c r="H490">
        <v>2</v>
      </c>
      <c r="I490">
        <v>511</v>
      </c>
      <c r="J490">
        <v>0.1</v>
      </c>
      <c r="K490">
        <v>919.80000000000007</v>
      </c>
      <c r="L490">
        <v>123.53</v>
      </c>
    </row>
    <row r="491" spans="1:12" x14ac:dyDescent="0.3">
      <c r="A491" t="s">
        <v>717</v>
      </c>
      <c r="B491" s="3">
        <v>45911</v>
      </c>
      <c r="C491" t="s">
        <v>403</v>
      </c>
      <c r="D491" t="s">
        <v>120</v>
      </c>
      <c r="E491" t="s">
        <v>51</v>
      </c>
      <c r="F491" t="s">
        <v>21</v>
      </c>
      <c r="G491" t="s">
        <v>35</v>
      </c>
      <c r="H491">
        <v>1</v>
      </c>
      <c r="I491">
        <v>799</v>
      </c>
      <c r="J491">
        <v>0.05</v>
      </c>
      <c r="K491">
        <v>759.05</v>
      </c>
      <c r="L491">
        <v>100.1</v>
      </c>
    </row>
    <row r="492" spans="1:12" x14ac:dyDescent="0.3">
      <c r="A492" t="s">
        <v>718</v>
      </c>
      <c r="B492" s="3">
        <v>46006</v>
      </c>
      <c r="C492" t="s">
        <v>719</v>
      </c>
      <c r="D492" t="s">
        <v>43</v>
      </c>
      <c r="E492" t="s">
        <v>44</v>
      </c>
      <c r="F492" t="s">
        <v>21</v>
      </c>
      <c r="G492" t="s">
        <v>55</v>
      </c>
      <c r="H492">
        <v>2</v>
      </c>
      <c r="I492">
        <v>645</v>
      </c>
      <c r="J492">
        <v>0.05</v>
      </c>
      <c r="K492">
        <v>1225.5</v>
      </c>
      <c r="L492">
        <v>179.41</v>
      </c>
    </row>
    <row r="493" spans="1:12" x14ac:dyDescent="0.3">
      <c r="A493" t="s">
        <v>720</v>
      </c>
      <c r="B493" s="3">
        <v>45942</v>
      </c>
      <c r="C493" t="s">
        <v>178</v>
      </c>
      <c r="D493" t="s">
        <v>120</v>
      </c>
      <c r="E493" t="s">
        <v>51</v>
      </c>
      <c r="F493" t="s">
        <v>58</v>
      </c>
      <c r="G493" t="s">
        <v>126</v>
      </c>
      <c r="H493">
        <v>1</v>
      </c>
      <c r="I493">
        <v>1110</v>
      </c>
      <c r="J493">
        <v>0.1</v>
      </c>
      <c r="K493">
        <v>999</v>
      </c>
      <c r="L493">
        <v>112.16</v>
      </c>
    </row>
    <row r="494" spans="1:12" x14ac:dyDescent="0.3">
      <c r="A494" t="s">
        <v>721</v>
      </c>
      <c r="B494" s="3">
        <v>45942</v>
      </c>
      <c r="C494" t="s">
        <v>463</v>
      </c>
      <c r="D494" t="s">
        <v>103</v>
      </c>
      <c r="E494" t="s">
        <v>51</v>
      </c>
      <c r="F494" t="s">
        <v>16</v>
      </c>
      <c r="G494" t="s">
        <v>17</v>
      </c>
      <c r="H494">
        <v>1</v>
      </c>
      <c r="I494">
        <v>3292</v>
      </c>
      <c r="J494">
        <v>0.05</v>
      </c>
      <c r="K494">
        <v>3127.3999999999996</v>
      </c>
      <c r="L494">
        <v>505.67</v>
      </c>
    </row>
    <row r="495" spans="1:12" x14ac:dyDescent="0.3">
      <c r="A495" t="s">
        <v>722</v>
      </c>
      <c r="B495" s="3">
        <v>45932</v>
      </c>
      <c r="C495" t="s">
        <v>300</v>
      </c>
      <c r="D495" t="s">
        <v>120</v>
      </c>
      <c r="E495" t="s">
        <v>51</v>
      </c>
      <c r="F495" t="s">
        <v>27</v>
      </c>
      <c r="G495" t="s">
        <v>28</v>
      </c>
      <c r="H495">
        <v>2</v>
      </c>
      <c r="I495">
        <v>748</v>
      </c>
      <c r="J495">
        <v>0.1</v>
      </c>
      <c r="K495">
        <v>1346.4</v>
      </c>
      <c r="L495">
        <v>177.68</v>
      </c>
    </row>
    <row r="496" spans="1:12" x14ac:dyDescent="0.3">
      <c r="A496" t="s">
        <v>723</v>
      </c>
      <c r="B496" s="3">
        <v>45888</v>
      </c>
      <c r="C496" t="s">
        <v>319</v>
      </c>
      <c r="D496" t="s">
        <v>30</v>
      </c>
      <c r="E496" t="s">
        <v>15</v>
      </c>
      <c r="F496" t="s">
        <v>21</v>
      </c>
      <c r="G496" t="s">
        <v>35</v>
      </c>
      <c r="H496">
        <v>1</v>
      </c>
      <c r="I496">
        <v>10657</v>
      </c>
      <c r="J496">
        <v>0.15</v>
      </c>
      <c r="K496">
        <v>9058.4499999999989</v>
      </c>
      <c r="L496">
        <v>2156.85</v>
      </c>
    </row>
    <row r="497" spans="1:12" x14ac:dyDescent="0.3">
      <c r="A497" t="s">
        <v>724</v>
      </c>
      <c r="B497" s="3">
        <v>45662</v>
      </c>
      <c r="C497" t="s">
        <v>358</v>
      </c>
      <c r="D497" t="s">
        <v>72</v>
      </c>
      <c r="E497" t="s">
        <v>73</v>
      </c>
      <c r="F497" t="s">
        <v>27</v>
      </c>
      <c r="G497" t="s">
        <v>40</v>
      </c>
      <c r="H497">
        <v>1</v>
      </c>
      <c r="I497">
        <v>951</v>
      </c>
      <c r="J497">
        <v>0.05</v>
      </c>
      <c r="K497">
        <v>903.44999999999993</v>
      </c>
      <c r="L497">
        <v>193.57</v>
      </c>
    </row>
    <row r="498" spans="1:12" x14ac:dyDescent="0.3">
      <c r="A498" t="s">
        <v>725</v>
      </c>
      <c r="B498" s="3">
        <v>45752</v>
      </c>
      <c r="C498" t="s">
        <v>713</v>
      </c>
      <c r="D498" t="s">
        <v>92</v>
      </c>
      <c r="E498" t="s">
        <v>51</v>
      </c>
      <c r="F498" t="s">
        <v>58</v>
      </c>
      <c r="G498" t="s">
        <v>69</v>
      </c>
      <c r="H498">
        <v>5</v>
      </c>
      <c r="I498">
        <v>24636</v>
      </c>
      <c r="J498">
        <v>0.15</v>
      </c>
      <c r="K498">
        <v>104703</v>
      </c>
      <c r="L498">
        <v>22184.95</v>
      </c>
    </row>
    <row r="499" spans="1:12" x14ac:dyDescent="0.3">
      <c r="A499" t="s">
        <v>726</v>
      </c>
      <c r="B499" s="3">
        <v>45945</v>
      </c>
      <c r="C499" t="s">
        <v>234</v>
      </c>
      <c r="D499" t="s">
        <v>202</v>
      </c>
      <c r="E499" t="s">
        <v>44</v>
      </c>
      <c r="F499" t="s">
        <v>16</v>
      </c>
      <c r="G499" t="s">
        <v>52</v>
      </c>
      <c r="H499">
        <v>2</v>
      </c>
      <c r="I499">
        <v>1969</v>
      </c>
      <c r="J499">
        <v>0.05</v>
      </c>
      <c r="K499">
        <v>3741.1</v>
      </c>
      <c r="L499">
        <v>546.41</v>
      </c>
    </row>
    <row r="500" spans="1:12" x14ac:dyDescent="0.3">
      <c r="A500" t="s">
        <v>727</v>
      </c>
      <c r="B500" s="3">
        <v>45902</v>
      </c>
      <c r="C500" t="s">
        <v>719</v>
      </c>
      <c r="D500" t="s">
        <v>65</v>
      </c>
      <c r="E500" t="s">
        <v>26</v>
      </c>
      <c r="F500" t="s">
        <v>27</v>
      </c>
      <c r="G500" t="s">
        <v>31</v>
      </c>
      <c r="H500">
        <v>2</v>
      </c>
      <c r="I500">
        <v>2120</v>
      </c>
      <c r="J500">
        <v>0</v>
      </c>
      <c r="K500">
        <v>4240</v>
      </c>
      <c r="L500">
        <v>423.62</v>
      </c>
    </row>
    <row r="501" spans="1:12" x14ac:dyDescent="0.3">
      <c r="A501" t="s">
        <v>728</v>
      </c>
      <c r="B501" s="3">
        <v>45866</v>
      </c>
      <c r="C501" t="s">
        <v>178</v>
      </c>
      <c r="D501" t="s">
        <v>92</v>
      </c>
      <c r="E501" t="s">
        <v>51</v>
      </c>
      <c r="F501" t="s">
        <v>21</v>
      </c>
      <c r="G501" t="s">
        <v>22</v>
      </c>
      <c r="H501">
        <v>4</v>
      </c>
      <c r="I501">
        <v>24871</v>
      </c>
      <c r="J501">
        <v>0.05</v>
      </c>
      <c r="K501">
        <v>94509.799999999988</v>
      </c>
      <c r="L501">
        <v>11536.22</v>
      </c>
    </row>
    <row r="502" spans="1:12" x14ac:dyDescent="0.3">
      <c r="A502" t="s">
        <v>729</v>
      </c>
      <c r="B502" s="3">
        <v>45953</v>
      </c>
      <c r="C502" t="s">
        <v>310</v>
      </c>
      <c r="D502" t="s">
        <v>307</v>
      </c>
      <c r="E502" t="s">
        <v>73</v>
      </c>
      <c r="F502" t="s">
        <v>21</v>
      </c>
      <c r="G502" t="s">
        <v>22</v>
      </c>
      <c r="H502">
        <v>1</v>
      </c>
      <c r="I502">
        <v>437</v>
      </c>
      <c r="J502">
        <v>0</v>
      </c>
      <c r="K502">
        <v>437</v>
      </c>
      <c r="L502">
        <v>48.23</v>
      </c>
    </row>
    <row r="503" spans="1:12" x14ac:dyDescent="0.3">
      <c r="A503" t="s">
        <v>730</v>
      </c>
      <c r="B503" s="3">
        <v>45973</v>
      </c>
      <c r="C503" t="s">
        <v>731</v>
      </c>
      <c r="D503" t="s">
        <v>25</v>
      </c>
      <c r="E503" t="s">
        <v>26</v>
      </c>
      <c r="F503" t="s">
        <v>58</v>
      </c>
      <c r="G503" t="s">
        <v>69</v>
      </c>
      <c r="H503">
        <v>1</v>
      </c>
      <c r="I503">
        <v>10537</v>
      </c>
      <c r="J503">
        <v>0</v>
      </c>
      <c r="K503">
        <v>10537</v>
      </c>
      <c r="L503">
        <v>881.71</v>
      </c>
    </row>
    <row r="504" spans="1:12" x14ac:dyDescent="0.3">
      <c r="A504" t="s">
        <v>732</v>
      </c>
      <c r="B504" s="3">
        <v>46018</v>
      </c>
      <c r="C504" t="s">
        <v>187</v>
      </c>
      <c r="D504" t="s">
        <v>72</v>
      </c>
      <c r="E504" t="s">
        <v>73</v>
      </c>
      <c r="F504" t="s">
        <v>58</v>
      </c>
      <c r="G504" t="s">
        <v>126</v>
      </c>
      <c r="H504">
        <v>2</v>
      </c>
      <c r="I504">
        <v>489</v>
      </c>
      <c r="J504">
        <v>0.1</v>
      </c>
      <c r="K504">
        <v>880.2</v>
      </c>
      <c r="L504">
        <v>107.8</v>
      </c>
    </row>
    <row r="505" spans="1:12" x14ac:dyDescent="0.3">
      <c r="A505" t="s">
        <v>733</v>
      </c>
      <c r="B505" s="3">
        <v>45746</v>
      </c>
      <c r="C505" t="s">
        <v>595</v>
      </c>
      <c r="D505" t="s">
        <v>92</v>
      </c>
      <c r="E505" t="s">
        <v>51</v>
      </c>
      <c r="F505" t="s">
        <v>21</v>
      </c>
      <c r="G505" t="s">
        <v>55</v>
      </c>
      <c r="H505">
        <v>4</v>
      </c>
      <c r="I505">
        <v>14312</v>
      </c>
      <c r="J505">
        <v>0.05</v>
      </c>
      <c r="K505">
        <v>54385.599999999999</v>
      </c>
      <c r="L505">
        <v>4499.67</v>
      </c>
    </row>
    <row r="506" spans="1:12" x14ac:dyDescent="0.3">
      <c r="A506" t="s">
        <v>734</v>
      </c>
      <c r="B506" s="3">
        <v>45717</v>
      </c>
      <c r="C506" t="s">
        <v>260</v>
      </c>
      <c r="D506" t="s">
        <v>72</v>
      </c>
      <c r="E506" t="s">
        <v>73</v>
      </c>
      <c r="F506" t="s">
        <v>21</v>
      </c>
      <c r="G506" t="s">
        <v>22</v>
      </c>
      <c r="H506">
        <v>3</v>
      </c>
      <c r="I506">
        <v>889</v>
      </c>
      <c r="J506">
        <v>0.15</v>
      </c>
      <c r="K506">
        <v>2266.9499999999998</v>
      </c>
      <c r="L506">
        <v>404.7</v>
      </c>
    </row>
    <row r="507" spans="1:12" x14ac:dyDescent="0.3">
      <c r="A507" t="s">
        <v>735</v>
      </c>
      <c r="B507" s="3">
        <v>45672</v>
      </c>
      <c r="C507" t="s">
        <v>295</v>
      </c>
      <c r="D507" t="s">
        <v>307</v>
      </c>
      <c r="E507" t="s">
        <v>73</v>
      </c>
      <c r="F507" t="s">
        <v>27</v>
      </c>
      <c r="G507" t="s">
        <v>28</v>
      </c>
      <c r="H507">
        <v>4</v>
      </c>
      <c r="I507">
        <v>293</v>
      </c>
      <c r="J507">
        <v>0.1</v>
      </c>
      <c r="K507">
        <v>1054.8</v>
      </c>
      <c r="L507">
        <v>189.92</v>
      </c>
    </row>
    <row r="508" spans="1:12" x14ac:dyDescent="0.3">
      <c r="A508" t="s">
        <v>736</v>
      </c>
      <c r="B508" s="3">
        <v>45819</v>
      </c>
      <c r="C508" t="s">
        <v>225</v>
      </c>
      <c r="D508" t="s">
        <v>47</v>
      </c>
      <c r="E508" t="s">
        <v>26</v>
      </c>
      <c r="F508" t="s">
        <v>27</v>
      </c>
      <c r="G508" t="s">
        <v>40</v>
      </c>
      <c r="H508">
        <v>4</v>
      </c>
      <c r="I508">
        <v>13099</v>
      </c>
      <c r="J508">
        <v>0</v>
      </c>
      <c r="K508">
        <v>52396</v>
      </c>
      <c r="L508">
        <v>11681.36</v>
      </c>
    </row>
    <row r="509" spans="1:12" x14ac:dyDescent="0.3">
      <c r="A509" t="s">
        <v>737</v>
      </c>
      <c r="B509" s="3">
        <v>46013</v>
      </c>
      <c r="C509" t="s">
        <v>346</v>
      </c>
      <c r="D509" t="s">
        <v>88</v>
      </c>
      <c r="E509" t="s">
        <v>73</v>
      </c>
      <c r="F509" t="s">
        <v>21</v>
      </c>
      <c r="G509" t="s">
        <v>35</v>
      </c>
      <c r="H509">
        <v>2</v>
      </c>
      <c r="I509">
        <v>254</v>
      </c>
      <c r="J509">
        <v>0.15</v>
      </c>
      <c r="K509">
        <v>431.8</v>
      </c>
      <c r="L509">
        <v>87.61</v>
      </c>
    </row>
    <row r="510" spans="1:12" x14ac:dyDescent="0.3">
      <c r="A510" t="s">
        <v>738</v>
      </c>
      <c r="B510" s="3">
        <v>45844</v>
      </c>
      <c r="C510" t="s">
        <v>206</v>
      </c>
      <c r="D510" t="s">
        <v>20</v>
      </c>
      <c r="E510" t="s">
        <v>15</v>
      </c>
      <c r="F510" t="s">
        <v>58</v>
      </c>
      <c r="G510" t="s">
        <v>59</v>
      </c>
      <c r="H510">
        <v>4</v>
      </c>
      <c r="I510">
        <v>8584</v>
      </c>
      <c r="J510">
        <v>0</v>
      </c>
      <c r="K510">
        <v>34336</v>
      </c>
      <c r="L510">
        <v>5784.7</v>
      </c>
    </row>
    <row r="511" spans="1:12" x14ac:dyDescent="0.3">
      <c r="A511" t="s">
        <v>739</v>
      </c>
      <c r="B511" s="3">
        <v>45974</v>
      </c>
      <c r="C511" t="s">
        <v>358</v>
      </c>
      <c r="D511" t="s">
        <v>14</v>
      </c>
      <c r="E511" t="s">
        <v>15</v>
      </c>
      <c r="F511" t="s">
        <v>16</v>
      </c>
      <c r="G511" t="s">
        <v>104</v>
      </c>
      <c r="H511">
        <v>1</v>
      </c>
      <c r="I511">
        <v>7615</v>
      </c>
      <c r="J511">
        <v>0</v>
      </c>
      <c r="K511">
        <v>7615</v>
      </c>
      <c r="L511">
        <v>1875.6</v>
      </c>
    </row>
    <row r="512" spans="1:12" x14ac:dyDescent="0.3">
      <c r="A512" t="s">
        <v>740</v>
      </c>
      <c r="B512" s="3">
        <v>45761</v>
      </c>
      <c r="C512" t="s">
        <v>90</v>
      </c>
      <c r="D512" t="s">
        <v>47</v>
      </c>
      <c r="E512" t="s">
        <v>26</v>
      </c>
      <c r="F512" t="s">
        <v>16</v>
      </c>
      <c r="G512" t="s">
        <v>17</v>
      </c>
      <c r="H512">
        <v>1</v>
      </c>
      <c r="I512">
        <v>11482</v>
      </c>
      <c r="J512">
        <v>0.2</v>
      </c>
      <c r="K512">
        <v>9185.6</v>
      </c>
      <c r="L512">
        <v>759.9</v>
      </c>
    </row>
    <row r="513" spans="1:12" x14ac:dyDescent="0.3">
      <c r="A513" t="s">
        <v>741</v>
      </c>
      <c r="B513" s="3">
        <v>45847</v>
      </c>
      <c r="C513" t="s">
        <v>248</v>
      </c>
      <c r="D513" t="s">
        <v>30</v>
      </c>
      <c r="E513" t="s">
        <v>15</v>
      </c>
      <c r="F513" t="s">
        <v>27</v>
      </c>
      <c r="G513" t="s">
        <v>40</v>
      </c>
      <c r="H513">
        <v>2</v>
      </c>
      <c r="I513">
        <v>12586</v>
      </c>
      <c r="J513">
        <v>0.2</v>
      </c>
      <c r="K513">
        <v>20137.600000000002</v>
      </c>
      <c r="L513">
        <v>3889.56</v>
      </c>
    </row>
    <row r="514" spans="1:12" x14ac:dyDescent="0.3">
      <c r="A514" t="s">
        <v>742</v>
      </c>
      <c r="B514" s="3">
        <v>45982</v>
      </c>
      <c r="C514" t="s">
        <v>535</v>
      </c>
      <c r="D514" t="s">
        <v>80</v>
      </c>
      <c r="E514" t="s">
        <v>51</v>
      </c>
      <c r="F514" t="s">
        <v>16</v>
      </c>
      <c r="G514" t="s">
        <v>104</v>
      </c>
      <c r="H514">
        <v>1</v>
      </c>
      <c r="I514">
        <v>54612</v>
      </c>
      <c r="J514">
        <v>0</v>
      </c>
      <c r="K514">
        <v>54612</v>
      </c>
      <c r="L514">
        <v>7808.63</v>
      </c>
    </row>
    <row r="515" spans="1:12" x14ac:dyDescent="0.3">
      <c r="A515" t="s">
        <v>743</v>
      </c>
      <c r="B515" s="3">
        <v>45875</v>
      </c>
      <c r="C515" t="s">
        <v>145</v>
      </c>
      <c r="D515" t="s">
        <v>50</v>
      </c>
      <c r="E515" t="s">
        <v>51</v>
      </c>
      <c r="F515" t="s">
        <v>58</v>
      </c>
      <c r="G515" t="s">
        <v>69</v>
      </c>
      <c r="H515">
        <v>1</v>
      </c>
      <c r="I515">
        <v>3207</v>
      </c>
      <c r="J515">
        <v>0.05</v>
      </c>
      <c r="K515">
        <v>3046.6499999999996</v>
      </c>
      <c r="L515">
        <v>438.73</v>
      </c>
    </row>
    <row r="516" spans="1:12" x14ac:dyDescent="0.3">
      <c r="A516" t="s">
        <v>744</v>
      </c>
      <c r="B516" s="3">
        <v>45665</v>
      </c>
      <c r="C516" t="s">
        <v>119</v>
      </c>
      <c r="D516" t="s">
        <v>34</v>
      </c>
      <c r="E516" t="s">
        <v>15</v>
      </c>
      <c r="F516" t="s">
        <v>58</v>
      </c>
      <c r="G516" t="s">
        <v>69</v>
      </c>
      <c r="H516">
        <v>1</v>
      </c>
      <c r="I516">
        <v>9398</v>
      </c>
      <c r="J516">
        <v>0.1</v>
      </c>
      <c r="K516">
        <v>8458.2000000000007</v>
      </c>
      <c r="L516">
        <v>893.74</v>
      </c>
    </row>
    <row r="517" spans="1:12" x14ac:dyDescent="0.3">
      <c r="A517" t="s">
        <v>745</v>
      </c>
      <c r="B517" s="3">
        <v>45824</v>
      </c>
      <c r="C517" t="s">
        <v>165</v>
      </c>
      <c r="D517" t="s">
        <v>83</v>
      </c>
      <c r="E517" t="s">
        <v>73</v>
      </c>
      <c r="F517" t="s">
        <v>21</v>
      </c>
      <c r="G517" t="s">
        <v>35</v>
      </c>
      <c r="H517">
        <v>4</v>
      </c>
      <c r="I517">
        <v>575</v>
      </c>
      <c r="J517">
        <v>0.15</v>
      </c>
      <c r="K517">
        <v>1955</v>
      </c>
      <c r="L517">
        <v>398.5</v>
      </c>
    </row>
    <row r="518" spans="1:12" x14ac:dyDescent="0.3">
      <c r="A518" t="s">
        <v>746</v>
      </c>
      <c r="B518" s="3">
        <v>46022</v>
      </c>
      <c r="C518" t="s">
        <v>617</v>
      </c>
      <c r="D518" t="s">
        <v>83</v>
      </c>
      <c r="E518" t="s">
        <v>73</v>
      </c>
      <c r="F518" t="s">
        <v>27</v>
      </c>
      <c r="G518" t="s">
        <v>31</v>
      </c>
      <c r="H518">
        <v>3</v>
      </c>
      <c r="I518">
        <v>378</v>
      </c>
      <c r="J518">
        <v>0</v>
      </c>
      <c r="K518">
        <v>1134</v>
      </c>
      <c r="L518">
        <v>309.24</v>
      </c>
    </row>
    <row r="519" spans="1:12" x14ac:dyDescent="0.3">
      <c r="A519" t="s">
        <v>747</v>
      </c>
      <c r="B519" s="3">
        <v>45677</v>
      </c>
      <c r="C519" t="s">
        <v>317</v>
      </c>
      <c r="D519" t="s">
        <v>153</v>
      </c>
      <c r="E519" t="s">
        <v>26</v>
      </c>
      <c r="F519" t="s">
        <v>58</v>
      </c>
      <c r="G519" t="s">
        <v>126</v>
      </c>
      <c r="H519">
        <v>2</v>
      </c>
      <c r="I519">
        <v>8743</v>
      </c>
      <c r="J519">
        <v>0.25</v>
      </c>
      <c r="K519">
        <v>13114.5</v>
      </c>
      <c r="L519">
        <v>2292.85</v>
      </c>
    </row>
    <row r="520" spans="1:12" x14ac:dyDescent="0.3">
      <c r="A520" t="s">
        <v>748</v>
      </c>
      <c r="B520" s="3">
        <v>45755</v>
      </c>
      <c r="C520" t="s">
        <v>278</v>
      </c>
      <c r="D520" t="s">
        <v>153</v>
      </c>
      <c r="E520" t="s">
        <v>26</v>
      </c>
      <c r="F520" t="s">
        <v>16</v>
      </c>
      <c r="G520" t="s">
        <v>104</v>
      </c>
      <c r="H520">
        <v>2</v>
      </c>
      <c r="I520">
        <v>7670</v>
      </c>
      <c r="J520">
        <v>0.05</v>
      </c>
      <c r="K520">
        <v>14573</v>
      </c>
      <c r="L520">
        <v>2062.87</v>
      </c>
    </row>
    <row r="521" spans="1:12" x14ac:dyDescent="0.3">
      <c r="A521" t="s">
        <v>749</v>
      </c>
      <c r="B521" s="3">
        <v>45709</v>
      </c>
      <c r="C521" t="s">
        <v>257</v>
      </c>
      <c r="D521" t="s">
        <v>50</v>
      </c>
      <c r="E521" t="s">
        <v>51</v>
      </c>
      <c r="F521" t="s">
        <v>21</v>
      </c>
      <c r="G521" t="s">
        <v>22</v>
      </c>
      <c r="H521">
        <v>3</v>
      </c>
      <c r="I521">
        <v>1785</v>
      </c>
      <c r="J521">
        <v>0.1</v>
      </c>
      <c r="K521">
        <v>4819.5</v>
      </c>
      <c r="L521">
        <v>834.91</v>
      </c>
    </row>
    <row r="522" spans="1:12" x14ac:dyDescent="0.3">
      <c r="A522" t="s">
        <v>750</v>
      </c>
      <c r="B522" s="3">
        <v>45708</v>
      </c>
      <c r="C522" t="s">
        <v>125</v>
      </c>
      <c r="D522" t="s">
        <v>307</v>
      </c>
      <c r="E522" t="s">
        <v>73</v>
      </c>
      <c r="F522" t="s">
        <v>27</v>
      </c>
      <c r="G522" t="s">
        <v>31</v>
      </c>
      <c r="H522">
        <v>4</v>
      </c>
      <c r="I522">
        <v>88</v>
      </c>
      <c r="J522">
        <v>0.05</v>
      </c>
      <c r="K522">
        <v>334.4</v>
      </c>
      <c r="L522">
        <v>30.56</v>
      </c>
    </row>
    <row r="523" spans="1:12" x14ac:dyDescent="0.3">
      <c r="A523" t="s">
        <v>751</v>
      </c>
      <c r="B523" s="3">
        <v>45917</v>
      </c>
      <c r="C523" t="s">
        <v>636</v>
      </c>
      <c r="D523" t="s">
        <v>68</v>
      </c>
      <c r="E523" t="s">
        <v>44</v>
      </c>
      <c r="F523" t="s">
        <v>58</v>
      </c>
      <c r="G523" t="s">
        <v>69</v>
      </c>
      <c r="H523">
        <v>1</v>
      </c>
      <c r="I523">
        <v>6489</v>
      </c>
      <c r="J523">
        <v>0.05</v>
      </c>
      <c r="K523">
        <v>6164.5499999999993</v>
      </c>
      <c r="L523">
        <v>1001.47</v>
      </c>
    </row>
    <row r="524" spans="1:12" x14ac:dyDescent="0.3">
      <c r="A524" t="s">
        <v>752</v>
      </c>
      <c r="B524" s="3">
        <v>45970</v>
      </c>
      <c r="C524" t="s">
        <v>468</v>
      </c>
      <c r="D524" t="s">
        <v>120</v>
      </c>
      <c r="E524" t="s">
        <v>51</v>
      </c>
      <c r="F524" t="s">
        <v>16</v>
      </c>
      <c r="G524" t="s">
        <v>17</v>
      </c>
      <c r="H524">
        <v>1</v>
      </c>
      <c r="I524">
        <v>512</v>
      </c>
      <c r="J524">
        <v>0.05</v>
      </c>
      <c r="K524">
        <v>486.4</v>
      </c>
      <c r="L524">
        <v>88.13</v>
      </c>
    </row>
    <row r="525" spans="1:12" x14ac:dyDescent="0.3">
      <c r="A525" t="s">
        <v>753</v>
      </c>
      <c r="B525" s="3">
        <v>45865</v>
      </c>
      <c r="C525" t="s">
        <v>238</v>
      </c>
      <c r="D525" t="s">
        <v>120</v>
      </c>
      <c r="E525" t="s">
        <v>51</v>
      </c>
      <c r="F525" t="s">
        <v>58</v>
      </c>
      <c r="G525" t="s">
        <v>59</v>
      </c>
      <c r="H525">
        <v>1</v>
      </c>
      <c r="I525">
        <v>2094</v>
      </c>
      <c r="J525">
        <v>0.15</v>
      </c>
      <c r="K525">
        <v>1779.8999999999999</v>
      </c>
      <c r="L525">
        <v>303.33</v>
      </c>
    </row>
    <row r="526" spans="1:12" x14ac:dyDescent="0.3">
      <c r="A526" t="s">
        <v>754</v>
      </c>
      <c r="B526" s="3">
        <v>45721</v>
      </c>
      <c r="C526" t="s">
        <v>191</v>
      </c>
      <c r="D526" t="s">
        <v>50</v>
      </c>
      <c r="E526" t="s">
        <v>51</v>
      </c>
      <c r="F526" t="s">
        <v>16</v>
      </c>
      <c r="G526" t="s">
        <v>52</v>
      </c>
      <c r="H526">
        <v>2</v>
      </c>
      <c r="I526">
        <v>1872</v>
      </c>
      <c r="J526">
        <v>0.05</v>
      </c>
      <c r="K526">
        <v>3556.7999999999997</v>
      </c>
      <c r="L526">
        <v>579.73</v>
      </c>
    </row>
    <row r="527" spans="1:12" x14ac:dyDescent="0.3">
      <c r="A527" t="s">
        <v>755</v>
      </c>
      <c r="B527" s="3">
        <v>45987</v>
      </c>
      <c r="C527" t="s">
        <v>61</v>
      </c>
      <c r="D527" t="s">
        <v>25</v>
      </c>
      <c r="E527" t="s">
        <v>26</v>
      </c>
      <c r="F527" t="s">
        <v>58</v>
      </c>
      <c r="G527" t="s">
        <v>126</v>
      </c>
      <c r="H527">
        <v>2</v>
      </c>
      <c r="I527">
        <v>13222</v>
      </c>
      <c r="J527">
        <v>0.1</v>
      </c>
      <c r="K527">
        <v>23799.600000000002</v>
      </c>
      <c r="L527">
        <v>3814.89</v>
      </c>
    </row>
    <row r="528" spans="1:12" x14ac:dyDescent="0.3">
      <c r="A528" t="s">
        <v>756</v>
      </c>
      <c r="B528" s="3">
        <v>45661</v>
      </c>
      <c r="C528" t="s">
        <v>211</v>
      </c>
      <c r="D528" t="s">
        <v>20</v>
      </c>
      <c r="E528" t="s">
        <v>15</v>
      </c>
      <c r="F528" t="s">
        <v>58</v>
      </c>
      <c r="G528" t="s">
        <v>69</v>
      </c>
      <c r="H528">
        <v>3</v>
      </c>
      <c r="I528">
        <v>7297</v>
      </c>
      <c r="J528">
        <v>0</v>
      </c>
      <c r="K528">
        <v>21891</v>
      </c>
      <c r="L528">
        <v>4169.6499999999996</v>
      </c>
    </row>
    <row r="529" spans="1:12" x14ac:dyDescent="0.3">
      <c r="A529" t="s">
        <v>757</v>
      </c>
      <c r="B529" s="3">
        <v>45949</v>
      </c>
      <c r="C529" t="s">
        <v>705</v>
      </c>
      <c r="D529" t="s">
        <v>202</v>
      </c>
      <c r="E529" t="s">
        <v>44</v>
      </c>
      <c r="F529" t="s">
        <v>21</v>
      </c>
      <c r="G529" t="s">
        <v>35</v>
      </c>
      <c r="H529">
        <v>2</v>
      </c>
      <c r="I529">
        <v>1106</v>
      </c>
      <c r="J529">
        <v>0.1</v>
      </c>
      <c r="K529">
        <v>1990.8</v>
      </c>
      <c r="L529">
        <v>520.79999999999995</v>
      </c>
    </row>
    <row r="530" spans="1:12" x14ac:dyDescent="0.3">
      <c r="A530" t="s">
        <v>758</v>
      </c>
      <c r="B530" s="3">
        <v>45704</v>
      </c>
      <c r="C530" t="s">
        <v>303</v>
      </c>
      <c r="D530" t="s">
        <v>103</v>
      </c>
      <c r="E530" t="s">
        <v>51</v>
      </c>
      <c r="F530" t="s">
        <v>21</v>
      </c>
      <c r="G530" t="s">
        <v>22</v>
      </c>
      <c r="H530">
        <v>4</v>
      </c>
      <c r="I530">
        <v>4098</v>
      </c>
      <c r="J530">
        <v>0.1</v>
      </c>
      <c r="K530">
        <v>14752.800000000001</v>
      </c>
      <c r="L530">
        <v>2725.32</v>
      </c>
    </row>
    <row r="531" spans="1:12" x14ac:dyDescent="0.3">
      <c r="A531" t="s">
        <v>759</v>
      </c>
      <c r="B531" s="3">
        <v>45815</v>
      </c>
      <c r="C531" t="s">
        <v>482</v>
      </c>
      <c r="D531" t="s">
        <v>88</v>
      </c>
      <c r="E531" t="s">
        <v>73</v>
      </c>
      <c r="F531" t="s">
        <v>58</v>
      </c>
      <c r="G531" t="s">
        <v>69</v>
      </c>
      <c r="H531">
        <v>1</v>
      </c>
      <c r="I531">
        <v>496</v>
      </c>
      <c r="J531">
        <v>0.2</v>
      </c>
      <c r="K531">
        <v>396.8</v>
      </c>
      <c r="L531">
        <v>60.3</v>
      </c>
    </row>
    <row r="532" spans="1:12" x14ac:dyDescent="0.3">
      <c r="A532" t="s">
        <v>760</v>
      </c>
      <c r="B532" s="3">
        <v>46003</v>
      </c>
      <c r="C532" t="s">
        <v>64</v>
      </c>
      <c r="D532" t="s">
        <v>103</v>
      </c>
      <c r="E532" t="s">
        <v>51</v>
      </c>
      <c r="F532" t="s">
        <v>58</v>
      </c>
      <c r="G532" t="s">
        <v>59</v>
      </c>
      <c r="H532">
        <v>5</v>
      </c>
      <c r="I532">
        <v>2582</v>
      </c>
      <c r="J532">
        <v>0.15</v>
      </c>
      <c r="K532">
        <v>10973.5</v>
      </c>
      <c r="L532">
        <v>966.29</v>
      </c>
    </row>
    <row r="533" spans="1:12" x14ac:dyDescent="0.3">
      <c r="A533" t="s">
        <v>761</v>
      </c>
      <c r="B533" s="3">
        <v>46014</v>
      </c>
      <c r="C533" t="s">
        <v>407</v>
      </c>
      <c r="D533" t="s">
        <v>25</v>
      </c>
      <c r="E533" t="s">
        <v>26</v>
      </c>
      <c r="F533" t="s">
        <v>16</v>
      </c>
      <c r="G533" t="s">
        <v>104</v>
      </c>
      <c r="H533">
        <v>1</v>
      </c>
      <c r="I533">
        <v>16741</v>
      </c>
      <c r="J533">
        <v>0</v>
      </c>
      <c r="K533">
        <v>16741</v>
      </c>
      <c r="L533">
        <v>3970.72</v>
      </c>
    </row>
    <row r="534" spans="1:12" x14ac:dyDescent="0.3">
      <c r="A534" t="s">
        <v>762</v>
      </c>
      <c r="B534" s="3">
        <v>45989</v>
      </c>
      <c r="C534" t="s">
        <v>223</v>
      </c>
      <c r="D534" t="s">
        <v>80</v>
      </c>
      <c r="E534" t="s">
        <v>51</v>
      </c>
      <c r="F534" t="s">
        <v>27</v>
      </c>
      <c r="G534" t="s">
        <v>28</v>
      </c>
      <c r="H534">
        <v>3</v>
      </c>
      <c r="I534">
        <v>56213</v>
      </c>
      <c r="J534">
        <v>0</v>
      </c>
      <c r="K534">
        <v>168639</v>
      </c>
      <c r="L534">
        <v>28326.48</v>
      </c>
    </row>
    <row r="535" spans="1:12" x14ac:dyDescent="0.3">
      <c r="A535" t="s">
        <v>763</v>
      </c>
      <c r="B535" s="3">
        <v>45916</v>
      </c>
      <c r="C535" t="s">
        <v>119</v>
      </c>
      <c r="D535" t="s">
        <v>120</v>
      </c>
      <c r="E535" t="s">
        <v>51</v>
      </c>
      <c r="F535" t="s">
        <v>27</v>
      </c>
      <c r="G535" t="s">
        <v>40</v>
      </c>
      <c r="H535">
        <v>1</v>
      </c>
      <c r="I535">
        <v>1227</v>
      </c>
      <c r="J535">
        <v>0.15</v>
      </c>
      <c r="K535">
        <v>1042.95</v>
      </c>
      <c r="L535">
        <v>272.32</v>
      </c>
    </row>
    <row r="536" spans="1:12" x14ac:dyDescent="0.3">
      <c r="A536" t="s">
        <v>764</v>
      </c>
      <c r="B536" s="3">
        <v>45867</v>
      </c>
      <c r="C536" t="s">
        <v>189</v>
      </c>
      <c r="D536" t="s">
        <v>92</v>
      </c>
      <c r="E536" t="s">
        <v>51</v>
      </c>
      <c r="F536" t="s">
        <v>16</v>
      </c>
      <c r="G536" t="s">
        <v>17</v>
      </c>
      <c r="H536">
        <v>1</v>
      </c>
      <c r="I536">
        <v>17057</v>
      </c>
      <c r="J536">
        <v>0</v>
      </c>
      <c r="K536">
        <v>17057</v>
      </c>
      <c r="L536">
        <v>2108.84</v>
      </c>
    </row>
    <row r="537" spans="1:12" x14ac:dyDescent="0.3">
      <c r="A537" t="s">
        <v>765</v>
      </c>
      <c r="B537" s="3">
        <v>45742</v>
      </c>
      <c r="C537" t="s">
        <v>238</v>
      </c>
      <c r="D537" t="s">
        <v>47</v>
      </c>
      <c r="E537" t="s">
        <v>26</v>
      </c>
      <c r="F537" t="s">
        <v>16</v>
      </c>
      <c r="G537" t="s">
        <v>52</v>
      </c>
      <c r="H537">
        <v>1</v>
      </c>
      <c r="I537">
        <v>21369</v>
      </c>
      <c r="J537">
        <v>0.1</v>
      </c>
      <c r="K537">
        <v>19232.100000000002</v>
      </c>
      <c r="L537">
        <v>3866</v>
      </c>
    </row>
    <row r="538" spans="1:12" x14ac:dyDescent="0.3">
      <c r="A538" t="s">
        <v>766</v>
      </c>
      <c r="B538" s="3">
        <v>45807</v>
      </c>
      <c r="C538" t="s">
        <v>363</v>
      </c>
      <c r="D538" t="s">
        <v>47</v>
      </c>
      <c r="E538" t="s">
        <v>26</v>
      </c>
      <c r="F538" t="s">
        <v>27</v>
      </c>
      <c r="G538" t="s">
        <v>28</v>
      </c>
      <c r="H538">
        <v>1</v>
      </c>
      <c r="I538">
        <v>16065</v>
      </c>
      <c r="J538">
        <v>0.15</v>
      </c>
      <c r="K538">
        <v>13655.25</v>
      </c>
      <c r="L538">
        <v>2521.86</v>
      </c>
    </row>
    <row r="539" spans="1:12" x14ac:dyDescent="0.3">
      <c r="A539" t="s">
        <v>767</v>
      </c>
      <c r="B539" s="3">
        <v>45780</v>
      </c>
      <c r="C539" t="s">
        <v>180</v>
      </c>
      <c r="D539" t="s">
        <v>25</v>
      </c>
      <c r="E539" t="s">
        <v>26</v>
      </c>
      <c r="F539" t="s">
        <v>16</v>
      </c>
      <c r="G539" t="s">
        <v>17</v>
      </c>
      <c r="H539">
        <v>1</v>
      </c>
      <c r="I539">
        <v>8214</v>
      </c>
      <c r="J539">
        <v>0</v>
      </c>
      <c r="K539">
        <v>8214</v>
      </c>
      <c r="L539">
        <v>1292.4000000000001</v>
      </c>
    </row>
    <row r="540" spans="1:12" x14ac:dyDescent="0.3">
      <c r="A540" t="s">
        <v>768</v>
      </c>
      <c r="B540" s="3">
        <v>45804</v>
      </c>
      <c r="C540" t="s">
        <v>238</v>
      </c>
      <c r="D540" t="s">
        <v>34</v>
      </c>
      <c r="E540" t="s">
        <v>15</v>
      </c>
      <c r="F540" t="s">
        <v>58</v>
      </c>
      <c r="G540" t="s">
        <v>126</v>
      </c>
      <c r="H540">
        <v>4</v>
      </c>
      <c r="I540">
        <v>11871</v>
      </c>
      <c r="J540">
        <v>0</v>
      </c>
      <c r="K540">
        <v>47484</v>
      </c>
      <c r="L540">
        <v>8304.33</v>
      </c>
    </row>
    <row r="541" spans="1:12" x14ac:dyDescent="0.3">
      <c r="A541" t="s">
        <v>769</v>
      </c>
      <c r="B541" s="3">
        <v>45673</v>
      </c>
      <c r="C541" t="s">
        <v>719</v>
      </c>
      <c r="D541" t="s">
        <v>103</v>
      </c>
      <c r="E541" t="s">
        <v>51</v>
      </c>
      <c r="F541" t="s">
        <v>21</v>
      </c>
      <c r="G541" t="s">
        <v>22</v>
      </c>
      <c r="H541">
        <v>2</v>
      </c>
      <c r="I541">
        <v>8049</v>
      </c>
      <c r="J541">
        <v>0.1</v>
      </c>
      <c r="K541">
        <v>14488.2</v>
      </c>
      <c r="L541">
        <v>3940.18</v>
      </c>
    </row>
    <row r="542" spans="1:12" x14ac:dyDescent="0.3">
      <c r="A542" t="s">
        <v>770</v>
      </c>
      <c r="B542" s="3">
        <v>45770</v>
      </c>
      <c r="C542" t="s">
        <v>77</v>
      </c>
      <c r="D542" t="s">
        <v>92</v>
      </c>
      <c r="E542" t="s">
        <v>51</v>
      </c>
      <c r="F542" t="s">
        <v>58</v>
      </c>
      <c r="G542" t="s">
        <v>69</v>
      </c>
      <c r="H542">
        <v>2</v>
      </c>
      <c r="I542">
        <v>9729</v>
      </c>
      <c r="J542">
        <v>0.2</v>
      </c>
      <c r="K542">
        <v>15566.400000000001</v>
      </c>
      <c r="L542">
        <v>3867.21</v>
      </c>
    </row>
    <row r="543" spans="1:12" x14ac:dyDescent="0.3">
      <c r="A543" t="s">
        <v>771</v>
      </c>
      <c r="B543" s="3">
        <v>45845</v>
      </c>
      <c r="C543" t="s">
        <v>228</v>
      </c>
      <c r="D543" t="s">
        <v>120</v>
      </c>
      <c r="E543" t="s">
        <v>51</v>
      </c>
      <c r="F543" t="s">
        <v>58</v>
      </c>
      <c r="G543" t="s">
        <v>126</v>
      </c>
      <c r="H543">
        <v>1</v>
      </c>
      <c r="I543">
        <v>1333</v>
      </c>
      <c r="J543">
        <v>0.05</v>
      </c>
      <c r="K543">
        <v>1266.3499999999999</v>
      </c>
      <c r="L543">
        <v>192.01</v>
      </c>
    </row>
    <row r="544" spans="1:12" x14ac:dyDescent="0.3">
      <c r="A544" t="s">
        <v>772</v>
      </c>
      <c r="B544" s="3">
        <v>45675</v>
      </c>
      <c r="C544" t="s">
        <v>313</v>
      </c>
      <c r="D544" t="s">
        <v>83</v>
      </c>
      <c r="E544" t="s">
        <v>73</v>
      </c>
      <c r="F544" t="s">
        <v>16</v>
      </c>
      <c r="G544" t="s">
        <v>52</v>
      </c>
      <c r="H544">
        <v>4</v>
      </c>
      <c r="I544">
        <v>309</v>
      </c>
      <c r="J544">
        <v>0.05</v>
      </c>
      <c r="K544">
        <v>1174.2</v>
      </c>
      <c r="L544">
        <v>251.84</v>
      </c>
    </row>
    <row r="545" spans="1:12" x14ac:dyDescent="0.3">
      <c r="A545" t="s">
        <v>773</v>
      </c>
      <c r="B545" s="3">
        <v>45817</v>
      </c>
      <c r="C545" t="s">
        <v>185</v>
      </c>
      <c r="D545" t="s">
        <v>88</v>
      </c>
      <c r="E545" t="s">
        <v>73</v>
      </c>
      <c r="F545" t="s">
        <v>21</v>
      </c>
      <c r="G545" t="s">
        <v>22</v>
      </c>
      <c r="H545">
        <v>2</v>
      </c>
      <c r="I545">
        <v>308</v>
      </c>
      <c r="J545">
        <v>0</v>
      </c>
      <c r="K545">
        <v>616</v>
      </c>
      <c r="L545">
        <v>90.6</v>
      </c>
    </row>
    <row r="546" spans="1:12" x14ac:dyDescent="0.3">
      <c r="A546" t="s">
        <v>774</v>
      </c>
      <c r="B546" s="3">
        <v>45663</v>
      </c>
      <c r="C546" t="s">
        <v>194</v>
      </c>
      <c r="D546" t="s">
        <v>43</v>
      </c>
      <c r="E546" t="s">
        <v>44</v>
      </c>
      <c r="F546" t="s">
        <v>16</v>
      </c>
      <c r="G546" t="s">
        <v>104</v>
      </c>
      <c r="H546">
        <v>3</v>
      </c>
      <c r="I546">
        <v>678</v>
      </c>
      <c r="J546">
        <v>0.05</v>
      </c>
      <c r="K546">
        <v>1932.3</v>
      </c>
      <c r="L546">
        <v>246.15</v>
      </c>
    </row>
    <row r="547" spans="1:12" x14ac:dyDescent="0.3">
      <c r="A547" t="s">
        <v>775</v>
      </c>
      <c r="B547" s="3">
        <v>45723</v>
      </c>
      <c r="C547" t="s">
        <v>109</v>
      </c>
      <c r="D547" t="s">
        <v>92</v>
      </c>
      <c r="E547" t="s">
        <v>51</v>
      </c>
      <c r="F547" t="s">
        <v>16</v>
      </c>
      <c r="G547" t="s">
        <v>104</v>
      </c>
      <c r="H547">
        <v>2</v>
      </c>
      <c r="I547">
        <v>10798</v>
      </c>
      <c r="J547">
        <v>0.05</v>
      </c>
      <c r="K547">
        <v>20516.2</v>
      </c>
      <c r="L547">
        <v>4848.5200000000004</v>
      </c>
    </row>
    <row r="548" spans="1:12" x14ac:dyDescent="0.3">
      <c r="A548" t="s">
        <v>776</v>
      </c>
      <c r="B548" s="3">
        <v>45692</v>
      </c>
      <c r="C548" t="s">
        <v>183</v>
      </c>
      <c r="D548" t="s">
        <v>153</v>
      </c>
      <c r="E548" t="s">
        <v>26</v>
      </c>
      <c r="F548" t="s">
        <v>16</v>
      </c>
      <c r="G548" t="s">
        <v>17</v>
      </c>
      <c r="H548">
        <v>1</v>
      </c>
      <c r="I548">
        <v>7655</v>
      </c>
      <c r="J548">
        <v>0.2</v>
      </c>
      <c r="K548">
        <v>6124</v>
      </c>
      <c r="L548">
        <v>1384.32</v>
      </c>
    </row>
    <row r="549" spans="1:12" x14ac:dyDescent="0.3">
      <c r="A549" t="s">
        <v>777</v>
      </c>
      <c r="B549" s="3">
        <v>45932</v>
      </c>
      <c r="C549" t="s">
        <v>79</v>
      </c>
      <c r="D549" t="s">
        <v>307</v>
      </c>
      <c r="E549" t="s">
        <v>73</v>
      </c>
      <c r="F549" t="s">
        <v>16</v>
      </c>
      <c r="G549" t="s">
        <v>104</v>
      </c>
      <c r="H549">
        <v>1</v>
      </c>
      <c r="I549">
        <v>350</v>
      </c>
      <c r="J549">
        <v>0.05</v>
      </c>
      <c r="K549">
        <v>332.5</v>
      </c>
      <c r="L549">
        <v>65.06</v>
      </c>
    </row>
    <row r="550" spans="1:12" x14ac:dyDescent="0.3">
      <c r="A550" t="s">
        <v>778</v>
      </c>
      <c r="B550" s="3">
        <v>45834</v>
      </c>
      <c r="C550" t="s">
        <v>346</v>
      </c>
      <c r="D550" t="s">
        <v>65</v>
      </c>
      <c r="E550" t="s">
        <v>26</v>
      </c>
      <c r="F550" t="s">
        <v>58</v>
      </c>
      <c r="G550" t="s">
        <v>69</v>
      </c>
      <c r="H550">
        <v>5</v>
      </c>
      <c r="I550">
        <v>4137</v>
      </c>
      <c r="J550">
        <v>0.1</v>
      </c>
      <c r="K550">
        <v>18616.5</v>
      </c>
      <c r="L550">
        <v>3200.71</v>
      </c>
    </row>
    <row r="551" spans="1:12" x14ac:dyDescent="0.3">
      <c r="A551" t="s">
        <v>779</v>
      </c>
      <c r="B551" s="3">
        <v>45807</v>
      </c>
      <c r="C551" t="s">
        <v>713</v>
      </c>
      <c r="D551" t="s">
        <v>30</v>
      </c>
      <c r="E551" t="s">
        <v>15</v>
      </c>
      <c r="F551" t="s">
        <v>21</v>
      </c>
      <c r="G551" t="s">
        <v>55</v>
      </c>
      <c r="H551">
        <v>1</v>
      </c>
      <c r="I551">
        <v>10917</v>
      </c>
      <c r="J551">
        <v>0.05</v>
      </c>
      <c r="K551">
        <v>10371.15</v>
      </c>
      <c r="L551">
        <v>1105.58</v>
      </c>
    </row>
    <row r="552" spans="1:12" x14ac:dyDescent="0.3">
      <c r="A552" t="s">
        <v>780</v>
      </c>
      <c r="B552" s="3">
        <v>45722</v>
      </c>
      <c r="C552" t="s">
        <v>595</v>
      </c>
      <c r="D552" t="s">
        <v>14</v>
      </c>
      <c r="E552" t="s">
        <v>15</v>
      </c>
      <c r="F552" t="s">
        <v>58</v>
      </c>
      <c r="G552" t="s">
        <v>126</v>
      </c>
      <c r="H552">
        <v>1</v>
      </c>
      <c r="I552">
        <v>9634</v>
      </c>
      <c r="J552">
        <v>0.15</v>
      </c>
      <c r="K552">
        <v>8188.9</v>
      </c>
      <c r="L552">
        <v>1802.75</v>
      </c>
    </row>
    <row r="553" spans="1:12" x14ac:dyDescent="0.3">
      <c r="A553" t="s">
        <v>781</v>
      </c>
      <c r="B553" s="3">
        <v>45882</v>
      </c>
      <c r="C553" t="s">
        <v>13</v>
      </c>
      <c r="D553" t="s">
        <v>30</v>
      </c>
      <c r="E553" t="s">
        <v>15</v>
      </c>
      <c r="F553" t="s">
        <v>27</v>
      </c>
      <c r="G553" t="s">
        <v>31</v>
      </c>
      <c r="H553">
        <v>2</v>
      </c>
      <c r="I553">
        <v>6389</v>
      </c>
      <c r="J553">
        <v>0.05</v>
      </c>
      <c r="K553">
        <v>12139.099999999999</v>
      </c>
      <c r="L553">
        <v>1516.42</v>
      </c>
    </row>
    <row r="554" spans="1:12" x14ac:dyDescent="0.3">
      <c r="A554" t="s">
        <v>782</v>
      </c>
      <c r="B554" s="3">
        <v>45792</v>
      </c>
      <c r="C554" t="s">
        <v>150</v>
      </c>
      <c r="D554" t="s">
        <v>72</v>
      </c>
      <c r="E554" t="s">
        <v>73</v>
      </c>
      <c r="F554" t="s">
        <v>16</v>
      </c>
      <c r="G554" t="s">
        <v>104</v>
      </c>
      <c r="H554">
        <v>3</v>
      </c>
      <c r="I554">
        <v>786</v>
      </c>
      <c r="J554">
        <v>0.05</v>
      </c>
      <c r="K554">
        <v>2240.1</v>
      </c>
      <c r="L554">
        <v>490.56</v>
      </c>
    </row>
    <row r="555" spans="1:12" x14ac:dyDescent="0.3">
      <c r="A555" t="s">
        <v>783</v>
      </c>
      <c r="B555" s="3">
        <v>45734</v>
      </c>
      <c r="C555" t="s">
        <v>49</v>
      </c>
      <c r="D555" t="s">
        <v>14</v>
      </c>
      <c r="E555" t="s">
        <v>15</v>
      </c>
      <c r="F555" t="s">
        <v>27</v>
      </c>
      <c r="G555" t="s">
        <v>28</v>
      </c>
      <c r="H555">
        <v>2</v>
      </c>
      <c r="I555">
        <v>9808</v>
      </c>
      <c r="J555">
        <v>0.2</v>
      </c>
      <c r="K555">
        <v>15692.800000000001</v>
      </c>
      <c r="L555">
        <v>1446.65</v>
      </c>
    </row>
    <row r="556" spans="1:12" x14ac:dyDescent="0.3">
      <c r="A556" t="s">
        <v>784</v>
      </c>
      <c r="B556" s="3">
        <v>45954</v>
      </c>
      <c r="C556" t="s">
        <v>57</v>
      </c>
      <c r="D556" t="s">
        <v>47</v>
      </c>
      <c r="E556" t="s">
        <v>26</v>
      </c>
      <c r="F556" t="s">
        <v>27</v>
      </c>
      <c r="G556" t="s">
        <v>40</v>
      </c>
      <c r="H556">
        <v>2</v>
      </c>
      <c r="I556">
        <v>11284</v>
      </c>
      <c r="J556">
        <v>0.15</v>
      </c>
      <c r="K556">
        <v>19182.8</v>
      </c>
      <c r="L556">
        <v>1626.5</v>
      </c>
    </row>
    <row r="557" spans="1:12" x14ac:dyDescent="0.3">
      <c r="A557" t="s">
        <v>785</v>
      </c>
      <c r="B557" s="3">
        <v>46012</v>
      </c>
      <c r="C557" t="s">
        <v>13</v>
      </c>
      <c r="D557" t="s">
        <v>50</v>
      </c>
      <c r="E557" t="s">
        <v>51</v>
      </c>
      <c r="F557" t="s">
        <v>16</v>
      </c>
      <c r="G557" t="s">
        <v>52</v>
      </c>
      <c r="H557">
        <v>1</v>
      </c>
      <c r="I557">
        <v>884</v>
      </c>
      <c r="J557">
        <v>0.1</v>
      </c>
      <c r="K557">
        <v>795.6</v>
      </c>
      <c r="L557">
        <v>121.19</v>
      </c>
    </row>
    <row r="558" spans="1:12" x14ac:dyDescent="0.3">
      <c r="A558" t="s">
        <v>786</v>
      </c>
      <c r="B558" s="3">
        <v>45783</v>
      </c>
      <c r="C558" t="s">
        <v>194</v>
      </c>
      <c r="D558" t="s">
        <v>25</v>
      </c>
      <c r="E558" t="s">
        <v>26</v>
      </c>
      <c r="F558" t="s">
        <v>58</v>
      </c>
      <c r="G558" t="s">
        <v>126</v>
      </c>
      <c r="H558">
        <v>2</v>
      </c>
      <c r="I558">
        <v>16688</v>
      </c>
      <c r="J558">
        <v>0.1</v>
      </c>
      <c r="K558">
        <v>30038.400000000001</v>
      </c>
      <c r="L558">
        <v>7270.26</v>
      </c>
    </row>
    <row r="559" spans="1:12" x14ac:dyDescent="0.3">
      <c r="A559" t="s">
        <v>787</v>
      </c>
      <c r="B559" s="3">
        <v>45699</v>
      </c>
      <c r="C559" t="s">
        <v>131</v>
      </c>
      <c r="D559" t="s">
        <v>88</v>
      </c>
      <c r="E559" t="s">
        <v>73</v>
      </c>
      <c r="F559" t="s">
        <v>58</v>
      </c>
      <c r="G559" t="s">
        <v>126</v>
      </c>
      <c r="H559">
        <v>1</v>
      </c>
      <c r="I559">
        <v>234</v>
      </c>
      <c r="J559">
        <v>0</v>
      </c>
      <c r="K559">
        <v>234</v>
      </c>
      <c r="L559">
        <v>30.27</v>
      </c>
    </row>
    <row r="560" spans="1:12" x14ac:dyDescent="0.3">
      <c r="A560" t="s">
        <v>788</v>
      </c>
      <c r="B560" s="3">
        <v>45779</v>
      </c>
      <c r="C560" t="s">
        <v>731</v>
      </c>
      <c r="D560" t="s">
        <v>14</v>
      </c>
      <c r="E560" t="s">
        <v>15</v>
      </c>
      <c r="F560" t="s">
        <v>27</v>
      </c>
      <c r="G560" t="s">
        <v>28</v>
      </c>
      <c r="H560">
        <v>1</v>
      </c>
      <c r="I560">
        <v>15978</v>
      </c>
      <c r="J560">
        <v>0</v>
      </c>
      <c r="K560">
        <v>15978</v>
      </c>
      <c r="L560">
        <v>3588.89</v>
      </c>
    </row>
    <row r="561" spans="1:12" x14ac:dyDescent="0.3">
      <c r="A561" t="s">
        <v>789</v>
      </c>
      <c r="B561" s="3">
        <v>45986</v>
      </c>
      <c r="C561" t="s">
        <v>215</v>
      </c>
      <c r="D561" t="s">
        <v>65</v>
      </c>
      <c r="E561" t="s">
        <v>26</v>
      </c>
      <c r="F561" t="s">
        <v>27</v>
      </c>
      <c r="G561" t="s">
        <v>28</v>
      </c>
      <c r="H561">
        <v>2</v>
      </c>
      <c r="I561">
        <v>2479</v>
      </c>
      <c r="J561">
        <v>0.15</v>
      </c>
      <c r="K561">
        <v>4214.3</v>
      </c>
      <c r="L561">
        <v>597.41999999999996</v>
      </c>
    </row>
    <row r="562" spans="1:12" x14ac:dyDescent="0.3">
      <c r="A562" t="s">
        <v>790</v>
      </c>
      <c r="B562" s="3">
        <v>45965</v>
      </c>
      <c r="C562" t="s">
        <v>96</v>
      </c>
      <c r="D562" t="s">
        <v>43</v>
      </c>
      <c r="E562" t="s">
        <v>44</v>
      </c>
      <c r="F562" t="s">
        <v>16</v>
      </c>
      <c r="G562" t="s">
        <v>17</v>
      </c>
      <c r="H562">
        <v>3</v>
      </c>
      <c r="I562">
        <v>1095</v>
      </c>
      <c r="J562">
        <v>0.15</v>
      </c>
      <c r="K562">
        <v>2792.25</v>
      </c>
      <c r="L562">
        <v>718.12</v>
      </c>
    </row>
    <row r="563" spans="1:12" x14ac:dyDescent="0.3">
      <c r="A563" t="s">
        <v>791</v>
      </c>
      <c r="B563" s="3">
        <v>45846</v>
      </c>
      <c r="C563" t="s">
        <v>792</v>
      </c>
      <c r="D563" t="s">
        <v>68</v>
      </c>
      <c r="E563" t="s">
        <v>44</v>
      </c>
      <c r="F563" t="s">
        <v>58</v>
      </c>
      <c r="G563" t="s">
        <v>69</v>
      </c>
      <c r="H563">
        <v>1</v>
      </c>
      <c r="I563">
        <v>7254</v>
      </c>
      <c r="J563">
        <v>0</v>
      </c>
      <c r="K563">
        <v>7254</v>
      </c>
      <c r="L563">
        <v>915.57</v>
      </c>
    </row>
    <row r="564" spans="1:12" x14ac:dyDescent="0.3">
      <c r="A564" t="s">
        <v>793</v>
      </c>
      <c r="B564" s="3">
        <v>45955</v>
      </c>
      <c r="C564" t="s">
        <v>351</v>
      </c>
      <c r="D564" t="s">
        <v>50</v>
      </c>
      <c r="E564" t="s">
        <v>51</v>
      </c>
      <c r="F564" t="s">
        <v>16</v>
      </c>
      <c r="G564" t="s">
        <v>52</v>
      </c>
      <c r="H564">
        <v>3</v>
      </c>
      <c r="I564">
        <v>2150</v>
      </c>
      <c r="J564">
        <v>0.1</v>
      </c>
      <c r="K564">
        <v>5805</v>
      </c>
      <c r="L564">
        <v>741.96</v>
      </c>
    </row>
    <row r="565" spans="1:12" x14ac:dyDescent="0.3">
      <c r="A565" t="s">
        <v>794</v>
      </c>
      <c r="B565" s="3">
        <v>45760</v>
      </c>
      <c r="C565" t="s">
        <v>238</v>
      </c>
      <c r="D565" t="s">
        <v>307</v>
      </c>
      <c r="E565" t="s">
        <v>73</v>
      </c>
      <c r="F565" t="s">
        <v>27</v>
      </c>
      <c r="G565" t="s">
        <v>31</v>
      </c>
      <c r="H565">
        <v>5</v>
      </c>
      <c r="I565">
        <v>319</v>
      </c>
      <c r="J565">
        <v>0.2</v>
      </c>
      <c r="K565">
        <v>1276</v>
      </c>
      <c r="L565">
        <v>179.5</v>
      </c>
    </row>
    <row r="566" spans="1:12" x14ac:dyDescent="0.3">
      <c r="A566" t="s">
        <v>795</v>
      </c>
      <c r="B566" s="3">
        <v>45933</v>
      </c>
      <c r="C566" t="s">
        <v>274</v>
      </c>
      <c r="D566" t="s">
        <v>202</v>
      </c>
      <c r="E566" t="s">
        <v>44</v>
      </c>
      <c r="F566" t="s">
        <v>58</v>
      </c>
      <c r="G566" t="s">
        <v>59</v>
      </c>
      <c r="H566">
        <v>1</v>
      </c>
      <c r="I566">
        <v>1240</v>
      </c>
      <c r="J566">
        <v>0.1</v>
      </c>
      <c r="K566">
        <v>1116</v>
      </c>
      <c r="L566">
        <v>252.06</v>
      </c>
    </row>
    <row r="567" spans="1:12" x14ac:dyDescent="0.3">
      <c r="A567" t="s">
        <v>796</v>
      </c>
      <c r="B567" s="3">
        <v>45843</v>
      </c>
      <c r="C567" t="s">
        <v>412</v>
      </c>
      <c r="D567" t="s">
        <v>153</v>
      </c>
      <c r="E567" t="s">
        <v>26</v>
      </c>
      <c r="F567" t="s">
        <v>27</v>
      </c>
      <c r="G567" t="s">
        <v>31</v>
      </c>
      <c r="H567">
        <v>1</v>
      </c>
      <c r="I567">
        <v>4049</v>
      </c>
      <c r="J567">
        <v>0.05</v>
      </c>
      <c r="K567">
        <v>3846.5499999999997</v>
      </c>
      <c r="L567">
        <v>797.06</v>
      </c>
    </row>
    <row r="568" spans="1:12" x14ac:dyDescent="0.3">
      <c r="A568" t="s">
        <v>797</v>
      </c>
      <c r="B568" s="3">
        <v>45874</v>
      </c>
      <c r="C568" t="s">
        <v>798</v>
      </c>
      <c r="D568" t="s">
        <v>80</v>
      </c>
      <c r="E568" t="s">
        <v>51</v>
      </c>
      <c r="F568" t="s">
        <v>21</v>
      </c>
      <c r="G568" t="s">
        <v>22</v>
      </c>
      <c r="H568">
        <v>1</v>
      </c>
      <c r="I568">
        <v>75608</v>
      </c>
      <c r="J568">
        <v>0</v>
      </c>
      <c r="K568">
        <v>75608</v>
      </c>
      <c r="L568">
        <v>15994.36</v>
      </c>
    </row>
    <row r="569" spans="1:12" x14ac:dyDescent="0.3">
      <c r="A569" t="s">
        <v>799</v>
      </c>
      <c r="B569" s="3">
        <v>45801</v>
      </c>
      <c r="C569" t="s">
        <v>391</v>
      </c>
      <c r="D569" t="s">
        <v>30</v>
      </c>
      <c r="E569" t="s">
        <v>15</v>
      </c>
      <c r="F569" t="s">
        <v>58</v>
      </c>
      <c r="G569" t="s">
        <v>126</v>
      </c>
      <c r="H569">
        <v>2</v>
      </c>
      <c r="I569">
        <v>5536</v>
      </c>
      <c r="J569">
        <v>0.05</v>
      </c>
      <c r="K569">
        <v>10518.4</v>
      </c>
      <c r="L569">
        <v>1508.22</v>
      </c>
    </row>
    <row r="570" spans="1:12" x14ac:dyDescent="0.3">
      <c r="A570" t="s">
        <v>800</v>
      </c>
      <c r="B570" s="3">
        <v>45664</v>
      </c>
      <c r="C570" t="s">
        <v>208</v>
      </c>
      <c r="D570" t="s">
        <v>202</v>
      </c>
      <c r="E570" t="s">
        <v>44</v>
      </c>
      <c r="F570" t="s">
        <v>58</v>
      </c>
      <c r="G570" t="s">
        <v>126</v>
      </c>
      <c r="H570">
        <v>3</v>
      </c>
      <c r="I570">
        <v>2888</v>
      </c>
      <c r="J570">
        <v>0</v>
      </c>
      <c r="K570">
        <v>8664</v>
      </c>
      <c r="L570">
        <v>1889.31</v>
      </c>
    </row>
    <row r="571" spans="1:12" x14ac:dyDescent="0.3">
      <c r="A571" t="s">
        <v>801</v>
      </c>
      <c r="B571" s="3">
        <v>45831</v>
      </c>
      <c r="C571" t="s">
        <v>266</v>
      </c>
      <c r="D571" t="s">
        <v>83</v>
      </c>
      <c r="E571" t="s">
        <v>73</v>
      </c>
      <c r="F571" t="s">
        <v>16</v>
      </c>
      <c r="G571" t="s">
        <v>52</v>
      </c>
      <c r="H571">
        <v>2</v>
      </c>
      <c r="I571">
        <v>582</v>
      </c>
      <c r="J571">
        <v>0</v>
      </c>
      <c r="K571">
        <v>1164</v>
      </c>
      <c r="L571">
        <v>165.77</v>
      </c>
    </row>
    <row r="572" spans="1:12" x14ac:dyDescent="0.3">
      <c r="A572" t="s">
        <v>802</v>
      </c>
      <c r="B572" s="3">
        <v>45747</v>
      </c>
      <c r="C572" t="s">
        <v>238</v>
      </c>
      <c r="D572" t="s">
        <v>103</v>
      </c>
      <c r="E572" t="s">
        <v>51</v>
      </c>
      <c r="F572" t="s">
        <v>27</v>
      </c>
      <c r="G572" t="s">
        <v>31</v>
      </c>
      <c r="H572">
        <v>1</v>
      </c>
      <c r="I572">
        <v>6525</v>
      </c>
      <c r="J572">
        <v>0.05</v>
      </c>
      <c r="K572">
        <v>6198.75</v>
      </c>
      <c r="L572">
        <v>1665.7</v>
      </c>
    </row>
    <row r="573" spans="1:12" x14ac:dyDescent="0.3">
      <c r="A573" t="s">
        <v>803</v>
      </c>
      <c r="B573" s="3">
        <v>45984</v>
      </c>
      <c r="C573" t="s">
        <v>136</v>
      </c>
      <c r="D573" t="s">
        <v>43</v>
      </c>
      <c r="E573" t="s">
        <v>44</v>
      </c>
      <c r="F573" t="s">
        <v>27</v>
      </c>
      <c r="G573" t="s">
        <v>31</v>
      </c>
      <c r="H573">
        <v>1</v>
      </c>
      <c r="I573">
        <v>1146</v>
      </c>
      <c r="J573">
        <v>0.15</v>
      </c>
      <c r="K573">
        <v>974.1</v>
      </c>
      <c r="L573">
        <v>209.96</v>
      </c>
    </row>
    <row r="574" spans="1:12" x14ac:dyDescent="0.3">
      <c r="A574" t="s">
        <v>804</v>
      </c>
      <c r="B574" s="3">
        <v>45940</v>
      </c>
      <c r="C574" t="s">
        <v>805</v>
      </c>
      <c r="D574" t="s">
        <v>68</v>
      </c>
      <c r="E574" t="s">
        <v>44</v>
      </c>
      <c r="F574" t="s">
        <v>58</v>
      </c>
      <c r="G574" t="s">
        <v>59</v>
      </c>
      <c r="H574">
        <v>5</v>
      </c>
      <c r="I574">
        <v>3150</v>
      </c>
      <c r="J574">
        <v>0</v>
      </c>
      <c r="K574">
        <v>15750</v>
      </c>
      <c r="L574">
        <v>1872.79</v>
      </c>
    </row>
    <row r="575" spans="1:12" x14ac:dyDescent="0.3">
      <c r="A575" t="s">
        <v>806</v>
      </c>
      <c r="B575" s="3">
        <v>45720</v>
      </c>
      <c r="C575" t="s">
        <v>807</v>
      </c>
      <c r="D575" t="s">
        <v>97</v>
      </c>
      <c r="E575" t="s">
        <v>44</v>
      </c>
      <c r="F575" t="s">
        <v>58</v>
      </c>
      <c r="G575" t="s">
        <v>69</v>
      </c>
      <c r="H575">
        <v>3</v>
      </c>
      <c r="I575">
        <v>736</v>
      </c>
      <c r="J575">
        <v>0.1</v>
      </c>
      <c r="K575">
        <v>1987.2</v>
      </c>
      <c r="L575">
        <v>342.16</v>
      </c>
    </row>
    <row r="576" spans="1:12" x14ac:dyDescent="0.3">
      <c r="A576" t="s">
        <v>808</v>
      </c>
      <c r="B576" s="3">
        <v>45756</v>
      </c>
      <c r="C576" t="s">
        <v>234</v>
      </c>
      <c r="D576" t="s">
        <v>202</v>
      </c>
      <c r="E576" t="s">
        <v>44</v>
      </c>
      <c r="F576" t="s">
        <v>21</v>
      </c>
      <c r="G576" t="s">
        <v>22</v>
      </c>
      <c r="H576">
        <v>3</v>
      </c>
      <c r="I576">
        <v>2645</v>
      </c>
      <c r="J576">
        <v>0.1</v>
      </c>
      <c r="K576">
        <v>7141.5</v>
      </c>
      <c r="L576">
        <v>1089.77</v>
      </c>
    </row>
    <row r="577" spans="1:12" x14ac:dyDescent="0.3">
      <c r="A577" t="s">
        <v>809</v>
      </c>
      <c r="B577" s="3">
        <v>45707</v>
      </c>
      <c r="C577" t="s">
        <v>176</v>
      </c>
      <c r="D577" t="s">
        <v>20</v>
      </c>
      <c r="E577" t="s">
        <v>15</v>
      </c>
      <c r="F577" t="s">
        <v>16</v>
      </c>
      <c r="G577" t="s">
        <v>104</v>
      </c>
      <c r="H577">
        <v>1</v>
      </c>
      <c r="I577">
        <v>8587</v>
      </c>
      <c r="J577">
        <v>0</v>
      </c>
      <c r="K577">
        <v>8587</v>
      </c>
      <c r="L577">
        <v>1287.7</v>
      </c>
    </row>
    <row r="578" spans="1:12" x14ac:dyDescent="0.3">
      <c r="A578" t="s">
        <v>810</v>
      </c>
      <c r="B578" s="3">
        <v>45847</v>
      </c>
      <c r="C578" t="s">
        <v>75</v>
      </c>
      <c r="D578" t="s">
        <v>65</v>
      </c>
      <c r="E578" t="s">
        <v>26</v>
      </c>
      <c r="F578" t="s">
        <v>16</v>
      </c>
      <c r="G578" t="s">
        <v>17</v>
      </c>
      <c r="H578">
        <v>4</v>
      </c>
      <c r="I578">
        <v>2184</v>
      </c>
      <c r="J578">
        <v>0.15</v>
      </c>
      <c r="K578">
        <v>7425.5999999999995</v>
      </c>
      <c r="L578">
        <v>1177.8800000000001</v>
      </c>
    </row>
    <row r="579" spans="1:12" x14ac:dyDescent="0.3">
      <c r="A579" t="s">
        <v>811</v>
      </c>
      <c r="B579" s="3">
        <v>45658</v>
      </c>
      <c r="C579" t="s">
        <v>507</v>
      </c>
      <c r="D579" t="s">
        <v>43</v>
      </c>
      <c r="E579" t="s">
        <v>44</v>
      </c>
      <c r="F579" t="s">
        <v>58</v>
      </c>
      <c r="G579" t="s">
        <v>126</v>
      </c>
      <c r="H579">
        <v>1</v>
      </c>
      <c r="I579">
        <v>607</v>
      </c>
      <c r="J579">
        <v>0.1</v>
      </c>
      <c r="K579">
        <v>546.30000000000007</v>
      </c>
      <c r="L579">
        <v>62.45</v>
      </c>
    </row>
    <row r="580" spans="1:12" x14ac:dyDescent="0.3">
      <c r="A580" t="s">
        <v>812</v>
      </c>
      <c r="B580" s="3">
        <v>45849</v>
      </c>
      <c r="C580" t="s">
        <v>163</v>
      </c>
      <c r="D580" t="s">
        <v>14</v>
      </c>
      <c r="E580" t="s">
        <v>15</v>
      </c>
      <c r="F580" t="s">
        <v>16</v>
      </c>
      <c r="G580" t="s">
        <v>17</v>
      </c>
      <c r="H580">
        <v>2</v>
      </c>
      <c r="I580">
        <v>7660</v>
      </c>
      <c r="J580">
        <v>0.25</v>
      </c>
      <c r="K580">
        <v>11490</v>
      </c>
      <c r="L580">
        <v>1493.64</v>
      </c>
    </row>
    <row r="581" spans="1:12" x14ac:dyDescent="0.3">
      <c r="A581" t="s">
        <v>813</v>
      </c>
      <c r="B581" s="3">
        <v>45997</v>
      </c>
      <c r="C581" t="s">
        <v>580</v>
      </c>
      <c r="D581" t="s">
        <v>72</v>
      </c>
      <c r="E581" t="s">
        <v>73</v>
      </c>
      <c r="F581" t="s">
        <v>27</v>
      </c>
      <c r="G581" t="s">
        <v>28</v>
      </c>
      <c r="H581">
        <v>2</v>
      </c>
      <c r="I581">
        <v>996</v>
      </c>
      <c r="J581">
        <v>0</v>
      </c>
      <c r="K581">
        <v>1992</v>
      </c>
      <c r="L581">
        <v>486.15</v>
      </c>
    </row>
    <row r="582" spans="1:12" x14ac:dyDescent="0.3">
      <c r="A582" t="s">
        <v>814</v>
      </c>
      <c r="B582" s="3">
        <v>45787</v>
      </c>
      <c r="C582" t="s">
        <v>368</v>
      </c>
      <c r="D582" t="s">
        <v>88</v>
      </c>
      <c r="E582" t="s">
        <v>73</v>
      </c>
      <c r="F582" t="s">
        <v>58</v>
      </c>
      <c r="G582" t="s">
        <v>69</v>
      </c>
      <c r="H582">
        <v>4</v>
      </c>
      <c r="I582">
        <v>430</v>
      </c>
      <c r="J582">
        <v>0.15</v>
      </c>
      <c r="K582">
        <v>1462</v>
      </c>
      <c r="L582">
        <v>208.06</v>
      </c>
    </row>
    <row r="583" spans="1:12" x14ac:dyDescent="0.3">
      <c r="A583" t="s">
        <v>815</v>
      </c>
      <c r="B583" s="3">
        <v>45858</v>
      </c>
      <c r="C583" t="s">
        <v>315</v>
      </c>
      <c r="D583" t="s">
        <v>50</v>
      </c>
      <c r="E583" t="s">
        <v>51</v>
      </c>
      <c r="F583" t="s">
        <v>58</v>
      </c>
      <c r="G583" t="s">
        <v>126</v>
      </c>
      <c r="H583">
        <v>1</v>
      </c>
      <c r="I583">
        <v>1393</v>
      </c>
      <c r="J583">
        <v>0</v>
      </c>
      <c r="K583">
        <v>1393</v>
      </c>
      <c r="L583">
        <v>366.36</v>
      </c>
    </row>
    <row r="584" spans="1:12" x14ac:dyDescent="0.3">
      <c r="A584" t="s">
        <v>816</v>
      </c>
      <c r="B584" s="3">
        <v>45908</v>
      </c>
      <c r="C584" t="s">
        <v>326</v>
      </c>
      <c r="D584" t="s">
        <v>34</v>
      </c>
      <c r="E584" t="s">
        <v>15</v>
      </c>
      <c r="F584" t="s">
        <v>16</v>
      </c>
      <c r="G584" t="s">
        <v>52</v>
      </c>
      <c r="H584">
        <v>1</v>
      </c>
      <c r="I584">
        <v>20033</v>
      </c>
      <c r="J584">
        <v>0.2</v>
      </c>
      <c r="K584">
        <v>16026.400000000001</v>
      </c>
      <c r="L584">
        <v>2662.1</v>
      </c>
    </row>
    <row r="585" spans="1:12" x14ac:dyDescent="0.3">
      <c r="A585" t="s">
        <v>817</v>
      </c>
      <c r="B585" s="3">
        <v>45716</v>
      </c>
      <c r="C585" t="s">
        <v>85</v>
      </c>
      <c r="D585" t="s">
        <v>25</v>
      </c>
      <c r="E585" t="s">
        <v>26</v>
      </c>
      <c r="F585" t="s">
        <v>16</v>
      </c>
      <c r="G585" t="s">
        <v>17</v>
      </c>
      <c r="H585">
        <v>2</v>
      </c>
      <c r="I585">
        <v>14625</v>
      </c>
      <c r="J585">
        <v>0</v>
      </c>
      <c r="K585">
        <v>29250</v>
      </c>
      <c r="L585">
        <v>2548.1999999999998</v>
      </c>
    </row>
    <row r="586" spans="1:12" x14ac:dyDescent="0.3">
      <c r="A586" t="s">
        <v>818</v>
      </c>
      <c r="B586" s="3">
        <v>46019</v>
      </c>
      <c r="C586" t="s">
        <v>77</v>
      </c>
      <c r="D586" t="s">
        <v>92</v>
      </c>
      <c r="E586" t="s">
        <v>51</v>
      </c>
      <c r="F586" t="s">
        <v>16</v>
      </c>
      <c r="G586" t="s">
        <v>104</v>
      </c>
      <c r="H586">
        <v>1</v>
      </c>
      <c r="I586">
        <v>18995</v>
      </c>
      <c r="J586">
        <v>0</v>
      </c>
      <c r="K586">
        <v>18995</v>
      </c>
      <c r="L586">
        <v>3237.52</v>
      </c>
    </row>
    <row r="587" spans="1:12" x14ac:dyDescent="0.3">
      <c r="A587" t="s">
        <v>819</v>
      </c>
      <c r="B587" s="3">
        <v>45736</v>
      </c>
      <c r="C587" t="s">
        <v>134</v>
      </c>
      <c r="D587" t="s">
        <v>30</v>
      </c>
      <c r="E587" t="s">
        <v>15</v>
      </c>
      <c r="F587" t="s">
        <v>58</v>
      </c>
      <c r="G587" t="s">
        <v>69</v>
      </c>
      <c r="H587">
        <v>3</v>
      </c>
      <c r="I587">
        <v>10880</v>
      </c>
      <c r="J587">
        <v>0</v>
      </c>
      <c r="K587">
        <v>32640</v>
      </c>
      <c r="L587">
        <v>6103.46</v>
      </c>
    </row>
    <row r="588" spans="1:12" x14ac:dyDescent="0.3">
      <c r="A588" t="s">
        <v>820</v>
      </c>
      <c r="B588" s="3">
        <v>45953</v>
      </c>
      <c r="C588" t="s">
        <v>109</v>
      </c>
      <c r="D588" t="s">
        <v>307</v>
      </c>
      <c r="E588" t="s">
        <v>73</v>
      </c>
      <c r="F588" t="s">
        <v>27</v>
      </c>
      <c r="G588" t="s">
        <v>31</v>
      </c>
      <c r="H588">
        <v>1</v>
      </c>
      <c r="I588">
        <v>370</v>
      </c>
      <c r="J588">
        <v>0.2</v>
      </c>
      <c r="K588">
        <v>296</v>
      </c>
      <c r="L588">
        <v>47.28</v>
      </c>
    </row>
    <row r="589" spans="1:12" x14ac:dyDescent="0.3">
      <c r="A589" t="s">
        <v>821</v>
      </c>
      <c r="B589" s="3">
        <v>45666</v>
      </c>
      <c r="C589" t="s">
        <v>67</v>
      </c>
      <c r="D589" t="s">
        <v>103</v>
      </c>
      <c r="E589" t="s">
        <v>51</v>
      </c>
      <c r="F589" t="s">
        <v>27</v>
      </c>
      <c r="G589" t="s">
        <v>40</v>
      </c>
      <c r="H589">
        <v>1</v>
      </c>
      <c r="I589">
        <v>4347</v>
      </c>
      <c r="J589">
        <v>0.05</v>
      </c>
      <c r="K589">
        <v>4129.6499999999996</v>
      </c>
      <c r="L589">
        <v>1006.7</v>
      </c>
    </row>
    <row r="590" spans="1:12" x14ac:dyDescent="0.3">
      <c r="A590" t="s">
        <v>822</v>
      </c>
      <c r="B590" s="3">
        <v>45839</v>
      </c>
      <c r="C590" t="s">
        <v>313</v>
      </c>
      <c r="D590" t="s">
        <v>202</v>
      </c>
      <c r="E590" t="s">
        <v>44</v>
      </c>
      <c r="F590" t="s">
        <v>27</v>
      </c>
      <c r="G590" t="s">
        <v>28</v>
      </c>
      <c r="H590">
        <v>1</v>
      </c>
      <c r="I590">
        <v>1507</v>
      </c>
      <c r="J590">
        <v>0</v>
      </c>
      <c r="K590">
        <v>1507</v>
      </c>
      <c r="L590">
        <v>176.96</v>
      </c>
    </row>
    <row r="591" spans="1:12" x14ac:dyDescent="0.3">
      <c r="A591" t="s">
        <v>823</v>
      </c>
      <c r="B591" s="3">
        <v>45943</v>
      </c>
      <c r="C591" t="s">
        <v>371</v>
      </c>
      <c r="D591" t="s">
        <v>120</v>
      </c>
      <c r="E591" t="s">
        <v>51</v>
      </c>
      <c r="F591" t="s">
        <v>16</v>
      </c>
      <c r="G591" t="s">
        <v>104</v>
      </c>
      <c r="H591">
        <v>2</v>
      </c>
      <c r="I591">
        <v>2159</v>
      </c>
      <c r="J591">
        <v>0.15</v>
      </c>
      <c r="K591">
        <v>3670.2999999999997</v>
      </c>
      <c r="L591">
        <v>834.93</v>
      </c>
    </row>
    <row r="592" spans="1:12" x14ac:dyDescent="0.3">
      <c r="A592" t="s">
        <v>824</v>
      </c>
      <c r="B592" s="3">
        <v>45930</v>
      </c>
      <c r="C592" t="s">
        <v>640</v>
      </c>
      <c r="D592" t="s">
        <v>92</v>
      </c>
      <c r="E592" t="s">
        <v>51</v>
      </c>
      <c r="F592" t="s">
        <v>16</v>
      </c>
      <c r="G592" t="s">
        <v>104</v>
      </c>
      <c r="H592">
        <v>1</v>
      </c>
      <c r="I592">
        <v>19784</v>
      </c>
      <c r="J592">
        <v>0.15</v>
      </c>
      <c r="K592">
        <v>16816.399999999998</v>
      </c>
      <c r="L592">
        <v>4425.43</v>
      </c>
    </row>
    <row r="593" spans="1:12" x14ac:dyDescent="0.3">
      <c r="A593" t="s">
        <v>825</v>
      </c>
      <c r="B593" s="3">
        <v>45948</v>
      </c>
      <c r="C593" t="s">
        <v>492</v>
      </c>
      <c r="D593" t="s">
        <v>14</v>
      </c>
      <c r="E593" t="s">
        <v>15</v>
      </c>
      <c r="F593" t="s">
        <v>21</v>
      </c>
      <c r="G593" t="s">
        <v>55</v>
      </c>
      <c r="H593">
        <v>3</v>
      </c>
      <c r="I593">
        <v>6513</v>
      </c>
      <c r="J593">
        <v>0.15</v>
      </c>
      <c r="K593">
        <v>16608.149999999998</v>
      </c>
      <c r="L593">
        <v>1722.8</v>
      </c>
    </row>
    <row r="594" spans="1:12" x14ac:dyDescent="0.3">
      <c r="A594" t="s">
        <v>826</v>
      </c>
      <c r="B594" s="3">
        <v>45673</v>
      </c>
      <c r="C594" t="s">
        <v>492</v>
      </c>
      <c r="D594" t="s">
        <v>202</v>
      </c>
      <c r="E594" t="s">
        <v>44</v>
      </c>
      <c r="F594" t="s">
        <v>58</v>
      </c>
      <c r="G594" t="s">
        <v>126</v>
      </c>
      <c r="H594">
        <v>1</v>
      </c>
      <c r="I594">
        <v>3120</v>
      </c>
      <c r="J594">
        <v>0</v>
      </c>
      <c r="K594">
        <v>3120</v>
      </c>
      <c r="L594">
        <v>568.95000000000005</v>
      </c>
    </row>
    <row r="595" spans="1:12" x14ac:dyDescent="0.3">
      <c r="A595" t="s">
        <v>827</v>
      </c>
      <c r="B595" s="3">
        <v>45844</v>
      </c>
      <c r="C595" t="s">
        <v>185</v>
      </c>
      <c r="D595" t="s">
        <v>43</v>
      </c>
      <c r="E595" t="s">
        <v>44</v>
      </c>
      <c r="F595" t="s">
        <v>16</v>
      </c>
      <c r="G595" t="s">
        <v>52</v>
      </c>
      <c r="H595">
        <v>4</v>
      </c>
      <c r="I595">
        <v>539</v>
      </c>
      <c r="J595">
        <v>0.05</v>
      </c>
      <c r="K595">
        <v>2048.1999999999998</v>
      </c>
      <c r="L595">
        <v>282.23</v>
      </c>
    </row>
    <row r="596" spans="1:12" x14ac:dyDescent="0.3">
      <c r="A596" t="s">
        <v>828</v>
      </c>
      <c r="B596" s="3">
        <v>45753</v>
      </c>
      <c r="C596" t="s">
        <v>85</v>
      </c>
      <c r="D596" t="s">
        <v>68</v>
      </c>
      <c r="E596" t="s">
        <v>44</v>
      </c>
      <c r="F596" t="s">
        <v>27</v>
      </c>
      <c r="G596" t="s">
        <v>31</v>
      </c>
      <c r="H596">
        <v>2</v>
      </c>
      <c r="I596">
        <v>2839</v>
      </c>
      <c r="J596">
        <v>0.05</v>
      </c>
      <c r="K596">
        <v>5394.0999999999995</v>
      </c>
      <c r="L596">
        <v>974.55</v>
      </c>
    </row>
    <row r="597" spans="1:12" x14ac:dyDescent="0.3">
      <c r="A597" t="s">
        <v>829</v>
      </c>
      <c r="B597" s="3">
        <v>45896</v>
      </c>
      <c r="C597" t="s">
        <v>123</v>
      </c>
      <c r="D597" t="s">
        <v>47</v>
      </c>
      <c r="E597" t="s">
        <v>26</v>
      </c>
      <c r="F597" t="s">
        <v>21</v>
      </c>
      <c r="G597" t="s">
        <v>35</v>
      </c>
      <c r="H597">
        <v>2</v>
      </c>
      <c r="I597">
        <v>8312</v>
      </c>
      <c r="J597">
        <v>0.05</v>
      </c>
      <c r="K597">
        <v>15792.8</v>
      </c>
      <c r="L597">
        <v>2569.54</v>
      </c>
    </row>
    <row r="598" spans="1:12" x14ac:dyDescent="0.3">
      <c r="A598" t="s">
        <v>830</v>
      </c>
      <c r="B598" s="3">
        <v>45701</v>
      </c>
      <c r="C598" t="s">
        <v>368</v>
      </c>
      <c r="D598" t="s">
        <v>97</v>
      </c>
      <c r="E598" t="s">
        <v>44</v>
      </c>
      <c r="F598" t="s">
        <v>16</v>
      </c>
      <c r="G598" t="s">
        <v>17</v>
      </c>
      <c r="H598">
        <v>5</v>
      </c>
      <c r="I598">
        <v>948</v>
      </c>
      <c r="J598">
        <v>0.1</v>
      </c>
      <c r="K598">
        <v>4266</v>
      </c>
      <c r="L598">
        <v>1069</v>
      </c>
    </row>
    <row r="599" spans="1:12" x14ac:dyDescent="0.3">
      <c r="A599" t="s">
        <v>831</v>
      </c>
      <c r="B599" s="3">
        <v>45951</v>
      </c>
      <c r="C599" t="s">
        <v>535</v>
      </c>
      <c r="D599" t="s">
        <v>92</v>
      </c>
      <c r="E599" t="s">
        <v>51</v>
      </c>
      <c r="F599" t="s">
        <v>58</v>
      </c>
      <c r="G599" t="s">
        <v>59</v>
      </c>
      <c r="H599">
        <v>1</v>
      </c>
      <c r="I599">
        <v>21404</v>
      </c>
      <c r="J599">
        <v>0.05</v>
      </c>
      <c r="K599">
        <v>20333.8</v>
      </c>
      <c r="L599">
        <v>4179.28</v>
      </c>
    </row>
    <row r="600" spans="1:12" x14ac:dyDescent="0.3">
      <c r="A600" t="s">
        <v>832</v>
      </c>
      <c r="B600" s="3">
        <v>45808</v>
      </c>
      <c r="C600" t="s">
        <v>473</v>
      </c>
      <c r="D600" t="s">
        <v>47</v>
      </c>
      <c r="E600" t="s">
        <v>26</v>
      </c>
      <c r="F600" t="s">
        <v>58</v>
      </c>
      <c r="G600" t="s">
        <v>126</v>
      </c>
      <c r="H600">
        <v>3</v>
      </c>
      <c r="I600">
        <v>19389</v>
      </c>
      <c r="J600">
        <v>0.1</v>
      </c>
      <c r="K600">
        <v>52350.3</v>
      </c>
      <c r="L600">
        <v>13863.12</v>
      </c>
    </row>
    <row r="601" spans="1:12" x14ac:dyDescent="0.3">
      <c r="A601" t="s">
        <v>833</v>
      </c>
      <c r="B601" s="3">
        <v>45760</v>
      </c>
      <c r="C601" t="s">
        <v>244</v>
      </c>
      <c r="D601" t="s">
        <v>34</v>
      </c>
      <c r="E601" t="s">
        <v>15</v>
      </c>
      <c r="F601" t="s">
        <v>21</v>
      </c>
      <c r="G601" t="s">
        <v>55</v>
      </c>
      <c r="H601">
        <v>2</v>
      </c>
      <c r="I601">
        <v>21847</v>
      </c>
      <c r="J601">
        <v>0.1</v>
      </c>
      <c r="K601">
        <v>39324.6</v>
      </c>
      <c r="L601">
        <v>7486.9</v>
      </c>
    </row>
    <row r="602" spans="1:12" x14ac:dyDescent="0.3">
      <c r="A602" t="s">
        <v>834</v>
      </c>
      <c r="B602" s="3">
        <v>45689</v>
      </c>
      <c r="C602" t="s">
        <v>260</v>
      </c>
      <c r="D602" t="s">
        <v>92</v>
      </c>
      <c r="E602" t="s">
        <v>51</v>
      </c>
      <c r="F602" t="s">
        <v>16</v>
      </c>
      <c r="G602" t="s">
        <v>52</v>
      </c>
      <c r="H602">
        <v>1</v>
      </c>
      <c r="I602">
        <v>22184</v>
      </c>
      <c r="J602">
        <v>0</v>
      </c>
      <c r="K602">
        <v>22184</v>
      </c>
      <c r="L602">
        <v>3855.76</v>
      </c>
    </row>
    <row r="603" spans="1:12" x14ac:dyDescent="0.3">
      <c r="A603" t="s">
        <v>835</v>
      </c>
      <c r="B603" s="3">
        <v>45928</v>
      </c>
      <c r="C603" t="s">
        <v>363</v>
      </c>
      <c r="D603" t="s">
        <v>34</v>
      </c>
      <c r="E603" t="s">
        <v>15</v>
      </c>
      <c r="F603" t="s">
        <v>16</v>
      </c>
      <c r="G603" t="s">
        <v>52</v>
      </c>
      <c r="H603">
        <v>1</v>
      </c>
      <c r="I603">
        <v>14423</v>
      </c>
      <c r="J603">
        <v>0</v>
      </c>
      <c r="K603">
        <v>14423</v>
      </c>
      <c r="L603">
        <v>2814.75</v>
      </c>
    </row>
    <row r="604" spans="1:12" x14ac:dyDescent="0.3">
      <c r="A604" t="s">
        <v>836</v>
      </c>
      <c r="B604" s="3">
        <v>45823</v>
      </c>
      <c r="C604" t="s">
        <v>231</v>
      </c>
      <c r="D604" t="s">
        <v>72</v>
      </c>
      <c r="E604" t="s">
        <v>73</v>
      </c>
      <c r="F604" t="s">
        <v>16</v>
      </c>
      <c r="G604" t="s">
        <v>52</v>
      </c>
      <c r="H604">
        <v>1</v>
      </c>
      <c r="I604">
        <v>768</v>
      </c>
      <c r="J604">
        <v>0</v>
      </c>
      <c r="K604">
        <v>768</v>
      </c>
      <c r="L604">
        <v>144.99</v>
      </c>
    </row>
    <row r="605" spans="1:12" x14ac:dyDescent="0.3">
      <c r="A605" t="s">
        <v>837</v>
      </c>
      <c r="B605" s="3">
        <v>45794</v>
      </c>
      <c r="C605" t="s">
        <v>713</v>
      </c>
      <c r="D605" t="s">
        <v>80</v>
      </c>
      <c r="E605" t="s">
        <v>51</v>
      </c>
      <c r="F605" t="s">
        <v>21</v>
      </c>
      <c r="G605" t="s">
        <v>55</v>
      </c>
      <c r="H605">
        <v>1</v>
      </c>
      <c r="I605">
        <v>49460</v>
      </c>
      <c r="J605">
        <v>0.1</v>
      </c>
      <c r="K605">
        <v>44514</v>
      </c>
      <c r="L605">
        <v>8738.67</v>
      </c>
    </row>
    <row r="606" spans="1:12" x14ac:dyDescent="0.3">
      <c r="A606" t="s">
        <v>838</v>
      </c>
      <c r="B606" s="3">
        <v>46022</v>
      </c>
      <c r="C606" t="s">
        <v>234</v>
      </c>
      <c r="D606" t="s">
        <v>153</v>
      </c>
      <c r="E606" t="s">
        <v>26</v>
      </c>
      <c r="F606" t="s">
        <v>58</v>
      </c>
      <c r="G606" t="s">
        <v>69</v>
      </c>
      <c r="H606">
        <v>4</v>
      </c>
      <c r="I606">
        <v>7967</v>
      </c>
      <c r="J606">
        <v>0.05</v>
      </c>
      <c r="K606">
        <v>30274.6</v>
      </c>
      <c r="L606">
        <v>6051.12</v>
      </c>
    </row>
    <row r="607" spans="1:12" x14ac:dyDescent="0.3">
      <c r="A607" t="s">
        <v>839</v>
      </c>
      <c r="B607" s="3">
        <v>45789</v>
      </c>
      <c r="C607" t="s">
        <v>792</v>
      </c>
      <c r="D607" t="s">
        <v>14</v>
      </c>
      <c r="E607" t="s">
        <v>15</v>
      </c>
      <c r="F607" t="s">
        <v>58</v>
      </c>
      <c r="G607" t="s">
        <v>59</v>
      </c>
      <c r="H607">
        <v>5</v>
      </c>
      <c r="I607">
        <v>14855</v>
      </c>
      <c r="J607">
        <v>0.1</v>
      </c>
      <c r="K607">
        <v>66847.5</v>
      </c>
      <c r="L607">
        <v>17124.93</v>
      </c>
    </row>
    <row r="608" spans="1:12" x14ac:dyDescent="0.3">
      <c r="A608" t="s">
        <v>840</v>
      </c>
      <c r="B608" s="3">
        <v>45904</v>
      </c>
      <c r="C608" t="s">
        <v>33</v>
      </c>
      <c r="D608" t="s">
        <v>30</v>
      </c>
      <c r="E608" t="s">
        <v>15</v>
      </c>
      <c r="F608" t="s">
        <v>16</v>
      </c>
      <c r="G608" t="s">
        <v>52</v>
      </c>
      <c r="H608">
        <v>3</v>
      </c>
      <c r="I608">
        <v>13232</v>
      </c>
      <c r="J608">
        <v>0.05</v>
      </c>
      <c r="K608">
        <v>37711.199999999997</v>
      </c>
      <c r="L608">
        <v>5597.34</v>
      </c>
    </row>
    <row r="609" spans="1:12" x14ac:dyDescent="0.3">
      <c r="A609" t="s">
        <v>841</v>
      </c>
      <c r="B609" s="3">
        <v>45955</v>
      </c>
      <c r="C609" t="s">
        <v>266</v>
      </c>
      <c r="D609" t="s">
        <v>65</v>
      </c>
      <c r="E609" t="s">
        <v>26</v>
      </c>
      <c r="F609" t="s">
        <v>58</v>
      </c>
      <c r="G609" t="s">
        <v>59</v>
      </c>
      <c r="H609">
        <v>2</v>
      </c>
      <c r="I609">
        <v>2187</v>
      </c>
      <c r="J609">
        <v>0.05</v>
      </c>
      <c r="K609">
        <v>4155.3</v>
      </c>
      <c r="L609">
        <v>591.87</v>
      </c>
    </row>
    <row r="610" spans="1:12" x14ac:dyDescent="0.3">
      <c r="A610" t="s">
        <v>842</v>
      </c>
      <c r="B610" s="3">
        <v>45857</v>
      </c>
      <c r="C610" t="s">
        <v>128</v>
      </c>
      <c r="D610" t="s">
        <v>30</v>
      </c>
      <c r="E610" t="s">
        <v>15</v>
      </c>
      <c r="F610" t="s">
        <v>27</v>
      </c>
      <c r="G610" t="s">
        <v>31</v>
      </c>
      <c r="H610">
        <v>3</v>
      </c>
      <c r="I610">
        <v>13439</v>
      </c>
      <c r="J610">
        <v>0.1</v>
      </c>
      <c r="K610">
        <v>36285.300000000003</v>
      </c>
      <c r="L610">
        <v>8284.86</v>
      </c>
    </row>
    <row r="611" spans="1:12" x14ac:dyDescent="0.3">
      <c r="A611" t="s">
        <v>843</v>
      </c>
      <c r="B611" s="3">
        <v>45923</v>
      </c>
      <c r="C611" t="s">
        <v>208</v>
      </c>
      <c r="D611" t="s">
        <v>80</v>
      </c>
      <c r="E611" t="s">
        <v>51</v>
      </c>
      <c r="F611" t="s">
        <v>58</v>
      </c>
      <c r="G611" t="s">
        <v>126</v>
      </c>
      <c r="H611">
        <v>1</v>
      </c>
      <c r="I611">
        <v>60499</v>
      </c>
      <c r="J611">
        <v>0.1</v>
      </c>
      <c r="K611">
        <v>54449.1</v>
      </c>
      <c r="L611">
        <v>9411.0300000000007</v>
      </c>
    </row>
    <row r="612" spans="1:12" x14ac:dyDescent="0.3">
      <c r="A612" t="s">
        <v>844</v>
      </c>
      <c r="B612" s="3">
        <v>45991</v>
      </c>
      <c r="C612" t="s">
        <v>544</v>
      </c>
      <c r="D612" t="s">
        <v>65</v>
      </c>
      <c r="E612" t="s">
        <v>26</v>
      </c>
      <c r="F612" t="s">
        <v>16</v>
      </c>
      <c r="G612" t="s">
        <v>52</v>
      </c>
      <c r="H612">
        <v>2</v>
      </c>
      <c r="I612">
        <v>1873</v>
      </c>
      <c r="J612">
        <v>0.05</v>
      </c>
      <c r="K612">
        <v>3558.7</v>
      </c>
      <c r="L612">
        <v>817.51</v>
      </c>
    </row>
    <row r="613" spans="1:12" x14ac:dyDescent="0.3">
      <c r="A613" t="s">
        <v>845</v>
      </c>
      <c r="B613" s="3">
        <v>45659</v>
      </c>
      <c r="C613" t="s">
        <v>141</v>
      </c>
      <c r="D613" t="s">
        <v>30</v>
      </c>
      <c r="E613" t="s">
        <v>15</v>
      </c>
      <c r="F613" t="s">
        <v>21</v>
      </c>
      <c r="G613" t="s">
        <v>35</v>
      </c>
      <c r="H613">
        <v>2</v>
      </c>
      <c r="I613">
        <v>9013</v>
      </c>
      <c r="J613">
        <v>0.2</v>
      </c>
      <c r="K613">
        <v>14420.800000000001</v>
      </c>
      <c r="L613">
        <v>2667.99</v>
      </c>
    </row>
    <row r="614" spans="1:12" x14ac:dyDescent="0.3">
      <c r="A614" t="s">
        <v>846</v>
      </c>
      <c r="B614" s="3">
        <v>45806</v>
      </c>
      <c r="C614" t="s">
        <v>597</v>
      </c>
      <c r="D614" t="s">
        <v>25</v>
      </c>
      <c r="E614" t="s">
        <v>26</v>
      </c>
      <c r="F614" t="s">
        <v>27</v>
      </c>
      <c r="G614" t="s">
        <v>40</v>
      </c>
      <c r="H614">
        <v>1</v>
      </c>
      <c r="I614">
        <v>6011</v>
      </c>
      <c r="J614">
        <v>0</v>
      </c>
      <c r="K614">
        <v>6011</v>
      </c>
      <c r="L614">
        <v>1655.77</v>
      </c>
    </row>
    <row r="615" spans="1:12" x14ac:dyDescent="0.3">
      <c r="A615" t="s">
        <v>847</v>
      </c>
      <c r="B615" s="3">
        <v>45741</v>
      </c>
      <c r="C615" t="s">
        <v>798</v>
      </c>
      <c r="D615" t="s">
        <v>14</v>
      </c>
      <c r="E615" t="s">
        <v>15</v>
      </c>
      <c r="F615" t="s">
        <v>27</v>
      </c>
      <c r="G615" t="s">
        <v>40</v>
      </c>
      <c r="H615">
        <v>3</v>
      </c>
      <c r="I615">
        <v>17265</v>
      </c>
      <c r="J615">
        <v>0.1</v>
      </c>
      <c r="K615">
        <v>46615.5</v>
      </c>
      <c r="L615">
        <v>10263.48</v>
      </c>
    </row>
    <row r="616" spans="1:12" x14ac:dyDescent="0.3">
      <c r="A616" t="s">
        <v>848</v>
      </c>
      <c r="B616" s="3">
        <v>45895</v>
      </c>
      <c r="C616" t="s">
        <v>805</v>
      </c>
      <c r="D616" t="s">
        <v>30</v>
      </c>
      <c r="E616" t="s">
        <v>15</v>
      </c>
      <c r="F616" t="s">
        <v>27</v>
      </c>
      <c r="G616" t="s">
        <v>28</v>
      </c>
      <c r="H616">
        <v>1</v>
      </c>
      <c r="I616">
        <v>13025</v>
      </c>
      <c r="J616">
        <v>0</v>
      </c>
      <c r="K616">
        <v>13025</v>
      </c>
      <c r="L616">
        <v>1896.03</v>
      </c>
    </row>
    <row r="617" spans="1:12" x14ac:dyDescent="0.3">
      <c r="A617" t="s">
        <v>849</v>
      </c>
      <c r="B617" s="3">
        <v>45705</v>
      </c>
      <c r="C617" t="s">
        <v>113</v>
      </c>
      <c r="D617" t="s">
        <v>47</v>
      </c>
      <c r="E617" t="s">
        <v>26</v>
      </c>
      <c r="F617" t="s">
        <v>16</v>
      </c>
      <c r="G617" t="s">
        <v>17</v>
      </c>
      <c r="H617">
        <v>2</v>
      </c>
      <c r="I617">
        <v>10105</v>
      </c>
      <c r="J617">
        <v>0.15</v>
      </c>
      <c r="K617">
        <v>17178.5</v>
      </c>
      <c r="L617">
        <v>1663.79</v>
      </c>
    </row>
    <row r="618" spans="1:12" x14ac:dyDescent="0.3">
      <c r="A618" t="s">
        <v>850</v>
      </c>
      <c r="B618" s="3">
        <v>45726</v>
      </c>
      <c r="C618" t="s">
        <v>234</v>
      </c>
      <c r="D618" t="s">
        <v>202</v>
      </c>
      <c r="E618" t="s">
        <v>44</v>
      </c>
      <c r="F618" t="s">
        <v>16</v>
      </c>
      <c r="G618" t="s">
        <v>17</v>
      </c>
      <c r="H618">
        <v>3</v>
      </c>
      <c r="I618">
        <v>2292</v>
      </c>
      <c r="J618">
        <v>0.1</v>
      </c>
      <c r="K618">
        <v>6188.4000000000005</v>
      </c>
      <c r="L618">
        <v>738.26</v>
      </c>
    </row>
    <row r="619" spans="1:12" x14ac:dyDescent="0.3">
      <c r="A619" t="s">
        <v>851</v>
      </c>
      <c r="B619" s="3">
        <v>45924</v>
      </c>
      <c r="C619" t="s">
        <v>159</v>
      </c>
      <c r="D619" t="s">
        <v>65</v>
      </c>
      <c r="E619" t="s">
        <v>26</v>
      </c>
      <c r="F619" t="s">
        <v>58</v>
      </c>
      <c r="G619" t="s">
        <v>126</v>
      </c>
      <c r="H619">
        <v>3</v>
      </c>
      <c r="I619">
        <v>4264</v>
      </c>
      <c r="J619">
        <v>0.15</v>
      </c>
      <c r="K619">
        <v>10873.199999999999</v>
      </c>
      <c r="L619">
        <v>1535.88</v>
      </c>
    </row>
    <row r="620" spans="1:12" x14ac:dyDescent="0.3">
      <c r="A620" t="s">
        <v>852</v>
      </c>
      <c r="B620" s="3">
        <v>45895</v>
      </c>
      <c r="C620" t="s">
        <v>617</v>
      </c>
      <c r="D620" t="s">
        <v>307</v>
      </c>
      <c r="E620" t="s">
        <v>73</v>
      </c>
      <c r="F620" t="s">
        <v>21</v>
      </c>
      <c r="G620" t="s">
        <v>22</v>
      </c>
      <c r="H620">
        <v>2</v>
      </c>
      <c r="I620">
        <v>384</v>
      </c>
      <c r="J620">
        <v>0</v>
      </c>
      <c r="K620">
        <v>768</v>
      </c>
      <c r="L620">
        <v>183.07</v>
      </c>
    </row>
    <row r="621" spans="1:12" x14ac:dyDescent="0.3">
      <c r="A621" t="s">
        <v>853</v>
      </c>
      <c r="B621" s="3">
        <v>46011</v>
      </c>
      <c r="C621" t="s">
        <v>260</v>
      </c>
      <c r="D621" t="s">
        <v>153</v>
      </c>
      <c r="E621" t="s">
        <v>26</v>
      </c>
      <c r="F621" t="s">
        <v>21</v>
      </c>
      <c r="G621" t="s">
        <v>55</v>
      </c>
      <c r="H621">
        <v>1</v>
      </c>
      <c r="I621">
        <v>7129</v>
      </c>
      <c r="J621">
        <v>0.2</v>
      </c>
      <c r="K621">
        <v>5703.2000000000007</v>
      </c>
      <c r="L621">
        <v>1286.22</v>
      </c>
    </row>
    <row r="622" spans="1:12" x14ac:dyDescent="0.3">
      <c r="A622" t="s">
        <v>854</v>
      </c>
      <c r="B622" s="3">
        <v>45782</v>
      </c>
      <c r="C622" t="s">
        <v>403</v>
      </c>
      <c r="D622" t="s">
        <v>92</v>
      </c>
      <c r="E622" t="s">
        <v>51</v>
      </c>
      <c r="F622" t="s">
        <v>27</v>
      </c>
      <c r="G622" t="s">
        <v>40</v>
      </c>
      <c r="H622">
        <v>2</v>
      </c>
      <c r="I622">
        <v>18974</v>
      </c>
      <c r="J622">
        <v>0.1</v>
      </c>
      <c r="K622">
        <v>34153.200000000004</v>
      </c>
      <c r="L622">
        <v>6077.81</v>
      </c>
    </row>
    <row r="623" spans="1:12" x14ac:dyDescent="0.3">
      <c r="A623" t="s">
        <v>855</v>
      </c>
      <c r="B623" s="3">
        <v>45869</v>
      </c>
      <c r="C623" t="s">
        <v>64</v>
      </c>
      <c r="D623" t="s">
        <v>120</v>
      </c>
      <c r="E623" t="s">
        <v>51</v>
      </c>
      <c r="F623" t="s">
        <v>58</v>
      </c>
      <c r="G623" t="s">
        <v>69</v>
      </c>
      <c r="H623">
        <v>1</v>
      </c>
      <c r="I623">
        <v>1794</v>
      </c>
      <c r="J623">
        <v>0.05</v>
      </c>
      <c r="K623">
        <v>1704.3</v>
      </c>
      <c r="L623">
        <v>309.05</v>
      </c>
    </row>
    <row r="624" spans="1:12" x14ac:dyDescent="0.3">
      <c r="A624" t="s">
        <v>856</v>
      </c>
      <c r="B624" s="3">
        <v>45677</v>
      </c>
      <c r="C624" t="s">
        <v>358</v>
      </c>
      <c r="D624" t="s">
        <v>25</v>
      </c>
      <c r="E624" t="s">
        <v>26</v>
      </c>
      <c r="F624" t="s">
        <v>27</v>
      </c>
      <c r="G624" t="s">
        <v>31</v>
      </c>
      <c r="H624">
        <v>4</v>
      </c>
      <c r="I624">
        <v>12028</v>
      </c>
      <c r="J624">
        <v>0.05</v>
      </c>
      <c r="K624">
        <v>45706.400000000001</v>
      </c>
      <c r="L624">
        <v>10394.85</v>
      </c>
    </row>
    <row r="625" spans="1:12" x14ac:dyDescent="0.3">
      <c r="A625" t="s">
        <v>857</v>
      </c>
      <c r="B625" s="3">
        <v>45802</v>
      </c>
      <c r="C625" t="s">
        <v>415</v>
      </c>
      <c r="D625" t="s">
        <v>34</v>
      </c>
      <c r="E625" t="s">
        <v>15</v>
      </c>
      <c r="F625" t="s">
        <v>16</v>
      </c>
      <c r="G625" t="s">
        <v>104</v>
      </c>
      <c r="H625">
        <v>2</v>
      </c>
      <c r="I625">
        <v>8136</v>
      </c>
      <c r="J625">
        <v>0.05</v>
      </c>
      <c r="K625">
        <v>15458.4</v>
      </c>
      <c r="L625">
        <v>3316.62</v>
      </c>
    </row>
    <row r="626" spans="1:12" x14ac:dyDescent="0.3">
      <c r="A626" t="s">
        <v>858</v>
      </c>
      <c r="B626" s="3">
        <v>45696</v>
      </c>
      <c r="C626" t="s">
        <v>595</v>
      </c>
      <c r="D626" t="s">
        <v>47</v>
      </c>
      <c r="E626" t="s">
        <v>26</v>
      </c>
      <c r="F626" t="s">
        <v>58</v>
      </c>
      <c r="G626" t="s">
        <v>69</v>
      </c>
      <c r="H626">
        <v>2</v>
      </c>
      <c r="I626">
        <v>13437</v>
      </c>
      <c r="J626">
        <v>0</v>
      </c>
      <c r="K626">
        <v>26874</v>
      </c>
      <c r="L626">
        <v>2720.51</v>
      </c>
    </row>
    <row r="627" spans="1:12" x14ac:dyDescent="0.3">
      <c r="A627" t="s">
        <v>859</v>
      </c>
      <c r="B627" s="3">
        <v>45767</v>
      </c>
      <c r="C627" t="s">
        <v>123</v>
      </c>
      <c r="D627" t="s">
        <v>68</v>
      </c>
      <c r="E627" t="s">
        <v>44</v>
      </c>
      <c r="F627" t="s">
        <v>16</v>
      </c>
      <c r="G627" t="s">
        <v>104</v>
      </c>
      <c r="H627">
        <v>3</v>
      </c>
      <c r="I627">
        <v>4144</v>
      </c>
      <c r="J627">
        <v>0.25</v>
      </c>
      <c r="K627">
        <v>9324</v>
      </c>
      <c r="L627">
        <v>1615.39</v>
      </c>
    </row>
    <row r="628" spans="1:12" x14ac:dyDescent="0.3">
      <c r="A628" t="s">
        <v>860</v>
      </c>
      <c r="B628" s="3">
        <v>46000</v>
      </c>
      <c r="C628" t="s">
        <v>501</v>
      </c>
      <c r="D628" t="s">
        <v>120</v>
      </c>
      <c r="E628" t="s">
        <v>51</v>
      </c>
      <c r="F628" t="s">
        <v>21</v>
      </c>
      <c r="G628" t="s">
        <v>55</v>
      </c>
      <c r="H628">
        <v>1</v>
      </c>
      <c r="I628">
        <v>481</v>
      </c>
      <c r="J628">
        <v>0.05</v>
      </c>
      <c r="K628">
        <v>456.95</v>
      </c>
      <c r="L628">
        <v>113.69</v>
      </c>
    </row>
    <row r="629" spans="1:12" x14ac:dyDescent="0.3">
      <c r="A629" t="s">
        <v>861</v>
      </c>
      <c r="B629" s="3">
        <v>45903</v>
      </c>
      <c r="C629" t="s">
        <v>42</v>
      </c>
      <c r="D629" t="s">
        <v>103</v>
      </c>
      <c r="E629" t="s">
        <v>51</v>
      </c>
      <c r="F629" t="s">
        <v>27</v>
      </c>
      <c r="G629" t="s">
        <v>31</v>
      </c>
      <c r="H629">
        <v>2</v>
      </c>
      <c r="I629">
        <v>3932</v>
      </c>
      <c r="J629">
        <v>0.1</v>
      </c>
      <c r="K629">
        <v>7077.6</v>
      </c>
      <c r="L629">
        <v>1818.67</v>
      </c>
    </row>
    <row r="630" spans="1:12" x14ac:dyDescent="0.3">
      <c r="A630" t="s">
        <v>862</v>
      </c>
      <c r="B630" s="3">
        <v>45851</v>
      </c>
      <c r="C630" t="s">
        <v>503</v>
      </c>
      <c r="D630" t="s">
        <v>120</v>
      </c>
      <c r="E630" t="s">
        <v>51</v>
      </c>
      <c r="F630" t="s">
        <v>58</v>
      </c>
      <c r="G630" t="s">
        <v>59</v>
      </c>
      <c r="H630">
        <v>5</v>
      </c>
      <c r="I630">
        <v>1957</v>
      </c>
      <c r="J630">
        <v>0.1</v>
      </c>
      <c r="K630">
        <v>8806.5</v>
      </c>
      <c r="L630">
        <v>1938.95</v>
      </c>
    </row>
    <row r="631" spans="1:12" x14ac:dyDescent="0.3">
      <c r="A631" t="s">
        <v>863</v>
      </c>
      <c r="B631" s="3">
        <v>45932</v>
      </c>
      <c r="C631" t="s">
        <v>131</v>
      </c>
      <c r="D631" t="s">
        <v>68</v>
      </c>
      <c r="E631" t="s">
        <v>44</v>
      </c>
      <c r="F631" t="s">
        <v>58</v>
      </c>
      <c r="G631" t="s">
        <v>69</v>
      </c>
      <c r="H631">
        <v>1</v>
      </c>
      <c r="I631">
        <v>3444</v>
      </c>
      <c r="J631">
        <v>0</v>
      </c>
      <c r="K631">
        <v>3444</v>
      </c>
      <c r="L631">
        <v>341.4</v>
      </c>
    </row>
    <row r="632" spans="1:12" x14ac:dyDescent="0.3">
      <c r="A632" t="s">
        <v>864</v>
      </c>
      <c r="B632" s="3">
        <v>45839</v>
      </c>
      <c r="C632" t="s">
        <v>665</v>
      </c>
      <c r="D632" t="s">
        <v>92</v>
      </c>
      <c r="E632" t="s">
        <v>51</v>
      </c>
      <c r="F632" t="s">
        <v>58</v>
      </c>
      <c r="G632" t="s">
        <v>126</v>
      </c>
      <c r="H632">
        <v>1</v>
      </c>
      <c r="I632">
        <v>14492</v>
      </c>
      <c r="J632">
        <v>0.15</v>
      </c>
      <c r="K632">
        <v>12318.199999999999</v>
      </c>
      <c r="L632">
        <v>2363.17</v>
      </c>
    </row>
    <row r="633" spans="1:12" x14ac:dyDescent="0.3">
      <c r="A633" t="s">
        <v>865</v>
      </c>
      <c r="B633" s="3">
        <v>45734</v>
      </c>
      <c r="C633" t="s">
        <v>13</v>
      </c>
      <c r="D633" t="s">
        <v>43</v>
      </c>
      <c r="E633" t="s">
        <v>44</v>
      </c>
      <c r="F633" t="s">
        <v>21</v>
      </c>
      <c r="G633" t="s">
        <v>55</v>
      </c>
      <c r="H633">
        <v>4</v>
      </c>
      <c r="I633">
        <v>1134</v>
      </c>
      <c r="J633">
        <v>0</v>
      </c>
      <c r="K633">
        <v>4536</v>
      </c>
      <c r="L633">
        <v>720.4</v>
      </c>
    </row>
    <row r="634" spans="1:12" x14ac:dyDescent="0.3">
      <c r="A634" t="s">
        <v>866</v>
      </c>
      <c r="B634" s="3">
        <v>45845</v>
      </c>
      <c r="C634" t="s">
        <v>61</v>
      </c>
      <c r="D634" t="s">
        <v>30</v>
      </c>
      <c r="E634" t="s">
        <v>15</v>
      </c>
      <c r="F634" t="s">
        <v>21</v>
      </c>
      <c r="G634" t="s">
        <v>55</v>
      </c>
      <c r="H634">
        <v>3</v>
      </c>
      <c r="I634">
        <v>6026</v>
      </c>
      <c r="J634">
        <v>0.1</v>
      </c>
      <c r="K634">
        <v>16270.2</v>
      </c>
      <c r="L634">
        <v>1926.25</v>
      </c>
    </row>
    <row r="635" spans="1:12" x14ac:dyDescent="0.3">
      <c r="A635" t="s">
        <v>867</v>
      </c>
      <c r="B635" s="3">
        <v>45800</v>
      </c>
      <c r="C635" t="s">
        <v>440</v>
      </c>
      <c r="D635" t="s">
        <v>47</v>
      </c>
      <c r="E635" t="s">
        <v>26</v>
      </c>
      <c r="F635" t="s">
        <v>27</v>
      </c>
      <c r="G635" t="s">
        <v>40</v>
      </c>
      <c r="H635">
        <v>1</v>
      </c>
      <c r="I635">
        <v>20632</v>
      </c>
      <c r="J635">
        <v>0.15</v>
      </c>
      <c r="K635">
        <v>17537.2</v>
      </c>
      <c r="L635">
        <v>3775.4</v>
      </c>
    </row>
    <row r="636" spans="1:12" x14ac:dyDescent="0.3">
      <c r="A636" t="s">
        <v>868</v>
      </c>
      <c r="B636" s="3">
        <v>45668</v>
      </c>
      <c r="C636" t="s">
        <v>339</v>
      </c>
      <c r="D636" t="s">
        <v>103</v>
      </c>
      <c r="E636" t="s">
        <v>51</v>
      </c>
      <c r="F636" t="s">
        <v>27</v>
      </c>
      <c r="G636" t="s">
        <v>28</v>
      </c>
      <c r="H636">
        <v>2</v>
      </c>
      <c r="I636">
        <v>8565</v>
      </c>
      <c r="J636">
        <v>0.25</v>
      </c>
      <c r="K636">
        <v>12847.5</v>
      </c>
      <c r="L636">
        <v>2184.79</v>
      </c>
    </row>
    <row r="637" spans="1:12" x14ac:dyDescent="0.3">
      <c r="A637" t="s">
        <v>869</v>
      </c>
      <c r="B637" s="3">
        <v>45846</v>
      </c>
      <c r="C637" t="s">
        <v>358</v>
      </c>
      <c r="D637" t="s">
        <v>50</v>
      </c>
      <c r="E637" t="s">
        <v>51</v>
      </c>
      <c r="F637" t="s">
        <v>21</v>
      </c>
      <c r="G637" t="s">
        <v>55</v>
      </c>
      <c r="H637">
        <v>5</v>
      </c>
      <c r="I637">
        <v>3064</v>
      </c>
      <c r="J637">
        <v>0.15</v>
      </c>
      <c r="K637">
        <v>13022</v>
      </c>
      <c r="L637">
        <v>1869.71</v>
      </c>
    </row>
    <row r="638" spans="1:12" x14ac:dyDescent="0.3">
      <c r="A638" t="s">
        <v>870</v>
      </c>
      <c r="B638" s="3">
        <v>45877</v>
      </c>
      <c r="C638" t="s">
        <v>90</v>
      </c>
      <c r="D638" t="s">
        <v>14</v>
      </c>
      <c r="E638" t="s">
        <v>15</v>
      </c>
      <c r="F638" t="s">
        <v>21</v>
      </c>
      <c r="G638" t="s">
        <v>35</v>
      </c>
      <c r="H638">
        <v>2</v>
      </c>
      <c r="I638">
        <v>10836</v>
      </c>
      <c r="J638">
        <v>0.1</v>
      </c>
      <c r="K638">
        <v>19504.8</v>
      </c>
      <c r="L638">
        <v>3983.61</v>
      </c>
    </row>
    <row r="639" spans="1:12" x14ac:dyDescent="0.3">
      <c r="A639" t="s">
        <v>871</v>
      </c>
      <c r="B639" s="3">
        <v>45763</v>
      </c>
      <c r="C639" t="s">
        <v>263</v>
      </c>
      <c r="D639" t="s">
        <v>92</v>
      </c>
      <c r="E639" t="s">
        <v>51</v>
      </c>
      <c r="F639" t="s">
        <v>58</v>
      </c>
      <c r="G639" t="s">
        <v>59</v>
      </c>
      <c r="H639">
        <v>2</v>
      </c>
      <c r="I639">
        <v>22009</v>
      </c>
      <c r="J639">
        <v>0</v>
      </c>
      <c r="K639">
        <v>44018</v>
      </c>
      <c r="L639">
        <v>7295.05</v>
      </c>
    </row>
    <row r="640" spans="1:12" x14ac:dyDescent="0.3">
      <c r="A640" t="s">
        <v>872</v>
      </c>
      <c r="B640" s="3">
        <v>45913</v>
      </c>
      <c r="C640" t="s">
        <v>391</v>
      </c>
      <c r="D640" t="s">
        <v>80</v>
      </c>
      <c r="E640" t="s">
        <v>51</v>
      </c>
      <c r="F640" t="s">
        <v>21</v>
      </c>
      <c r="G640" t="s">
        <v>35</v>
      </c>
      <c r="H640">
        <v>5</v>
      </c>
      <c r="I640">
        <v>46298</v>
      </c>
      <c r="J640">
        <v>0.05</v>
      </c>
      <c r="K640">
        <v>219915.5</v>
      </c>
      <c r="L640">
        <v>31241.51</v>
      </c>
    </row>
    <row r="641" spans="1:12" x14ac:dyDescent="0.3">
      <c r="A641" t="s">
        <v>873</v>
      </c>
      <c r="B641" s="3">
        <v>45661</v>
      </c>
      <c r="C641" t="s">
        <v>255</v>
      </c>
      <c r="D641" t="s">
        <v>92</v>
      </c>
      <c r="E641" t="s">
        <v>51</v>
      </c>
      <c r="F641" t="s">
        <v>21</v>
      </c>
      <c r="G641" t="s">
        <v>55</v>
      </c>
      <c r="H641">
        <v>4</v>
      </c>
      <c r="I641">
        <v>9752</v>
      </c>
      <c r="J641">
        <v>0.05</v>
      </c>
      <c r="K641">
        <v>37057.599999999999</v>
      </c>
      <c r="L641">
        <v>5967.37</v>
      </c>
    </row>
    <row r="642" spans="1:12" x14ac:dyDescent="0.3">
      <c r="A642" t="s">
        <v>874</v>
      </c>
      <c r="B642" s="3">
        <v>45966</v>
      </c>
      <c r="C642" t="s">
        <v>473</v>
      </c>
      <c r="D642" t="s">
        <v>88</v>
      </c>
      <c r="E642" t="s">
        <v>73</v>
      </c>
      <c r="F642" t="s">
        <v>58</v>
      </c>
      <c r="G642" t="s">
        <v>126</v>
      </c>
      <c r="H642">
        <v>1</v>
      </c>
      <c r="I642">
        <v>574</v>
      </c>
      <c r="J642">
        <v>0</v>
      </c>
      <c r="K642">
        <v>574</v>
      </c>
      <c r="L642">
        <v>83.37</v>
      </c>
    </row>
    <row r="643" spans="1:12" x14ac:dyDescent="0.3">
      <c r="A643" t="s">
        <v>875</v>
      </c>
      <c r="B643" s="3">
        <v>45864</v>
      </c>
      <c r="C643" t="s">
        <v>240</v>
      </c>
      <c r="D643" t="s">
        <v>47</v>
      </c>
      <c r="E643" t="s">
        <v>26</v>
      </c>
      <c r="F643" t="s">
        <v>58</v>
      </c>
      <c r="G643" t="s">
        <v>59</v>
      </c>
      <c r="H643">
        <v>1</v>
      </c>
      <c r="I643">
        <v>20865</v>
      </c>
      <c r="J643">
        <v>0.05</v>
      </c>
      <c r="K643">
        <v>19821.75</v>
      </c>
      <c r="L643">
        <v>2732.4</v>
      </c>
    </row>
    <row r="644" spans="1:12" x14ac:dyDescent="0.3">
      <c r="A644" t="s">
        <v>876</v>
      </c>
      <c r="B644" s="3">
        <v>46004</v>
      </c>
      <c r="C644" t="s">
        <v>346</v>
      </c>
      <c r="D644" t="s">
        <v>92</v>
      </c>
      <c r="E644" t="s">
        <v>51</v>
      </c>
      <c r="F644" t="s">
        <v>58</v>
      </c>
      <c r="G644" t="s">
        <v>59</v>
      </c>
      <c r="H644">
        <v>4</v>
      </c>
      <c r="I644">
        <v>18235</v>
      </c>
      <c r="J644">
        <v>0.1</v>
      </c>
      <c r="K644">
        <v>65646</v>
      </c>
      <c r="L644">
        <v>5470.42</v>
      </c>
    </row>
    <row r="645" spans="1:12" x14ac:dyDescent="0.3">
      <c r="A645" t="s">
        <v>877</v>
      </c>
      <c r="B645" s="3">
        <v>45981</v>
      </c>
      <c r="C645" t="s">
        <v>878</v>
      </c>
      <c r="D645" t="s">
        <v>72</v>
      </c>
      <c r="E645" t="s">
        <v>73</v>
      </c>
      <c r="F645" t="s">
        <v>58</v>
      </c>
      <c r="G645" t="s">
        <v>59</v>
      </c>
      <c r="H645">
        <v>2</v>
      </c>
      <c r="I645">
        <v>257</v>
      </c>
      <c r="J645">
        <v>0.1</v>
      </c>
      <c r="K645">
        <v>462.6</v>
      </c>
      <c r="L645">
        <v>98.2</v>
      </c>
    </row>
    <row r="646" spans="1:12" x14ac:dyDescent="0.3">
      <c r="A646" t="s">
        <v>879</v>
      </c>
      <c r="B646" s="3">
        <v>45755</v>
      </c>
      <c r="C646" t="s">
        <v>440</v>
      </c>
      <c r="D646" t="s">
        <v>72</v>
      </c>
      <c r="E646" t="s">
        <v>73</v>
      </c>
      <c r="F646" t="s">
        <v>16</v>
      </c>
      <c r="G646" t="s">
        <v>17</v>
      </c>
      <c r="H646">
        <v>3</v>
      </c>
      <c r="I646">
        <v>694</v>
      </c>
      <c r="J646">
        <v>0.05</v>
      </c>
      <c r="K646">
        <v>1977.8999999999999</v>
      </c>
      <c r="L646">
        <v>370.32</v>
      </c>
    </row>
    <row r="647" spans="1:12" x14ac:dyDescent="0.3">
      <c r="A647" t="s">
        <v>880</v>
      </c>
      <c r="B647" s="3">
        <v>45852</v>
      </c>
      <c r="C647" t="s">
        <v>427</v>
      </c>
      <c r="D647" t="s">
        <v>20</v>
      </c>
      <c r="E647" t="s">
        <v>15</v>
      </c>
      <c r="F647" t="s">
        <v>21</v>
      </c>
      <c r="G647" t="s">
        <v>55</v>
      </c>
      <c r="H647">
        <v>2</v>
      </c>
      <c r="I647">
        <v>5915</v>
      </c>
      <c r="J647">
        <v>0.15</v>
      </c>
      <c r="K647">
        <v>10055.5</v>
      </c>
      <c r="L647">
        <v>1770.89</v>
      </c>
    </row>
    <row r="648" spans="1:12" x14ac:dyDescent="0.3">
      <c r="A648" t="s">
        <v>881</v>
      </c>
      <c r="B648" s="3">
        <v>45701</v>
      </c>
      <c r="C648" t="s">
        <v>456</v>
      </c>
      <c r="D648" t="s">
        <v>103</v>
      </c>
      <c r="E648" t="s">
        <v>51</v>
      </c>
      <c r="F648" t="s">
        <v>21</v>
      </c>
      <c r="G648" t="s">
        <v>22</v>
      </c>
      <c r="H648">
        <v>1</v>
      </c>
      <c r="I648">
        <v>7646</v>
      </c>
      <c r="J648">
        <v>0.1</v>
      </c>
      <c r="K648">
        <v>6881.4000000000005</v>
      </c>
      <c r="L648">
        <v>625.66999999999996</v>
      </c>
    </row>
    <row r="649" spans="1:12" x14ac:dyDescent="0.3">
      <c r="A649" t="s">
        <v>882</v>
      </c>
      <c r="B649" s="3">
        <v>45694</v>
      </c>
      <c r="C649" t="s">
        <v>798</v>
      </c>
      <c r="D649" t="s">
        <v>14</v>
      </c>
      <c r="E649" t="s">
        <v>15</v>
      </c>
      <c r="F649" t="s">
        <v>16</v>
      </c>
      <c r="G649" t="s">
        <v>52</v>
      </c>
      <c r="H649">
        <v>3</v>
      </c>
      <c r="I649">
        <v>9659</v>
      </c>
      <c r="J649">
        <v>0</v>
      </c>
      <c r="K649">
        <v>28977</v>
      </c>
      <c r="L649">
        <v>3066.18</v>
      </c>
    </row>
    <row r="650" spans="1:12" x14ac:dyDescent="0.3">
      <c r="A650" t="s">
        <v>883</v>
      </c>
      <c r="B650" s="3">
        <v>45906</v>
      </c>
      <c r="C650" t="s">
        <v>731</v>
      </c>
      <c r="D650" t="s">
        <v>88</v>
      </c>
      <c r="E650" t="s">
        <v>73</v>
      </c>
      <c r="F650" t="s">
        <v>58</v>
      </c>
      <c r="G650" t="s">
        <v>59</v>
      </c>
      <c r="H650">
        <v>1</v>
      </c>
      <c r="I650">
        <v>266</v>
      </c>
      <c r="J650">
        <v>0.2</v>
      </c>
      <c r="K650">
        <v>212.8</v>
      </c>
      <c r="L650">
        <v>31.62</v>
      </c>
    </row>
    <row r="651" spans="1:12" x14ac:dyDescent="0.3">
      <c r="A651" t="s">
        <v>884</v>
      </c>
      <c r="B651" s="3">
        <v>45667</v>
      </c>
      <c r="C651" t="s">
        <v>33</v>
      </c>
      <c r="D651" t="s">
        <v>14</v>
      </c>
      <c r="E651" t="s">
        <v>15</v>
      </c>
      <c r="F651" t="s">
        <v>58</v>
      </c>
      <c r="G651" t="s">
        <v>59</v>
      </c>
      <c r="H651">
        <v>3</v>
      </c>
      <c r="I651">
        <v>17805</v>
      </c>
      <c r="J651">
        <v>0</v>
      </c>
      <c r="K651">
        <v>53415</v>
      </c>
      <c r="L651">
        <v>5306.19</v>
      </c>
    </row>
    <row r="652" spans="1:12" x14ac:dyDescent="0.3">
      <c r="A652" t="s">
        <v>885</v>
      </c>
      <c r="B652" s="3">
        <v>45870</v>
      </c>
      <c r="C652" t="s">
        <v>61</v>
      </c>
      <c r="D652" t="s">
        <v>68</v>
      </c>
      <c r="E652" t="s">
        <v>44</v>
      </c>
      <c r="F652" t="s">
        <v>58</v>
      </c>
      <c r="G652" t="s">
        <v>69</v>
      </c>
      <c r="H652">
        <v>1</v>
      </c>
      <c r="I652">
        <v>2092</v>
      </c>
      <c r="J652">
        <v>0</v>
      </c>
      <c r="K652">
        <v>2092</v>
      </c>
      <c r="L652">
        <v>246.35</v>
      </c>
    </row>
    <row r="653" spans="1:12" x14ac:dyDescent="0.3">
      <c r="A653" t="s">
        <v>886</v>
      </c>
      <c r="B653" s="3">
        <v>45804</v>
      </c>
      <c r="C653" t="s">
        <v>111</v>
      </c>
      <c r="D653" t="s">
        <v>25</v>
      </c>
      <c r="E653" t="s">
        <v>26</v>
      </c>
      <c r="F653" t="s">
        <v>16</v>
      </c>
      <c r="G653" t="s">
        <v>17</v>
      </c>
      <c r="H653">
        <v>3</v>
      </c>
      <c r="I653">
        <v>6126</v>
      </c>
      <c r="J653">
        <v>0.15</v>
      </c>
      <c r="K653">
        <v>15621.3</v>
      </c>
      <c r="L653">
        <v>4040.62</v>
      </c>
    </row>
    <row r="654" spans="1:12" x14ac:dyDescent="0.3">
      <c r="A654" t="s">
        <v>887</v>
      </c>
      <c r="B654" s="3">
        <v>45752</v>
      </c>
      <c r="C654" t="s">
        <v>189</v>
      </c>
      <c r="D654" t="s">
        <v>25</v>
      </c>
      <c r="E654" t="s">
        <v>26</v>
      </c>
      <c r="F654" t="s">
        <v>21</v>
      </c>
      <c r="G654" t="s">
        <v>55</v>
      </c>
      <c r="H654">
        <v>4</v>
      </c>
      <c r="I654">
        <v>16727</v>
      </c>
      <c r="J654">
        <v>0.05</v>
      </c>
      <c r="K654">
        <v>63562.6</v>
      </c>
      <c r="L654">
        <v>12904.09</v>
      </c>
    </row>
    <row r="655" spans="1:12" x14ac:dyDescent="0.3">
      <c r="A655" t="s">
        <v>888</v>
      </c>
      <c r="B655" s="3">
        <v>45839</v>
      </c>
      <c r="C655" t="s">
        <v>231</v>
      </c>
      <c r="D655" t="s">
        <v>120</v>
      </c>
      <c r="E655" t="s">
        <v>51</v>
      </c>
      <c r="F655" t="s">
        <v>21</v>
      </c>
      <c r="G655" t="s">
        <v>55</v>
      </c>
      <c r="H655">
        <v>4</v>
      </c>
      <c r="I655">
        <v>873</v>
      </c>
      <c r="J655">
        <v>0.1</v>
      </c>
      <c r="K655">
        <v>3142.8</v>
      </c>
      <c r="L655">
        <v>455.28</v>
      </c>
    </row>
    <row r="656" spans="1:12" x14ac:dyDescent="0.3">
      <c r="A656" t="s">
        <v>889</v>
      </c>
      <c r="B656" s="3">
        <v>45934</v>
      </c>
      <c r="C656" t="s">
        <v>199</v>
      </c>
      <c r="D656" t="s">
        <v>80</v>
      </c>
      <c r="E656" t="s">
        <v>51</v>
      </c>
      <c r="F656" t="s">
        <v>58</v>
      </c>
      <c r="G656" t="s">
        <v>126</v>
      </c>
      <c r="H656">
        <v>1</v>
      </c>
      <c r="I656">
        <v>62902</v>
      </c>
      <c r="J656">
        <v>0.15</v>
      </c>
      <c r="K656">
        <v>53466.7</v>
      </c>
      <c r="L656">
        <v>8102.93</v>
      </c>
    </row>
    <row r="657" spans="1:12" x14ac:dyDescent="0.3">
      <c r="A657" t="s">
        <v>890</v>
      </c>
      <c r="B657" s="3">
        <v>45841</v>
      </c>
      <c r="C657" t="s">
        <v>535</v>
      </c>
      <c r="D657" t="s">
        <v>120</v>
      </c>
      <c r="E657" t="s">
        <v>51</v>
      </c>
      <c r="F657" t="s">
        <v>58</v>
      </c>
      <c r="G657" t="s">
        <v>69</v>
      </c>
      <c r="H657">
        <v>5</v>
      </c>
      <c r="I657">
        <v>2100</v>
      </c>
      <c r="J657">
        <v>0.05</v>
      </c>
      <c r="K657">
        <v>9975</v>
      </c>
      <c r="L657">
        <v>1936.85</v>
      </c>
    </row>
    <row r="658" spans="1:12" x14ac:dyDescent="0.3">
      <c r="A658" t="s">
        <v>891</v>
      </c>
      <c r="B658" s="3">
        <v>45868</v>
      </c>
      <c r="C658" t="s">
        <v>351</v>
      </c>
      <c r="D658" t="s">
        <v>83</v>
      </c>
      <c r="E658" t="s">
        <v>73</v>
      </c>
      <c r="F658" t="s">
        <v>27</v>
      </c>
      <c r="G658" t="s">
        <v>31</v>
      </c>
      <c r="H658">
        <v>2</v>
      </c>
      <c r="I658">
        <v>621</v>
      </c>
      <c r="J658">
        <v>0.1</v>
      </c>
      <c r="K658">
        <v>1117.8</v>
      </c>
      <c r="L658">
        <v>300.10000000000002</v>
      </c>
    </row>
    <row r="659" spans="1:12" x14ac:dyDescent="0.3">
      <c r="A659" t="s">
        <v>892</v>
      </c>
      <c r="B659" s="3">
        <v>45757</v>
      </c>
      <c r="C659" t="s">
        <v>251</v>
      </c>
      <c r="D659" t="s">
        <v>92</v>
      </c>
      <c r="E659" t="s">
        <v>51</v>
      </c>
      <c r="F659" t="s">
        <v>16</v>
      </c>
      <c r="G659" t="s">
        <v>104</v>
      </c>
      <c r="H659">
        <v>3</v>
      </c>
      <c r="I659">
        <v>12410</v>
      </c>
      <c r="J659">
        <v>0.15</v>
      </c>
      <c r="K659">
        <v>31645.5</v>
      </c>
      <c r="L659">
        <v>8581.27</v>
      </c>
    </row>
    <row r="660" spans="1:12" x14ac:dyDescent="0.3">
      <c r="A660" t="s">
        <v>893</v>
      </c>
      <c r="B660" s="3">
        <v>45854</v>
      </c>
      <c r="C660" t="s">
        <v>94</v>
      </c>
      <c r="D660" t="s">
        <v>43</v>
      </c>
      <c r="E660" t="s">
        <v>44</v>
      </c>
      <c r="F660" t="s">
        <v>58</v>
      </c>
      <c r="G660" t="s">
        <v>69</v>
      </c>
      <c r="H660">
        <v>1</v>
      </c>
      <c r="I660">
        <v>1314</v>
      </c>
      <c r="J660">
        <v>0</v>
      </c>
      <c r="K660">
        <v>1314</v>
      </c>
      <c r="L660">
        <v>176.51</v>
      </c>
    </row>
    <row r="661" spans="1:12" x14ac:dyDescent="0.3">
      <c r="A661" t="s">
        <v>894</v>
      </c>
      <c r="B661" s="3">
        <v>45868</v>
      </c>
      <c r="C661" t="s">
        <v>46</v>
      </c>
      <c r="D661" t="s">
        <v>307</v>
      </c>
      <c r="E661" t="s">
        <v>73</v>
      </c>
      <c r="F661" t="s">
        <v>27</v>
      </c>
      <c r="G661" t="s">
        <v>28</v>
      </c>
      <c r="H661">
        <v>2</v>
      </c>
      <c r="I661">
        <v>217</v>
      </c>
      <c r="J661">
        <v>0.15</v>
      </c>
      <c r="K661">
        <v>368.9</v>
      </c>
      <c r="L661">
        <v>42.09</v>
      </c>
    </row>
    <row r="662" spans="1:12" x14ac:dyDescent="0.3">
      <c r="A662" t="s">
        <v>895</v>
      </c>
      <c r="B662" s="3">
        <v>45845</v>
      </c>
      <c r="C662" t="s">
        <v>492</v>
      </c>
      <c r="D662" t="s">
        <v>20</v>
      </c>
      <c r="E662" t="s">
        <v>15</v>
      </c>
      <c r="F662" t="s">
        <v>58</v>
      </c>
      <c r="G662" t="s">
        <v>59</v>
      </c>
      <c r="H662">
        <v>3</v>
      </c>
      <c r="I662">
        <v>11341</v>
      </c>
      <c r="J662">
        <v>0.05</v>
      </c>
      <c r="K662">
        <v>32321.85</v>
      </c>
      <c r="L662">
        <v>7821.75</v>
      </c>
    </row>
    <row r="663" spans="1:12" x14ac:dyDescent="0.3">
      <c r="A663" t="s">
        <v>896</v>
      </c>
      <c r="B663" s="3">
        <v>45704</v>
      </c>
      <c r="C663" t="s">
        <v>897</v>
      </c>
      <c r="D663" t="s">
        <v>103</v>
      </c>
      <c r="E663" t="s">
        <v>51</v>
      </c>
      <c r="F663" t="s">
        <v>58</v>
      </c>
      <c r="G663" t="s">
        <v>69</v>
      </c>
      <c r="H663">
        <v>1</v>
      </c>
      <c r="I663">
        <v>2646</v>
      </c>
      <c r="J663">
        <v>0</v>
      </c>
      <c r="K663">
        <v>2646</v>
      </c>
      <c r="L663">
        <v>483.09</v>
      </c>
    </row>
    <row r="664" spans="1:12" x14ac:dyDescent="0.3">
      <c r="A664" t="s">
        <v>898</v>
      </c>
      <c r="B664" s="3">
        <v>45824</v>
      </c>
      <c r="C664" t="s">
        <v>458</v>
      </c>
      <c r="D664" t="s">
        <v>202</v>
      </c>
      <c r="E664" t="s">
        <v>44</v>
      </c>
      <c r="F664" t="s">
        <v>21</v>
      </c>
      <c r="G664" t="s">
        <v>55</v>
      </c>
      <c r="H664">
        <v>4</v>
      </c>
      <c r="I664">
        <v>1535</v>
      </c>
      <c r="J664">
        <v>0.05</v>
      </c>
      <c r="K664">
        <v>5833</v>
      </c>
      <c r="L664">
        <v>1546.71</v>
      </c>
    </row>
    <row r="665" spans="1:12" x14ac:dyDescent="0.3">
      <c r="A665" t="s">
        <v>899</v>
      </c>
      <c r="B665" s="3">
        <v>45858</v>
      </c>
      <c r="C665" t="s">
        <v>900</v>
      </c>
      <c r="D665" t="s">
        <v>34</v>
      </c>
      <c r="E665" t="s">
        <v>15</v>
      </c>
      <c r="F665" t="s">
        <v>21</v>
      </c>
      <c r="G665" t="s">
        <v>55</v>
      </c>
      <c r="H665">
        <v>1</v>
      </c>
      <c r="I665">
        <v>24401</v>
      </c>
      <c r="J665">
        <v>0.2</v>
      </c>
      <c r="K665">
        <v>19520.8</v>
      </c>
      <c r="L665">
        <v>2528.46</v>
      </c>
    </row>
    <row r="666" spans="1:12" x14ac:dyDescent="0.3">
      <c r="A666" t="s">
        <v>901</v>
      </c>
      <c r="B666" s="3">
        <v>45861</v>
      </c>
      <c r="C666" t="s">
        <v>217</v>
      </c>
      <c r="D666" t="s">
        <v>43</v>
      </c>
      <c r="E666" t="s">
        <v>44</v>
      </c>
      <c r="F666" t="s">
        <v>21</v>
      </c>
      <c r="G666" t="s">
        <v>35</v>
      </c>
      <c r="H666">
        <v>1</v>
      </c>
      <c r="I666">
        <v>508</v>
      </c>
      <c r="J666">
        <v>0.05</v>
      </c>
      <c r="K666">
        <v>482.59999999999997</v>
      </c>
      <c r="L666">
        <v>50.15</v>
      </c>
    </row>
    <row r="667" spans="1:12" x14ac:dyDescent="0.3">
      <c r="A667" t="s">
        <v>902</v>
      </c>
      <c r="B667" s="3">
        <v>45658</v>
      </c>
      <c r="C667" t="s">
        <v>371</v>
      </c>
      <c r="D667" t="s">
        <v>120</v>
      </c>
      <c r="E667" t="s">
        <v>51</v>
      </c>
      <c r="F667" t="s">
        <v>16</v>
      </c>
      <c r="G667" t="s">
        <v>52</v>
      </c>
      <c r="H667">
        <v>3</v>
      </c>
      <c r="I667">
        <v>486</v>
      </c>
      <c r="J667">
        <v>0.2</v>
      </c>
      <c r="K667">
        <v>1166.4000000000001</v>
      </c>
      <c r="L667">
        <v>259.20999999999998</v>
      </c>
    </row>
    <row r="668" spans="1:12" x14ac:dyDescent="0.3">
      <c r="A668" t="s">
        <v>903</v>
      </c>
      <c r="B668" s="3">
        <v>45731</v>
      </c>
      <c r="C668" t="s">
        <v>451</v>
      </c>
      <c r="D668" t="s">
        <v>20</v>
      </c>
      <c r="E668" t="s">
        <v>15</v>
      </c>
      <c r="F668" t="s">
        <v>16</v>
      </c>
      <c r="G668" t="s">
        <v>104</v>
      </c>
      <c r="H668">
        <v>2</v>
      </c>
      <c r="I668">
        <v>12051</v>
      </c>
      <c r="J668">
        <v>0.15</v>
      </c>
      <c r="K668">
        <v>20486.7</v>
      </c>
      <c r="L668">
        <v>3298.8</v>
      </c>
    </row>
    <row r="669" spans="1:12" x14ac:dyDescent="0.3">
      <c r="A669" t="s">
        <v>904</v>
      </c>
      <c r="B669" s="3">
        <v>45776</v>
      </c>
      <c r="C669" t="s">
        <v>458</v>
      </c>
      <c r="D669" t="s">
        <v>72</v>
      </c>
      <c r="E669" t="s">
        <v>73</v>
      </c>
      <c r="F669" t="s">
        <v>16</v>
      </c>
      <c r="G669" t="s">
        <v>17</v>
      </c>
      <c r="H669">
        <v>1</v>
      </c>
      <c r="I669">
        <v>717</v>
      </c>
      <c r="J669">
        <v>0.25</v>
      </c>
      <c r="K669">
        <v>537.75</v>
      </c>
      <c r="L669">
        <v>72.95</v>
      </c>
    </row>
    <row r="670" spans="1:12" x14ac:dyDescent="0.3">
      <c r="A670" t="s">
        <v>905</v>
      </c>
      <c r="B670" s="3">
        <v>46014</v>
      </c>
      <c r="C670" t="s">
        <v>134</v>
      </c>
      <c r="D670" t="s">
        <v>68</v>
      </c>
      <c r="E670" t="s">
        <v>44</v>
      </c>
      <c r="F670" t="s">
        <v>27</v>
      </c>
      <c r="G670" t="s">
        <v>40</v>
      </c>
      <c r="H670">
        <v>2</v>
      </c>
      <c r="I670">
        <v>3149</v>
      </c>
      <c r="J670">
        <v>0</v>
      </c>
      <c r="K670">
        <v>6298</v>
      </c>
      <c r="L670">
        <v>1704.63</v>
      </c>
    </row>
    <row r="671" spans="1:12" x14ac:dyDescent="0.3">
      <c r="A671" t="s">
        <v>906</v>
      </c>
      <c r="B671" s="3">
        <v>45664</v>
      </c>
      <c r="C671" t="s">
        <v>61</v>
      </c>
      <c r="D671" t="s">
        <v>103</v>
      </c>
      <c r="E671" t="s">
        <v>51</v>
      </c>
      <c r="F671" t="s">
        <v>21</v>
      </c>
      <c r="G671" t="s">
        <v>35</v>
      </c>
      <c r="H671">
        <v>1</v>
      </c>
      <c r="I671">
        <v>8046</v>
      </c>
      <c r="J671">
        <v>0</v>
      </c>
      <c r="K671">
        <v>8046</v>
      </c>
      <c r="L671">
        <v>1794.84</v>
      </c>
    </row>
    <row r="672" spans="1:12" x14ac:dyDescent="0.3">
      <c r="A672" t="s">
        <v>907</v>
      </c>
      <c r="B672" s="3">
        <v>45876</v>
      </c>
      <c r="C672" t="s">
        <v>71</v>
      </c>
      <c r="D672" t="s">
        <v>103</v>
      </c>
      <c r="E672" t="s">
        <v>51</v>
      </c>
      <c r="F672" t="s">
        <v>21</v>
      </c>
      <c r="G672" t="s">
        <v>55</v>
      </c>
      <c r="H672">
        <v>2</v>
      </c>
      <c r="I672">
        <v>2287</v>
      </c>
      <c r="J672">
        <v>0.15</v>
      </c>
      <c r="K672">
        <v>3887.9</v>
      </c>
      <c r="L672">
        <v>988.76</v>
      </c>
    </row>
    <row r="673" spans="1:12" x14ac:dyDescent="0.3">
      <c r="A673" t="s">
        <v>908</v>
      </c>
      <c r="B673" s="3">
        <v>45948</v>
      </c>
      <c r="C673" t="s">
        <v>468</v>
      </c>
      <c r="D673" t="s">
        <v>14</v>
      </c>
      <c r="E673" t="s">
        <v>15</v>
      </c>
      <c r="F673" t="s">
        <v>21</v>
      </c>
      <c r="G673" t="s">
        <v>55</v>
      </c>
      <c r="H673">
        <v>1</v>
      </c>
      <c r="I673">
        <v>12071</v>
      </c>
      <c r="J673">
        <v>0.15</v>
      </c>
      <c r="K673">
        <v>10260.35</v>
      </c>
      <c r="L673">
        <v>2582.17</v>
      </c>
    </row>
    <row r="674" spans="1:12" x14ac:dyDescent="0.3">
      <c r="A674" t="s">
        <v>909</v>
      </c>
      <c r="B674" s="3">
        <v>46012</v>
      </c>
      <c r="C674" t="s">
        <v>33</v>
      </c>
      <c r="D674" t="s">
        <v>80</v>
      </c>
      <c r="E674" t="s">
        <v>51</v>
      </c>
      <c r="F674" t="s">
        <v>21</v>
      </c>
      <c r="G674" t="s">
        <v>35</v>
      </c>
      <c r="H674">
        <v>2</v>
      </c>
      <c r="I674">
        <v>84718</v>
      </c>
      <c r="J674">
        <v>0.15</v>
      </c>
      <c r="K674">
        <v>144020.6</v>
      </c>
      <c r="L674">
        <v>18026.759999999998</v>
      </c>
    </row>
    <row r="675" spans="1:12" x14ac:dyDescent="0.3">
      <c r="A675" t="s">
        <v>910</v>
      </c>
      <c r="B675" s="3">
        <v>45764</v>
      </c>
      <c r="C675" t="s">
        <v>337</v>
      </c>
      <c r="D675" t="s">
        <v>307</v>
      </c>
      <c r="E675" t="s">
        <v>73</v>
      </c>
      <c r="F675" t="s">
        <v>27</v>
      </c>
      <c r="G675" t="s">
        <v>31</v>
      </c>
      <c r="H675">
        <v>3</v>
      </c>
      <c r="I675">
        <v>189</v>
      </c>
      <c r="J675">
        <v>0.05</v>
      </c>
      <c r="K675">
        <v>538.65</v>
      </c>
      <c r="L675">
        <v>121.41</v>
      </c>
    </row>
    <row r="676" spans="1:12" x14ac:dyDescent="0.3">
      <c r="A676" t="s">
        <v>911</v>
      </c>
      <c r="B676" s="3">
        <v>45838</v>
      </c>
      <c r="C676" t="s">
        <v>172</v>
      </c>
      <c r="D676" t="s">
        <v>97</v>
      </c>
      <c r="E676" t="s">
        <v>44</v>
      </c>
      <c r="F676" t="s">
        <v>58</v>
      </c>
      <c r="G676" t="s">
        <v>126</v>
      </c>
      <c r="H676">
        <v>2</v>
      </c>
      <c r="I676">
        <v>755</v>
      </c>
      <c r="J676">
        <v>0.05</v>
      </c>
      <c r="K676">
        <v>1434.5</v>
      </c>
      <c r="L676">
        <v>228.6</v>
      </c>
    </row>
    <row r="677" spans="1:12" x14ac:dyDescent="0.3">
      <c r="A677" t="s">
        <v>912</v>
      </c>
      <c r="B677" s="3">
        <v>45662</v>
      </c>
      <c r="C677" t="s">
        <v>321</v>
      </c>
      <c r="D677" t="s">
        <v>47</v>
      </c>
      <c r="E677" t="s">
        <v>26</v>
      </c>
      <c r="F677" t="s">
        <v>16</v>
      </c>
      <c r="G677" t="s">
        <v>17</v>
      </c>
      <c r="H677">
        <v>2</v>
      </c>
      <c r="I677">
        <v>17833</v>
      </c>
      <c r="J677">
        <v>0</v>
      </c>
      <c r="K677">
        <v>35666</v>
      </c>
      <c r="L677">
        <v>6754.29</v>
      </c>
    </row>
    <row r="678" spans="1:12" x14ac:dyDescent="0.3">
      <c r="A678" t="s">
        <v>913</v>
      </c>
      <c r="B678" s="3">
        <v>45894</v>
      </c>
      <c r="C678" t="s">
        <v>211</v>
      </c>
      <c r="D678" t="s">
        <v>65</v>
      </c>
      <c r="E678" t="s">
        <v>26</v>
      </c>
      <c r="F678" t="s">
        <v>16</v>
      </c>
      <c r="G678" t="s">
        <v>17</v>
      </c>
      <c r="H678">
        <v>2</v>
      </c>
      <c r="I678">
        <v>2224</v>
      </c>
      <c r="J678">
        <v>0</v>
      </c>
      <c r="K678">
        <v>4448</v>
      </c>
      <c r="L678">
        <v>804.32</v>
      </c>
    </row>
    <row r="679" spans="1:12" x14ac:dyDescent="0.3">
      <c r="A679" t="s">
        <v>914</v>
      </c>
      <c r="B679" s="3">
        <v>45802</v>
      </c>
      <c r="C679" t="s">
        <v>551</v>
      </c>
      <c r="D679" t="s">
        <v>20</v>
      </c>
      <c r="E679" t="s">
        <v>15</v>
      </c>
      <c r="F679" t="s">
        <v>16</v>
      </c>
      <c r="G679" t="s">
        <v>17</v>
      </c>
      <c r="H679">
        <v>2</v>
      </c>
      <c r="I679">
        <v>6799</v>
      </c>
      <c r="J679">
        <v>0.05</v>
      </c>
      <c r="K679">
        <v>12918.099999999999</v>
      </c>
      <c r="L679">
        <v>2638.15</v>
      </c>
    </row>
    <row r="680" spans="1:12" x14ac:dyDescent="0.3">
      <c r="A680" t="s">
        <v>915</v>
      </c>
      <c r="B680" s="3">
        <v>45992</v>
      </c>
      <c r="C680" t="s">
        <v>300</v>
      </c>
      <c r="D680" t="s">
        <v>307</v>
      </c>
      <c r="E680" t="s">
        <v>73</v>
      </c>
      <c r="F680" t="s">
        <v>21</v>
      </c>
      <c r="G680" t="s">
        <v>35</v>
      </c>
      <c r="H680">
        <v>2</v>
      </c>
      <c r="I680">
        <v>389</v>
      </c>
      <c r="J680">
        <v>0.1</v>
      </c>
      <c r="K680">
        <v>700.2</v>
      </c>
      <c r="L680">
        <v>146.54</v>
      </c>
    </row>
    <row r="681" spans="1:12" x14ac:dyDescent="0.3">
      <c r="A681" t="s">
        <v>916</v>
      </c>
      <c r="B681" s="3">
        <v>45823</v>
      </c>
      <c r="C681" t="s">
        <v>597</v>
      </c>
      <c r="D681" t="s">
        <v>83</v>
      </c>
      <c r="E681" t="s">
        <v>73</v>
      </c>
      <c r="F681" t="s">
        <v>16</v>
      </c>
      <c r="G681" t="s">
        <v>104</v>
      </c>
      <c r="H681">
        <v>1</v>
      </c>
      <c r="I681">
        <v>813</v>
      </c>
      <c r="J681">
        <v>0.1</v>
      </c>
      <c r="K681">
        <v>731.7</v>
      </c>
      <c r="L681">
        <v>101.93</v>
      </c>
    </row>
    <row r="682" spans="1:12" x14ac:dyDescent="0.3">
      <c r="A682" t="s">
        <v>917</v>
      </c>
      <c r="B682" s="3">
        <v>45882</v>
      </c>
      <c r="C682" t="s">
        <v>165</v>
      </c>
      <c r="D682" t="s">
        <v>120</v>
      </c>
      <c r="E682" t="s">
        <v>51</v>
      </c>
      <c r="F682" t="s">
        <v>27</v>
      </c>
      <c r="G682" t="s">
        <v>31</v>
      </c>
      <c r="H682">
        <v>1</v>
      </c>
      <c r="I682">
        <v>1453</v>
      </c>
      <c r="J682">
        <v>0.1</v>
      </c>
      <c r="K682">
        <v>1307.7</v>
      </c>
      <c r="L682">
        <v>241.71</v>
      </c>
    </row>
    <row r="683" spans="1:12" x14ac:dyDescent="0.3">
      <c r="A683" t="s">
        <v>918</v>
      </c>
      <c r="B683" s="3">
        <v>45749</v>
      </c>
      <c r="C683" t="s">
        <v>116</v>
      </c>
      <c r="D683" t="s">
        <v>153</v>
      </c>
      <c r="E683" t="s">
        <v>26</v>
      </c>
      <c r="F683" t="s">
        <v>58</v>
      </c>
      <c r="G683" t="s">
        <v>59</v>
      </c>
      <c r="H683">
        <v>4</v>
      </c>
      <c r="I683">
        <v>8711</v>
      </c>
      <c r="J683">
        <v>0.1</v>
      </c>
      <c r="K683">
        <v>31359.600000000002</v>
      </c>
      <c r="L683">
        <v>2980.91</v>
      </c>
    </row>
    <row r="684" spans="1:12" x14ac:dyDescent="0.3">
      <c r="A684" t="s">
        <v>919</v>
      </c>
      <c r="B684" s="3">
        <v>45704</v>
      </c>
      <c r="C684" t="s">
        <v>440</v>
      </c>
      <c r="D684" t="s">
        <v>25</v>
      </c>
      <c r="E684" t="s">
        <v>26</v>
      </c>
      <c r="F684" t="s">
        <v>21</v>
      </c>
      <c r="G684" t="s">
        <v>22</v>
      </c>
      <c r="H684">
        <v>1</v>
      </c>
      <c r="I684">
        <v>10621</v>
      </c>
      <c r="J684">
        <v>0.2</v>
      </c>
      <c r="K684">
        <v>8496.8000000000011</v>
      </c>
      <c r="L684">
        <v>1716.99</v>
      </c>
    </row>
    <row r="685" spans="1:12" x14ac:dyDescent="0.3">
      <c r="A685" t="s">
        <v>920</v>
      </c>
      <c r="B685" s="3">
        <v>45721</v>
      </c>
      <c r="C685" t="s">
        <v>71</v>
      </c>
      <c r="D685" t="s">
        <v>20</v>
      </c>
      <c r="E685" t="s">
        <v>15</v>
      </c>
      <c r="F685" t="s">
        <v>16</v>
      </c>
      <c r="G685" t="s">
        <v>17</v>
      </c>
      <c r="H685">
        <v>1</v>
      </c>
      <c r="I685">
        <v>12030</v>
      </c>
      <c r="J685">
        <v>0.05</v>
      </c>
      <c r="K685">
        <v>11428.5</v>
      </c>
      <c r="L685">
        <v>3194.66</v>
      </c>
    </row>
    <row r="686" spans="1:12" x14ac:dyDescent="0.3">
      <c r="A686" t="s">
        <v>921</v>
      </c>
      <c r="B686" s="3">
        <v>45754</v>
      </c>
      <c r="C686" t="s">
        <v>161</v>
      </c>
      <c r="D686" t="s">
        <v>83</v>
      </c>
      <c r="E686" t="s">
        <v>73</v>
      </c>
      <c r="F686" t="s">
        <v>21</v>
      </c>
      <c r="G686" t="s">
        <v>22</v>
      </c>
      <c r="H686">
        <v>5</v>
      </c>
      <c r="I686">
        <v>299</v>
      </c>
      <c r="J686">
        <v>0.05</v>
      </c>
      <c r="K686">
        <v>1420.25</v>
      </c>
      <c r="L686">
        <v>229.48</v>
      </c>
    </row>
    <row r="687" spans="1:12" x14ac:dyDescent="0.3">
      <c r="A687" t="s">
        <v>922</v>
      </c>
      <c r="B687" s="3">
        <v>45768</v>
      </c>
      <c r="C687" t="s">
        <v>274</v>
      </c>
      <c r="D687" t="s">
        <v>202</v>
      </c>
      <c r="E687" t="s">
        <v>44</v>
      </c>
      <c r="F687" t="s">
        <v>21</v>
      </c>
      <c r="G687" t="s">
        <v>22</v>
      </c>
      <c r="H687">
        <v>2</v>
      </c>
      <c r="I687">
        <v>2583</v>
      </c>
      <c r="J687">
        <v>0</v>
      </c>
      <c r="K687">
        <v>5166</v>
      </c>
      <c r="L687">
        <v>1085.05</v>
      </c>
    </row>
    <row r="688" spans="1:12" x14ac:dyDescent="0.3">
      <c r="A688" t="s">
        <v>923</v>
      </c>
      <c r="B688" s="3">
        <v>45848</v>
      </c>
      <c r="C688" t="s">
        <v>368</v>
      </c>
      <c r="D688" t="s">
        <v>88</v>
      </c>
      <c r="E688" t="s">
        <v>73</v>
      </c>
      <c r="F688" t="s">
        <v>27</v>
      </c>
      <c r="G688" t="s">
        <v>31</v>
      </c>
      <c r="H688">
        <v>1</v>
      </c>
      <c r="I688">
        <v>513</v>
      </c>
      <c r="J688">
        <v>0.1</v>
      </c>
      <c r="K688">
        <v>461.7</v>
      </c>
      <c r="L688">
        <v>79.349999999999994</v>
      </c>
    </row>
    <row r="689" spans="1:12" x14ac:dyDescent="0.3">
      <c r="A689" t="s">
        <v>924</v>
      </c>
      <c r="B689" s="3">
        <v>45846</v>
      </c>
      <c r="C689" t="s">
        <v>85</v>
      </c>
      <c r="D689" t="s">
        <v>68</v>
      </c>
      <c r="E689" t="s">
        <v>44</v>
      </c>
      <c r="F689" t="s">
        <v>21</v>
      </c>
      <c r="G689" t="s">
        <v>55</v>
      </c>
      <c r="H689">
        <v>4</v>
      </c>
      <c r="I689">
        <v>3506</v>
      </c>
      <c r="J689">
        <v>0.05</v>
      </c>
      <c r="K689">
        <v>13322.8</v>
      </c>
      <c r="L689">
        <v>3547.81</v>
      </c>
    </row>
    <row r="690" spans="1:12" x14ac:dyDescent="0.3">
      <c r="A690" t="s">
        <v>925</v>
      </c>
      <c r="B690" s="3">
        <v>45875</v>
      </c>
      <c r="C690" t="s">
        <v>670</v>
      </c>
      <c r="D690" t="s">
        <v>202</v>
      </c>
      <c r="E690" t="s">
        <v>44</v>
      </c>
      <c r="F690" t="s">
        <v>27</v>
      </c>
      <c r="G690" t="s">
        <v>28</v>
      </c>
      <c r="H690">
        <v>2</v>
      </c>
      <c r="I690">
        <v>2622</v>
      </c>
      <c r="J690">
        <v>0.1</v>
      </c>
      <c r="K690">
        <v>4719.6000000000004</v>
      </c>
      <c r="L690">
        <v>630.66999999999996</v>
      </c>
    </row>
    <row r="691" spans="1:12" x14ac:dyDescent="0.3">
      <c r="A691" t="s">
        <v>926</v>
      </c>
      <c r="B691" s="3">
        <v>45801</v>
      </c>
      <c r="C691" t="s">
        <v>199</v>
      </c>
      <c r="D691" t="s">
        <v>30</v>
      </c>
      <c r="E691" t="s">
        <v>15</v>
      </c>
      <c r="F691" t="s">
        <v>16</v>
      </c>
      <c r="G691" t="s">
        <v>52</v>
      </c>
      <c r="H691">
        <v>2</v>
      </c>
      <c r="I691">
        <v>12762</v>
      </c>
      <c r="J691">
        <v>0.2</v>
      </c>
      <c r="K691">
        <v>20419.2</v>
      </c>
      <c r="L691">
        <v>3467.33</v>
      </c>
    </row>
    <row r="692" spans="1:12" x14ac:dyDescent="0.3">
      <c r="A692" t="s">
        <v>927</v>
      </c>
      <c r="B692" s="3">
        <v>45823</v>
      </c>
      <c r="C692" t="s">
        <v>403</v>
      </c>
      <c r="D692" t="s">
        <v>25</v>
      </c>
      <c r="E692" t="s">
        <v>26</v>
      </c>
      <c r="F692" t="s">
        <v>27</v>
      </c>
      <c r="G692" t="s">
        <v>31</v>
      </c>
      <c r="H692">
        <v>2</v>
      </c>
      <c r="I692">
        <v>12873</v>
      </c>
      <c r="J692">
        <v>0</v>
      </c>
      <c r="K692">
        <v>25746</v>
      </c>
      <c r="L692">
        <v>6887.89</v>
      </c>
    </row>
    <row r="693" spans="1:12" x14ac:dyDescent="0.3">
      <c r="A693" t="s">
        <v>928</v>
      </c>
      <c r="B693" s="3">
        <v>45678</v>
      </c>
      <c r="C693" t="s">
        <v>403</v>
      </c>
      <c r="D693" t="s">
        <v>30</v>
      </c>
      <c r="E693" t="s">
        <v>15</v>
      </c>
      <c r="F693" t="s">
        <v>21</v>
      </c>
      <c r="G693" t="s">
        <v>55</v>
      </c>
      <c r="H693">
        <v>1</v>
      </c>
      <c r="I693">
        <v>10495</v>
      </c>
      <c r="J693">
        <v>0</v>
      </c>
      <c r="K693">
        <v>10495</v>
      </c>
      <c r="L693">
        <v>2352.4</v>
      </c>
    </row>
    <row r="694" spans="1:12" x14ac:dyDescent="0.3">
      <c r="A694" t="s">
        <v>929</v>
      </c>
      <c r="B694" s="3">
        <v>45750</v>
      </c>
      <c r="C694" t="s">
        <v>156</v>
      </c>
      <c r="D694" t="s">
        <v>202</v>
      </c>
      <c r="E694" t="s">
        <v>44</v>
      </c>
      <c r="F694" t="s">
        <v>27</v>
      </c>
      <c r="G694" t="s">
        <v>28</v>
      </c>
      <c r="H694">
        <v>2</v>
      </c>
      <c r="I694">
        <v>1138</v>
      </c>
      <c r="J694">
        <v>0.15</v>
      </c>
      <c r="K694">
        <v>1934.6</v>
      </c>
      <c r="L694">
        <v>380.12</v>
      </c>
    </row>
    <row r="695" spans="1:12" x14ac:dyDescent="0.3">
      <c r="A695" t="s">
        <v>930</v>
      </c>
      <c r="B695" s="3">
        <v>45999</v>
      </c>
      <c r="C695" t="s">
        <v>429</v>
      </c>
      <c r="D695" t="s">
        <v>97</v>
      </c>
      <c r="E695" t="s">
        <v>44</v>
      </c>
      <c r="F695" t="s">
        <v>27</v>
      </c>
      <c r="G695" t="s">
        <v>28</v>
      </c>
      <c r="H695">
        <v>4</v>
      </c>
      <c r="I695">
        <v>627</v>
      </c>
      <c r="J695">
        <v>0</v>
      </c>
      <c r="K695">
        <v>2508</v>
      </c>
      <c r="L695">
        <v>464.2</v>
      </c>
    </row>
    <row r="696" spans="1:12" x14ac:dyDescent="0.3">
      <c r="A696" t="s">
        <v>931</v>
      </c>
      <c r="B696" s="3">
        <v>45730</v>
      </c>
      <c r="C696" t="s">
        <v>427</v>
      </c>
      <c r="D696" t="s">
        <v>25</v>
      </c>
      <c r="E696" t="s">
        <v>26</v>
      </c>
      <c r="F696" t="s">
        <v>58</v>
      </c>
      <c r="G696" t="s">
        <v>126</v>
      </c>
      <c r="H696">
        <v>1</v>
      </c>
      <c r="I696">
        <v>17937</v>
      </c>
      <c r="J696">
        <v>0.2</v>
      </c>
      <c r="K696">
        <v>14349.6</v>
      </c>
      <c r="L696">
        <v>2412.85</v>
      </c>
    </row>
    <row r="697" spans="1:12" x14ac:dyDescent="0.3">
      <c r="A697" t="s">
        <v>932</v>
      </c>
      <c r="B697" s="3">
        <v>45878</v>
      </c>
      <c r="C697" t="s">
        <v>185</v>
      </c>
      <c r="D697" t="s">
        <v>65</v>
      </c>
      <c r="E697" t="s">
        <v>26</v>
      </c>
      <c r="F697" t="s">
        <v>21</v>
      </c>
      <c r="G697" t="s">
        <v>22</v>
      </c>
      <c r="H697">
        <v>2</v>
      </c>
      <c r="I697">
        <v>1879</v>
      </c>
      <c r="J697">
        <v>0.05</v>
      </c>
      <c r="K697">
        <v>3570.1</v>
      </c>
      <c r="L697">
        <v>375.65</v>
      </c>
    </row>
    <row r="698" spans="1:12" x14ac:dyDescent="0.3">
      <c r="A698" t="s">
        <v>933</v>
      </c>
      <c r="B698" s="3">
        <v>45786</v>
      </c>
      <c r="C698" t="s">
        <v>180</v>
      </c>
      <c r="D698" t="s">
        <v>14</v>
      </c>
      <c r="E698" t="s">
        <v>15</v>
      </c>
      <c r="F698" t="s">
        <v>58</v>
      </c>
      <c r="G698" t="s">
        <v>59</v>
      </c>
      <c r="H698">
        <v>1</v>
      </c>
      <c r="I698">
        <v>12154</v>
      </c>
      <c r="J698">
        <v>0.05</v>
      </c>
      <c r="K698">
        <v>11546.3</v>
      </c>
      <c r="L698">
        <v>1682.46</v>
      </c>
    </row>
    <row r="699" spans="1:12" x14ac:dyDescent="0.3">
      <c r="A699" t="s">
        <v>934</v>
      </c>
      <c r="B699" s="3">
        <v>45971</v>
      </c>
      <c r="C699" t="s">
        <v>274</v>
      </c>
      <c r="D699" t="s">
        <v>25</v>
      </c>
      <c r="E699" t="s">
        <v>26</v>
      </c>
      <c r="F699" t="s">
        <v>58</v>
      </c>
      <c r="G699" t="s">
        <v>69</v>
      </c>
      <c r="H699">
        <v>3</v>
      </c>
      <c r="I699">
        <v>16013</v>
      </c>
      <c r="J699">
        <v>0</v>
      </c>
      <c r="K699">
        <v>48039</v>
      </c>
      <c r="L699">
        <v>11025.15</v>
      </c>
    </row>
    <row r="700" spans="1:12" x14ac:dyDescent="0.3">
      <c r="A700" t="s">
        <v>935</v>
      </c>
      <c r="B700" s="3">
        <v>45866</v>
      </c>
      <c r="C700" t="s">
        <v>71</v>
      </c>
      <c r="D700" t="s">
        <v>43</v>
      </c>
      <c r="E700" t="s">
        <v>44</v>
      </c>
      <c r="F700" t="s">
        <v>58</v>
      </c>
      <c r="G700" t="s">
        <v>126</v>
      </c>
      <c r="H700">
        <v>2</v>
      </c>
      <c r="I700">
        <v>340</v>
      </c>
      <c r="J700">
        <v>0.2</v>
      </c>
      <c r="K700">
        <v>544</v>
      </c>
      <c r="L700">
        <v>66.36</v>
      </c>
    </row>
    <row r="701" spans="1:12" x14ac:dyDescent="0.3">
      <c r="A701" t="s">
        <v>936</v>
      </c>
      <c r="B701" s="3">
        <v>45958</v>
      </c>
      <c r="C701" t="s">
        <v>49</v>
      </c>
      <c r="D701" t="s">
        <v>88</v>
      </c>
      <c r="E701" t="s">
        <v>73</v>
      </c>
      <c r="F701" t="s">
        <v>21</v>
      </c>
      <c r="G701" t="s">
        <v>55</v>
      </c>
      <c r="H701">
        <v>4</v>
      </c>
      <c r="I701">
        <v>206</v>
      </c>
      <c r="J701">
        <v>0</v>
      </c>
      <c r="K701">
        <v>824</v>
      </c>
      <c r="L701">
        <v>191</v>
      </c>
    </row>
    <row r="702" spans="1:12" x14ac:dyDescent="0.3">
      <c r="A702" t="s">
        <v>937</v>
      </c>
      <c r="B702" s="3">
        <v>45864</v>
      </c>
      <c r="C702" t="s">
        <v>617</v>
      </c>
      <c r="D702" t="s">
        <v>50</v>
      </c>
      <c r="E702" t="s">
        <v>51</v>
      </c>
      <c r="F702" t="s">
        <v>58</v>
      </c>
      <c r="G702" t="s">
        <v>59</v>
      </c>
      <c r="H702">
        <v>1</v>
      </c>
      <c r="I702">
        <v>2645</v>
      </c>
      <c r="J702">
        <v>0.1</v>
      </c>
      <c r="K702">
        <v>2380.5</v>
      </c>
      <c r="L702">
        <v>549.80999999999995</v>
      </c>
    </row>
    <row r="703" spans="1:12" x14ac:dyDescent="0.3">
      <c r="A703" t="s">
        <v>938</v>
      </c>
      <c r="B703" s="3">
        <v>45732</v>
      </c>
      <c r="C703" t="s">
        <v>412</v>
      </c>
      <c r="D703" t="s">
        <v>97</v>
      </c>
      <c r="E703" t="s">
        <v>44</v>
      </c>
      <c r="F703" t="s">
        <v>16</v>
      </c>
      <c r="G703" t="s">
        <v>52</v>
      </c>
      <c r="H703">
        <v>1</v>
      </c>
      <c r="I703">
        <v>530</v>
      </c>
      <c r="J703">
        <v>0.05</v>
      </c>
      <c r="K703">
        <v>503.5</v>
      </c>
      <c r="L703">
        <v>97.13</v>
      </c>
    </row>
    <row r="704" spans="1:12" x14ac:dyDescent="0.3">
      <c r="A704" t="s">
        <v>939</v>
      </c>
      <c r="B704" s="3">
        <v>45683</v>
      </c>
      <c r="C704" t="s">
        <v>75</v>
      </c>
      <c r="D704" t="s">
        <v>20</v>
      </c>
      <c r="E704" t="s">
        <v>15</v>
      </c>
      <c r="F704" t="s">
        <v>16</v>
      </c>
      <c r="G704" t="s">
        <v>52</v>
      </c>
      <c r="H704">
        <v>1</v>
      </c>
      <c r="I704">
        <v>15420</v>
      </c>
      <c r="J704">
        <v>0</v>
      </c>
      <c r="K704">
        <v>15420</v>
      </c>
      <c r="L704">
        <v>3126.2</v>
      </c>
    </row>
    <row r="705" spans="1:12" x14ac:dyDescent="0.3">
      <c r="A705" t="s">
        <v>940</v>
      </c>
      <c r="B705" s="3">
        <v>45658</v>
      </c>
      <c r="C705" t="s">
        <v>156</v>
      </c>
      <c r="D705" t="s">
        <v>68</v>
      </c>
      <c r="E705" t="s">
        <v>44</v>
      </c>
      <c r="F705" t="s">
        <v>58</v>
      </c>
      <c r="G705" t="s">
        <v>126</v>
      </c>
      <c r="H705">
        <v>2</v>
      </c>
      <c r="I705">
        <v>2240</v>
      </c>
      <c r="J705">
        <v>0.15</v>
      </c>
      <c r="K705">
        <v>3808</v>
      </c>
      <c r="L705">
        <v>560.29999999999995</v>
      </c>
    </row>
    <row r="706" spans="1:12" x14ac:dyDescent="0.3">
      <c r="A706" t="s">
        <v>941</v>
      </c>
      <c r="B706" s="3">
        <v>45679</v>
      </c>
      <c r="C706" t="s">
        <v>503</v>
      </c>
      <c r="D706" t="s">
        <v>14</v>
      </c>
      <c r="E706" t="s">
        <v>15</v>
      </c>
      <c r="F706" t="s">
        <v>58</v>
      </c>
      <c r="G706" t="s">
        <v>59</v>
      </c>
      <c r="H706">
        <v>2</v>
      </c>
      <c r="I706">
        <v>14804</v>
      </c>
      <c r="J706">
        <v>0.15</v>
      </c>
      <c r="K706">
        <v>25166.799999999999</v>
      </c>
      <c r="L706">
        <v>4756.4399999999996</v>
      </c>
    </row>
    <row r="707" spans="1:12" x14ac:dyDescent="0.3">
      <c r="A707" t="s">
        <v>942</v>
      </c>
      <c r="B707" s="3">
        <v>45826</v>
      </c>
      <c r="C707" t="s">
        <v>174</v>
      </c>
      <c r="D707" t="s">
        <v>97</v>
      </c>
      <c r="E707" t="s">
        <v>44</v>
      </c>
      <c r="F707" t="s">
        <v>27</v>
      </c>
      <c r="G707" t="s">
        <v>40</v>
      </c>
      <c r="H707">
        <v>1</v>
      </c>
      <c r="I707">
        <v>468</v>
      </c>
      <c r="J707">
        <v>0</v>
      </c>
      <c r="K707">
        <v>468</v>
      </c>
      <c r="L707">
        <v>42.56</v>
      </c>
    </row>
    <row r="708" spans="1:12" x14ac:dyDescent="0.3">
      <c r="A708" t="s">
        <v>943</v>
      </c>
      <c r="B708" s="3">
        <v>45993</v>
      </c>
      <c r="C708" t="s">
        <v>37</v>
      </c>
      <c r="D708" t="s">
        <v>92</v>
      </c>
      <c r="E708" t="s">
        <v>51</v>
      </c>
      <c r="F708" t="s">
        <v>58</v>
      </c>
      <c r="G708" t="s">
        <v>126</v>
      </c>
      <c r="H708">
        <v>2</v>
      </c>
      <c r="I708">
        <v>11249</v>
      </c>
      <c r="J708">
        <v>0.05</v>
      </c>
      <c r="K708">
        <v>21373.1</v>
      </c>
      <c r="L708">
        <v>3170.69</v>
      </c>
    </row>
    <row r="709" spans="1:12" x14ac:dyDescent="0.3">
      <c r="A709" t="s">
        <v>944</v>
      </c>
      <c r="B709" s="3">
        <v>46010</v>
      </c>
      <c r="C709" t="s">
        <v>451</v>
      </c>
      <c r="D709" t="s">
        <v>307</v>
      </c>
      <c r="E709" t="s">
        <v>73</v>
      </c>
      <c r="F709" t="s">
        <v>27</v>
      </c>
      <c r="G709" t="s">
        <v>31</v>
      </c>
      <c r="H709">
        <v>5</v>
      </c>
      <c r="I709">
        <v>334</v>
      </c>
      <c r="J709">
        <v>0.05</v>
      </c>
      <c r="K709">
        <v>1586.5</v>
      </c>
      <c r="L709">
        <v>380.3</v>
      </c>
    </row>
    <row r="710" spans="1:12" x14ac:dyDescent="0.3">
      <c r="A710" t="s">
        <v>945</v>
      </c>
      <c r="B710" s="3">
        <v>45927</v>
      </c>
      <c r="C710" t="s">
        <v>363</v>
      </c>
      <c r="D710" t="s">
        <v>83</v>
      </c>
      <c r="E710" t="s">
        <v>73</v>
      </c>
      <c r="F710" t="s">
        <v>27</v>
      </c>
      <c r="G710" t="s">
        <v>28</v>
      </c>
      <c r="H710">
        <v>2</v>
      </c>
      <c r="I710">
        <v>452</v>
      </c>
      <c r="J710">
        <v>0.15</v>
      </c>
      <c r="K710">
        <v>768.4</v>
      </c>
      <c r="L710">
        <v>205.34</v>
      </c>
    </row>
    <row r="711" spans="1:12" x14ac:dyDescent="0.3">
      <c r="A711" t="s">
        <v>946</v>
      </c>
      <c r="B711" s="3">
        <v>45794</v>
      </c>
      <c r="C711" t="s">
        <v>248</v>
      </c>
      <c r="D711" t="s">
        <v>97</v>
      </c>
      <c r="E711" t="s">
        <v>44</v>
      </c>
      <c r="F711" t="s">
        <v>58</v>
      </c>
      <c r="G711" t="s">
        <v>69</v>
      </c>
      <c r="H711">
        <v>2</v>
      </c>
      <c r="I711">
        <v>700</v>
      </c>
      <c r="J711">
        <v>0.15</v>
      </c>
      <c r="K711">
        <v>1190</v>
      </c>
      <c r="L711">
        <v>159.80000000000001</v>
      </c>
    </row>
    <row r="712" spans="1:12" x14ac:dyDescent="0.3">
      <c r="A712" t="s">
        <v>947</v>
      </c>
      <c r="B712" s="3">
        <v>45777</v>
      </c>
      <c r="C712" t="s">
        <v>139</v>
      </c>
      <c r="D712" t="s">
        <v>25</v>
      </c>
      <c r="E712" t="s">
        <v>26</v>
      </c>
      <c r="F712" t="s">
        <v>58</v>
      </c>
      <c r="G712" t="s">
        <v>59</v>
      </c>
      <c r="H712">
        <v>3</v>
      </c>
      <c r="I712">
        <v>14167</v>
      </c>
      <c r="J712">
        <v>0.05</v>
      </c>
      <c r="K712">
        <v>40375.949999999997</v>
      </c>
      <c r="L712">
        <v>6926.44</v>
      </c>
    </row>
    <row r="713" spans="1:12" x14ac:dyDescent="0.3">
      <c r="A713" t="s">
        <v>948</v>
      </c>
      <c r="B713" s="3">
        <v>45771</v>
      </c>
      <c r="C713" t="s">
        <v>287</v>
      </c>
      <c r="D713" t="s">
        <v>43</v>
      </c>
      <c r="E713" t="s">
        <v>44</v>
      </c>
      <c r="F713" t="s">
        <v>16</v>
      </c>
      <c r="G713" t="s">
        <v>104</v>
      </c>
      <c r="H713">
        <v>2</v>
      </c>
      <c r="I713">
        <v>429</v>
      </c>
      <c r="J713">
        <v>0</v>
      </c>
      <c r="K713">
        <v>858</v>
      </c>
      <c r="L713">
        <v>224.72</v>
      </c>
    </row>
    <row r="714" spans="1:12" x14ac:dyDescent="0.3">
      <c r="A714" t="s">
        <v>949</v>
      </c>
      <c r="B714" s="3">
        <v>45853</v>
      </c>
      <c r="C714" t="s">
        <v>255</v>
      </c>
      <c r="D714" t="s">
        <v>83</v>
      </c>
      <c r="E714" t="s">
        <v>73</v>
      </c>
      <c r="F714" t="s">
        <v>58</v>
      </c>
      <c r="G714" t="s">
        <v>69</v>
      </c>
      <c r="H714">
        <v>1</v>
      </c>
      <c r="I714">
        <v>691</v>
      </c>
      <c r="J714">
        <v>0.05</v>
      </c>
      <c r="K714">
        <v>656.44999999999993</v>
      </c>
      <c r="L714">
        <v>63.54</v>
      </c>
    </row>
    <row r="715" spans="1:12" x14ac:dyDescent="0.3">
      <c r="A715" t="s">
        <v>950</v>
      </c>
      <c r="B715" s="3">
        <v>45702</v>
      </c>
      <c r="C715" t="s">
        <v>248</v>
      </c>
      <c r="D715" t="s">
        <v>307</v>
      </c>
      <c r="E715" t="s">
        <v>73</v>
      </c>
      <c r="F715" t="s">
        <v>58</v>
      </c>
      <c r="G715" t="s">
        <v>59</v>
      </c>
      <c r="H715">
        <v>5</v>
      </c>
      <c r="I715">
        <v>141</v>
      </c>
      <c r="J715">
        <v>0.05</v>
      </c>
      <c r="K715">
        <v>669.75</v>
      </c>
      <c r="L715">
        <v>67</v>
      </c>
    </row>
    <row r="716" spans="1:12" x14ac:dyDescent="0.3">
      <c r="A716" t="s">
        <v>951</v>
      </c>
      <c r="B716" s="3">
        <v>45719</v>
      </c>
      <c r="C716" t="s">
        <v>382</v>
      </c>
      <c r="D716" t="s">
        <v>83</v>
      </c>
      <c r="E716" t="s">
        <v>73</v>
      </c>
      <c r="F716" t="s">
        <v>58</v>
      </c>
      <c r="G716" t="s">
        <v>69</v>
      </c>
      <c r="H716">
        <v>1</v>
      </c>
      <c r="I716">
        <v>584</v>
      </c>
      <c r="J716">
        <v>0.1</v>
      </c>
      <c r="K716">
        <v>525.6</v>
      </c>
      <c r="L716">
        <v>137.30000000000001</v>
      </c>
    </row>
    <row r="717" spans="1:12" x14ac:dyDescent="0.3">
      <c r="A717" t="s">
        <v>952</v>
      </c>
      <c r="B717" s="3">
        <v>45903</v>
      </c>
      <c r="C717" t="s">
        <v>485</v>
      </c>
      <c r="D717" t="s">
        <v>97</v>
      </c>
      <c r="E717" t="s">
        <v>44</v>
      </c>
      <c r="F717" t="s">
        <v>27</v>
      </c>
      <c r="G717" t="s">
        <v>28</v>
      </c>
      <c r="H717">
        <v>1</v>
      </c>
      <c r="I717">
        <v>364</v>
      </c>
      <c r="J717">
        <v>0.1</v>
      </c>
      <c r="K717">
        <v>327.60000000000002</v>
      </c>
      <c r="L717">
        <v>87.06</v>
      </c>
    </row>
    <row r="718" spans="1:12" x14ac:dyDescent="0.3">
      <c r="A718" t="s">
        <v>953</v>
      </c>
      <c r="B718" s="3">
        <v>45913</v>
      </c>
      <c r="C718" t="s">
        <v>172</v>
      </c>
      <c r="D718" t="s">
        <v>68</v>
      </c>
      <c r="E718" t="s">
        <v>44</v>
      </c>
      <c r="F718" t="s">
        <v>27</v>
      </c>
      <c r="G718" t="s">
        <v>40</v>
      </c>
      <c r="H718">
        <v>5</v>
      </c>
      <c r="I718">
        <v>4037</v>
      </c>
      <c r="J718">
        <v>0.15</v>
      </c>
      <c r="K718">
        <v>17157.25</v>
      </c>
      <c r="L718">
        <v>3088.42</v>
      </c>
    </row>
    <row r="719" spans="1:12" x14ac:dyDescent="0.3">
      <c r="A719" t="s">
        <v>954</v>
      </c>
      <c r="B719" s="3">
        <v>45970</v>
      </c>
      <c r="C719" t="s">
        <v>371</v>
      </c>
      <c r="D719" t="s">
        <v>47</v>
      </c>
      <c r="E719" t="s">
        <v>26</v>
      </c>
      <c r="F719" t="s">
        <v>16</v>
      </c>
      <c r="G719" t="s">
        <v>104</v>
      </c>
      <c r="H719">
        <v>3</v>
      </c>
      <c r="I719">
        <v>13481</v>
      </c>
      <c r="J719">
        <v>0.15</v>
      </c>
      <c r="K719">
        <v>34376.549999999996</v>
      </c>
      <c r="L719">
        <v>6843.79</v>
      </c>
    </row>
    <row r="720" spans="1:12" x14ac:dyDescent="0.3">
      <c r="A720" t="s">
        <v>955</v>
      </c>
      <c r="B720" s="3">
        <v>46016</v>
      </c>
      <c r="C720" t="s">
        <v>358</v>
      </c>
      <c r="D720" t="s">
        <v>72</v>
      </c>
      <c r="E720" t="s">
        <v>73</v>
      </c>
      <c r="F720" t="s">
        <v>27</v>
      </c>
      <c r="G720" t="s">
        <v>31</v>
      </c>
      <c r="H720">
        <v>4</v>
      </c>
      <c r="I720">
        <v>397</v>
      </c>
      <c r="J720">
        <v>0.1</v>
      </c>
      <c r="K720">
        <v>1429.2</v>
      </c>
      <c r="L720">
        <v>122.57</v>
      </c>
    </row>
    <row r="721" spans="1:12" x14ac:dyDescent="0.3">
      <c r="A721" t="s">
        <v>956</v>
      </c>
      <c r="B721" s="3">
        <v>45912</v>
      </c>
      <c r="C721" t="s">
        <v>617</v>
      </c>
      <c r="D721" t="s">
        <v>202</v>
      </c>
      <c r="E721" t="s">
        <v>44</v>
      </c>
      <c r="F721" t="s">
        <v>27</v>
      </c>
      <c r="G721" t="s">
        <v>40</v>
      </c>
      <c r="H721">
        <v>1</v>
      </c>
      <c r="I721">
        <v>2517</v>
      </c>
      <c r="J721">
        <v>0.2</v>
      </c>
      <c r="K721">
        <v>2013.6000000000001</v>
      </c>
      <c r="L721">
        <v>547.33000000000004</v>
      </c>
    </row>
    <row r="722" spans="1:12" x14ac:dyDescent="0.3">
      <c r="A722" t="s">
        <v>957</v>
      </c>
      <c r="B722" s="3">
        <v>45988</v>
      </c>
      <c r="C722" t="s">
        <v>448</v>
      </c>
      <c r="D722" t="s">
        <v>97</v>
      </c>
      <c r="E722" t="s">
        <v>44</v>
      </c>
      <c r="F722" t="s">
        <v>16</v>
      </c>
      <c r="G722" t="s">
        <v>52</v>
      </c>
      <c r="H722">
        <v>3</v>
      </c>
      <c r="I722">
        <v>387</v>
      </c>
      <c r="J722">
        <v>0</v>
      </c>
      <c r="K722">
        <v>1161</v>
      </c>
      <c r="L722">
        <v>97.52</v>
      </c>
    </row>
    <row r="723" spans="1:12" x14ac:dyDescent="0.3">
      <c r="A723" t="s">
        <v>958</v>
      </c>
      <c r="B723" s="3">
        <v>45827</v>
      </c>
      <c r="C723" t="s">
        <v>244</v>
      </c>
      <c r="D723" t="s">
        <v>30</v>
      </c>
      <c r="E723" t="s">
        <v>15</v>
      </c>
      <c r="F723" t="s">
        <v>21</v>
      </c>
      <c r="G723" t="s">
        <v>55</v>
      </c>
      <c r="H723">
        <v>3</v>
      </c>
      <c r="I723">
        <v>11591</v>
      </c>
      <c r="J723">
        <v>0</v>
      </c>
      <c r="K723">
        <v>34773</v>
      </c>
      <c r="L723">
        <v>8887.83</v>
      </c>
    </row>
    <row r="724" spans="1:12" x14ac:dyDescent="0.3">
      <c r="A724" t="s">
        <v>959</v>
      </c>
      <c r="B724" s="3">
        <v>45763</v>
      </c>
      <c r="C724" t="s">
        <v>141</v>
      </c>
      <c r="D724" t="s">
        <v>92</v>
      </c>
      <c r="E724" t="s">
        <v>51</v>
      </c>
      <c r="F724" t="s">
        <v>21</v>
      </c>
      <c r="G724" t="s">
        <v>35</v>
      </c>
      <c r="H724">
        <v>2</v>
      </c>
      <c r="I724">
        <v>22279</v>
      </c>
      <c r="J724">
        <v>0.05</v>
      </c>
      <c r="K724">
        <v>42330.1</v>
      </c>
      <c r="L724">
        <v>5573.18</v>
      </c>
    </row>
    <row r="725" spans="1:12" x14ac:dyDescent="0.3">
      <c r="A725" t="s">
        <v>960</v>
      </c>
      <c r="B725" s="3">
        <v>45892</v>
      </c>
      <c r="C725" t="s">
        <v>87</v>
      </c>
      <c r="D725" t="s">
        <v>50</v>
      </c>
      <c r="E725" t="s">
        <v>51</v>
      </c>
      <c r="F725" t="s">
        <v>16</v>
      </c>
      <c r="G725" t="s">
        <v>52</v>
      </c>
      <c r="H725">
        <v>3</v>
      </c>
      <c r="I725">
        <v>950</v>
      </c>
      <c r="J725">
        <v>0.2</v>
      </c>
      <c r="K725">
        <v>2280</v>
      </c>
      <c r="L725">
        <v>502.55</v>
      </c>
    </row>
    <row r="726" spans="1:12" x14ac:dyDescent="0.3">
      <c r="A726" t="s">
        <v>961</v>
      </c>
      <c r="B726" s="3">
        <v>45791</v>
      </c>
      <c r="C726" t="s">
        <v>670</v>
      </c>
      <c r="D726" t="s">
        <v>47</v>
      </c>
      <c r="E726" t="s">
        <v>26</v>
      </c>
      <c r="F726" t="s">
        <v>58</v>
      </c>
      <c r="G726" t="s">
        <v>69</v>
      </c>
      <c r="H726">
        <v>3</v>
      </c>
      <c r="I726">
        <v>13767</v>
      </c>
      <c r="J726">
        <v>0.1</v>
      </c>
      <c r="K726">
        <v>37170.9</v>
      </c>
      <c r="L726">
        <v>7331.85</v>
      </c>
    </row>
    <row r="727" spans="1:12" x14ac:dyDescent="0.3">
      <c r="A727" t="s">
        <v>962</v>
      </c>
      <c r="B727" s="3">
        <v>45843</v>
      </c>
      <c r="C727" t="s">
        <v>90</v>
      </c>
      <c r="D727" t="s">
        <v>47</v>
      </c>
      <c r="E727" t="s">
        <v>26</v>
      </c>
      <c r="F727" t="s">
        <v>16</v>
      </c>
      <c r="G727" t="s">
        <v>104</v>
      </c>
      <c r="H727">
        <v>4</v>
      </c>
      <c r="I727">
        <v>12031</v>
      </c>
      <c r="J727">
        <v>0.2</v>
      </c>
      <c r="K727">
        <v>38499.200000000004</v>
      </c>
      <c r="L727">
        <v>7184.38</v>
      </c>
    </row>
    <row r="728" spans="1:12" x14ac:dyDescent="0.3">
      <c r="A728" t="s">
        <v>963</v>
      </c>
      <c r="B728" s="3">
        <v>45761</v>
      </c>
      <c r="C728" t="s">
        <v>792</v>
      </c>
      <c r="D728" t="s">
        <v>153</v>
      </c>
      <c r="E728" t="s">
        <v>26</v>
      </c>
      <c r="F728" t="s">
        <v>16</v>
      </c>
      <c r="G728" t="s">
        <v>17</v>
      </c>
      <c r="H728">
        <v>1</v>
      </c>
      <c r="I728">
        <v>7172</v>
      </c>
      <c r="J728">
        <v>0.05</v>
      </c>
      <c r="K728">
        <v>6813.4</v>
      </c>
      <c r="L728">
        <v>1605.22</v>
      </c>
    </row>
    <row r="729" spans="1:12" x14ac:dyDescent="0.3">
      <c r="A729" t="s">
        <v>964</v>
      </c>
      <c r="B729" s="3">
        <v>45883</v>
      </c>
      <c r="C729" t="s">
        <v>965</v>
      </c>
      <c r="D729" t="s">
        <v>92</v>
      </c>
      <c r="E729" t="s">
        <v>51</v>
      </c>
      <c r="F729" t="s">
        <v>58</v>
      </c>
      <c r="G729" t="s">
        <v>126</v>
      </c>
      <c r="H729">
        <v>3</v>
      </c>
      <c r="I729">
        <v>15703</v>
      </c>
      <c r="J729">
        <v>0.1</v>
      </c>
      <c r="K729">
        <v>42398.1</v>
      </c>
      <c r="L729">
        <v>4105.9399999999996</v>
      </c>
    </row>
    <row r="730" spans="1:12" x14ac:dyDescent="0.3">
      <c r="A730" t="s">
        <v>966</v>
      </c>
      <c r="B730" s="3">
        <v>45980</v>
      </c>
      <c r="C730" t="s">
        <v>197</v>
      </c>
      <c r="D730" t="s">
        <v>202</v>
      </c>
      <c r="E730" t="s">
        <v>44</v>
      </c>
      <c r="F730" t="s">
        <v>21</v>
      </c>
      <c r="G730" t="s">
        <v>35</v>
      </c>
      <c r="H730">
        <v>2</v>
      </c>
      <c r="I730">
        <v>1697</v>
      </c>
      <c r="J730">
        <v>0.2</v>
      </c>
      <c r="K730">
        <v>2715.2000000000003</v>
      </c>
      <c r="L730">
        <v>740.97</v>
      </c>
    </row>
    <row r="731" spans="1:12" x14ac:dyDescent="0.3">
      <c r="A731" t="s">
        <v>967</v>
      </c>
      <c r="B731" s="3">
        <v>45749</v>
      </c>
      <c r="C731" t="s">
        <v>636</v>
      </c>
      <c r="D731" t="s">
        <v>83</v>
      </c>
      <c r="E731" t="s">
        <v>73</v>
      </c>
      <c r="F731" t="s">
        <v>58</v>
      </c>
      <c r="G731" t="s">
        <v>59</v>
      </c>
      <c r="H731">
        <v>2</v>
      </c>
      <c r="I731">
        <v>830</v>
      </c>
      <c r="J731">
        <v>0</v>
      </c>
      <c r="K731">
        <v>1660</v>
      </c>
      <c r="L731">
        <v>242.66</v>
      </c>
    </row>
    <row r="732" spans="1:12" x14ac:dyDescent="0.3">
      <c r="A732" t="s">
        <v>968</v>
      </c>
      <c r="B732" s="3">
        <v>46013</v>
      </c>
      <c r="C732" t="s">
        <v>440</v>
      </c>
      <c r="D732" t="s">
        <v>20</v>
      </c>
      <c r="E732" t="s">
        <v>15</v>
      </c>
      <c r="F732" t="s">
        <v>16</v>
      </c>
      <c r="G732" t="s">
        <v>104</v>
      </c>
      <c r="H732">
        <v>5</v>
      </c>
      <c r="I732">
        <v>13806</v>
      </c>
      <c r="J732">
        <v>0.15</v>
      </c>
      <c r="K732">
        <v>58675.5</v>
      </c>
      <c r="L732">
        <v>12148.94</v>
      </c>
    </row>
    <row r="733" spans="1:12" x14ac:dyDescent="0.3">
      <c r="A733" t="s">
        <v>969</v>
      </c>
      <c r="B733" s="3">
        <v>45865</v>
      </c>
      <c r="C733" t="s">
        <v>333</v>
      </c>
      <c r="D733" t="s">
        <v>34</v>
      </c>
      <c r="E733" t="s">
        <v>15</v>
      </c>
      <c r="F733" t="s">
        <v>58</v>
      </c>
      <c r="G733" t="s">
        <v>59</v>
      </c>
      <c r="H733">
        <v>4</v>
      </c>
      <c r="I733">
        <v>24381</v>
      </c>
      <c r="J733">
        <v>0.05</v>
      </c>
      <c r="K733">
        <v>92647.8</v>
      </c>
      <c r="L733">
        <v>13684.21</v>
      </c>
    </row>
    <row r="734" spans="1:12" x14ac:dyDescent="0.3">
      <c r="A734" t="s">
        <v>970</v>
      </c>
      <c r="B734" s="3">
        <v>45686</v>
      </c>
      <c r="C734" t="s">
        <v>134</v>
      </c>
      <c r="D734" t="s">
        <v>88</v>
      </c>
      <c r="E734" t="s">
        <v>73</v>
      </c>
      <c r="F734" t="s">
        <v>21</v>
      </c>
      <c r="G734" t="s">
        <v>55</v>
      </c>
      <c r="H734">
        <v>1</v>
      </c>
      <c r="I734">
        <v>495</v>
      </c>
      <c r="J734">
        <v>0.1</v>
      </c>
      <c r="K734">
        <v>445.5</v>
      </c>
      <c r="L734">
        <v>39.64</v>
      </c>
    </row>
    <row r="735" spans="1:12" x14ac:dyDescent="0.3">
      <c r="A735" t="s">
        <v>971</v>
      </c>
      <c r="B735" s="3">
        <v>45744</v>
      </c>
      <c r="C735" t="s">
        <v>358</v>
      </c>
      <c r="D735" t="s">
        <v>25</v>
      </c>
      <c r="E735" t="s">
        <v>26</v>
      </c>
      <c r="F735" t="s">
        <v>58</v>
      </c>
      <c r="G735" t="s">
        <v>69</v>
      </c>
      <c r="H735">
        <v>1</v>
      </c>
      <c r="I735">
        <v>7389</v>
      </c>
      <c r="J735">
        <v>0.15</v>
      </c>
      <c r="K735">
        <v>6280.65</v>
      </c>
      <c r="L735">
        <v>677.43</v>
      </c>
    </row>
    <row r="736" spans="1:12" x14ac:dyDescent="0.3">
      <c r="A736" t="s">
        <v>972</v>
      </c>
      <c r="B736" s="3">
        <v>45825</v>
      </c>
      <c r="C736" t="s">
        <v>185</v>
      </c>
      <c r="D736" t="s">
        <v>47</v>
      </c>
      <c r="E736" t="s">
        <v>26</v>
      </c>
      <c r="F736" t="s">
        <v>58</v>
      </c>
      <c r="G736" t="s">
        <v>59</v>
      </c>
      <c r="H736">
        <v>1</v>
      </c>
      <c r="I736">
        <v>10234</v>
      </c>
      <c r="J736">
        <v>0.15</v>
      </c>
      <c r="K736">
        <v>8698.9</v>
      </c>
      <c r="L736">
        <v>1073.6199999999999</v>
      </c>
    </row>
    <row r="737" spans="1:12" x14ac:dyDescent="0.3">
      <c r="A737" t="s">
        <v>973</v>
      </c>
      <c r="B737" s="3">
        <v>45742</v>
      </c>
      <c r="C737" t="s">
        <v>87</v>
      </c>
      <c r="D737" t="s">
        <v>307</v>
      </c>
      <c r="E737" t="s">
        <v>73</v>
      </c>
      <c r="F737" t="s">
        <v>58</v>
      </c>
      <c r="G737" t="s">
        <v>126</v>
      </c>
      <c r="H737">
        <v>5</v>
      </c>
      <c r="I737">
        <v>98</v>
      </c>
      <c r="J737">
        <v>0</v>
      </c>
      <c r="K737">
        <v>490</v>
      </c>
      <c r="L737">
        <v>91.88</v>
      </c>
    </row>
    <row r="738" spans="1:12" x14ac:dyDescent="0.3">
      <c r="A738" t="s">
        <v>974</v>
      </c>
      <c r="B738" s="3">
        <v>45668</v>
      </c>
      <c r="C738" t="s">
        <v>274</v>
      </c>
      <c r="D738" t="s">
        <v>103</v>
      </c>
      <c r="E738" t="s">
        <v>51</v>
      </c>
      <c r="F738" t="s">
        <v>16</v>
      </c>
      <c r="G738" t="s">
        <v>17</v>
      </c>
      <c r="H738">
        <v>1</v>
      </c>
      <c r="I738">
        <v>1309</v>
      </c>
      <c r="J738">
        <v>0.1</v>
      </c>
      <c r="K738">
        <v>1178.1000000000001</v>
      </c>
      <c r="L738">
        <v>313.91000000000003</v>
      </c>
    </row>
    <row r="739" spans="1:12" x14ac:dyDescent="0.3">
      <c r="A739" t="s">
        <v>975</v>
      </c>
      <c r="B739" s="3">
        <v>45998</v>
      </c>
      <c r="C739" t="s">
        <v>260</v>
      </c>
      <c r="D739" t="s">
        <v>25</v>
      </c>
      <c r="E739" t="s">
        <v>26</v>
      </c>
      <c r="F739" t="s">
        <v>58</v>
      </c>
      <c r="G739" t="s">
        <v>126</v>
      </c>
      <c r="H739">
        <v>2</v>
      </c>
      <c r="I739">
        <v>11988</v>
      </c>
      <c r="J739">
        <v>0</v>
      </c>
      <c r="K739">
        <v>23976</v>
      </c>
      <c r="L739">
        <v>5200.08</v>
      </c>
    </row>
    <row r="740" spans="1:12" x14ac:dyDescent="0.3">
      <c r="A740" t="s">
        <v>976</v>
      </c>
      <c r="B740" s="3">
        <v>45980</v>
      </c>
      <c r="C740" t="s">
        <v>257</v>
      </c>
      <c r="D740" t="s">
        <v>307</v>
      </c>
      <c r="E740" t="s">
        <v>73</v>
      </c>
      <c r="F740" t="s">
        <v>27</v>
      </c>
      <c r="G740" t="s">
        <v>28</v>
      </c>
      <c r="H740">
        <v>2</v>
      </c>
      <c r="I740">
        <v>144</v>
      </c>
      <c r="J740">
        <v>0.15</v>
      </c>
      <c r="K740">
        <v>244.79999999999998</v>
      </c>
      <c r="L740">
        <v>49.6</v>
      </c>
    </row>
    <row r="741" spans="1:12" x14ac:dyDescent="0.3">
      <c r="A741" t="s">
        <v>977</v>
      </c>
      <c r="B741" s="3">
        <v>45918</v>
      </c>
      <c r="C741" t="s">
        <v>106</v>
      </c>
      <c r="D741" t="s">
        <v>50</v>
      </c>
      <c r="E741" t="s">
        <v>51</v>
      </c>
      <c r="F741" t="s">
        <v>21</v>
      </c>
      <c r="G741" t="s">
        <v>55</v>
      </c>
      <c r="H741">
        <v>2</v>
      </c>
      <c r="I741">
        <v>1519</v>
      </c>
      <c r="J741">
        <v>0</v>
      </c>
      <c r="K741">
        <v>3038</v>
      </c>
      <c r="L741">
        <v>315.62</v>
      </c>
    </row>
    <row r="742" spans="1:12" x14ac:dyDescent="0.3">
      <c r="A742" t="s">
        <v>978</v>
      </c>
      <c r="B742" s="3">
        <v>45818</v>
      </c>
      <c r="C742" t="s">
        <v>665</v>
      </c>
      <c r="D742" t="s">
        <v>202</v>
      </c>
      <c r="E742" t="s">
        <v>44</v>
      </c>
      <c r="F742" t="s">
        <v>58</v>
      </c>
      <c r="G742" t="s">
        <v>69</v>
      </c>
      <c r="H742">
        <v>1</v>
      </c>
      <c r="I742">
        <v>2322</v>
      </c>
      <c r="J742">
        <v>0.1</v>
      </c>
      <c r="K742">
        <v>2089.8000000000002</v>
      </c>
      <c r="L742">
        <v>204.58</v>
      </c>
    </row>
    <row r="743" spans="1:12" x14ac:dyDescent="0.3">
      <c r="A743" t="s">
        <v>979</v>
      </c>
      <c r="B743" s="3">
        <v>45913</v>
      </c>
      <c r="C743" t="s">
        <v>67</v>
      </c>
      <c r="D743" t="s">
        <v>34</v>
      </c>
      <c r="E743" t="s">
        <v>15</v>
      </c>
      <c r="F743" t="s">
        <v>16</v>
      </c>
      <c r="G743" t="s">
        <v>52</v>
      </c>
      <c r="H743">
        <v>1</v>
      </c>
      <c r="I743">
        <v>11729</v>
      </c>
      <c r="J743">
        <v>0.15</v>
      </c>
      <c r="K743">
        <v>9969.65</v>
      </c>
      <c r="L743">
        <v>1054.5899999999999</v>
      </c>
    </row>
    <row r="744" spans="1:12" x14ac:dyDescent="0.3">
      <c r="A744" t="s">
        <v>980</v>
      </c>
      <c r="B744" s="3">
        <v>45672</v>
      </c>
      <c r="C744" t="s">
        <v>570</v>
      </c>
      <c r="D744" t="s">
        <v>65</v>
      </c>
      <c r="E744" t="s">
        <v>26</v>
      </c>
      <c r="F744" t="s">
        <v>16</v>
      </c>
      <c r="G744" t="s">
        <v>104</v>
      </c>
      <c r="H744">
        <v>1</v>
      </c>
      <c r="I744">
        <v>3309</v>
      </c>
      <c r="J744">
        <v>0.05</v>
      </c>
      <c r="K744">
        <v>3143.5499999999997</v>
      </c>
      <c r="L744">
        <v>700.17</v>
      </c>
    </row>
    <row r="745" spans="1:12" x14ac:dyDescent="0.3">
      <c r="A745" t="s">
        <v>981</v>
      </c>
      <c r="B745" s="3">
        <v>45717</v>
      </c>
      <c r="C745" t="s">
        <v>159</v>
      </c>
      <c r="D745" t="s">
        <v>307</v>
      </c>
      <c r="E745" t="s">
        <v>73</v>
      </c>
      <c r="F745" t="s">
        <v>16</v>
      </c>
      <c r="G745" t="s">
        <v>104</v>
      </c>
      <c r="H745">
        <v>1</v>
      </c>
      <c r="I745">
        <v>247</v>
      </c>
      <c r="J745">
        <v>0</v>
      </c>
      <c r="K745">
        <v>247</v>
      </c>
      <c r="L745">
        <v>42.15</v>
      </c>
    </row>
    <row r="746" spans="1:12" x14ac:dyDescent="0.3">
      <c r="A746" t="s">
        <v>982</v>
      </c>
      <c r="B746" s="3">
        <v>45936</v>
      </c>
      <c r="C746" t="s">
        <v>143</v>
      </c>
      <c r="D746" t="s">
        <v>47</v>
      </c>
      <c r="E746" t="s">
        <v>26</v>
      </c>
      <c r="F746" t="s">
        <v>58</v>
      </c>
      <c r="G746" t="s">
        <v>126</v>
      </c>
      <c r="H746">
        <v>2</v>
      </c>
      <c r="I746">
        <v>21254</v>
      </c>
      <c r="J746">
        <v>0.1</v>
      </c>
      <c r="K746">
        <v>38257.200000000004</v>
      </c>
      <c r="L746">
        <v>6076.7</v>
      </c>
    </row>
    <row r="747" spans="1:12" x14ac:dyDescent="0.3">
      <c r="A747" t="s">
        <v>983</v>
      </c>
      <c r="B747" s="3">
        <v>45808</v>
      </c>
      <c r="C747" t="s">
        <v>75</v>
      </c>
      <c r="D747" t="s">
        <v>72</v>
      </c>
      <c r="E747" t="s">
        <v>73</v>
      </c>
      <c r="F747" t="s">
        <v>58</v>
      </c>
      <c r="G747" t="s">
        <v>69</v>
      </c>
      <c r="H747">
        <v>1</v>
      </c>
      <c r="I747">
        <v>303</v>
      </c>
      <c r="J747">
        <v>0.1</v>
      </c>
      <c r="K747">
        <v>272.7</v>
      </c>
      <c r="L747">
        <v>53.88</v>
      </c>
    </row>
    <row r="748" spans="1:12" x14ac:dyDescent="0.3">
      <c r="A748" t="s">
        <v>984</v>
      </c>
      <c r="B748" s="3">
        <v>45983</v>
      </c>
      <c r="C748" t="s">
        <v>13</v>
      </c>
      <c r="D748" t="s">
        <v>47</v>
      </c>
      <c r="E748" t="s">
        <v>26</v>
      </c>
      <c r="F748" t="s">
        <v>16</v>
      </c>
      <c r="G748" t="s">
        <v>17</v>
      </c>
      <c r="H748">
        <v>3</v>
      </c>
      <c r="I748">
        <v>14297</v>
      </c>
      <c r="J748">
        <v>0.05</v>
      </c>
      <c r="K748">
        <v>40746.449999999997</v>
      </c>
      <c r="L748">
        <v>4130.2299999999996</v>
      </c>
    </row>
    <row r="749" spans="1:12" x14ac:dyDescent="0.3">
      <c r="A749" t="s">
        <v>985</v>
      </c>
      <c r="B749" s="3">
        <v>45910</v>
      </c>
      <c r="C749" t="s">
        <v>463</v>
      </c>
      <c r="D749" t="s">
        <v>202</v>
      </c>
      <c r="E749" t="s">
        <v>44</v>
      </c>
      <c r="F749" t="s">
        <v>21</v>
      </c>
      <c r="G749" t="s">
        <v>55</v>
      </c>
      <c r="H749">
        <v>2</v>
      </c>
      <c r="I749">
        <v>1447</v>
      </c>
      <c r="J749">
        <v>0.1</v>
      </c>
      <c r="K749">
        <v>2604.6</v>
      </c>
      <c r="L749">
        <v>665.38</v>
      </c>
    </row>
    <row r="750" spans="1:12" x14ac:dyDescent="0.3">
      <c r="A750" t="s">
        <v>986</v>
      </c>
      <c r="B750" s="3">
        <v>45678</v>
      </c>
      <c r="C750" t="s">
        <v>310</v>
      </c>
      <c r="D750" t="s">
        <v>65</v>
      </c>
      <c r="E750" t="s">
        <v>26</v>
      </c>
      <c r="F750" t="s">
        <v>16</v>
      </c>
      <c r="G750" t="s">
        <v>52</v>
      </c>
      <c r="H750">
        <v>5</v>
      </c>
      <c r="I750">
        <v>2445</v>
      </c>
      <c r="J750">
        <v>0.05</v>
      </c>
      <c r="K750">
        <v>11613.75</v>
      </c>
      <c r="L750">
        <v>1494.61</v>
      </c>
    </row>
    <row r="751" spans="1:12" x14ac:dyDescent="0.3">
      <c r="A751" t="s">
        <v>987</v>
      </c>
      <c r="B751" s="3">
        <v>45974</v>
      </c>
      <c r="C751" t="s">
        <v>163</v>
      </c>
      <c r="D751" t="s">
        <v>307</v>
      </c>
      <c r="E751" t="s">
        <v>73</v>
      </c>
      <c r="F751" t="s">
        <v>58</v>
      </c>
      <c r="G751" t="s">
        <v>126</v>
      </c>
      <c r="H751">
        <v>1</v>
      </c>
      <c r="I751">
        <v>261</v>
      </c>
      <c r="J751">
        <v>0.05</v>
      </c>
      <c r="K751">
        <v>247.95</v>
      </c>
      <c r="L751">
        <v>55.68</v>
      </c>
    </row>
    <row r="752" spans="1:12" x14ac:dyDescent="0.3">
      <c r="A752" t="s">
        <v>988</v>
      </c>
      <c r="B752" s="3">
        <v>45894</v>
      </c>
      <c r="C752" t="s">
        <v>580</v>
      </c>
      <c r="D752" t="s">
        <v>92</v>
      </c>
      <c r="E752" t="s">
        <v>51</v>
      </c>
      <c r="F752" t="s">
        <v>16</v>
      </c>
      <c r="G752" t="s">
        <v>17</v>
      </c>
      <c r="H752">
        <v>3</v>
      </c>
      <c r="I752">
        <v>12171</v>
      </c>
      <c r="J752">
        <v>0.15</v>
      </c>
      <c r="K752">
        <v>31036.05</v>
      </c>
      <c r="L752">
        <v>4671.1099999999997</v>
      </c>
    </row>
    <row r="753" spans="1:12" x14ac:dyDescent="0.3">
      <c r="A753" t="s">
        <v>989</v>
      </c>
      <c r="B753" s="3">
        <v>45763</v>
      </c>
      <c r="C753" t="s">
        <v>570</v>
      </c>
      <c r="D753" t="s">
        <v>30</v>
      </c>
      <c r="E753" t="s">
        <v>15</v>
      </c>
      <c r="F753" t="s">
        <v>16</v>
      </c>
      <c r="G753" t="s">
        <v>52</v>
      </c>
      <c r="H753">
        <v>1</v>
      </c>
      <c r="I753">
        <v>9432</v>
      </c>
      <c r="J753">
        <v>0.05</v>
      </c>
      <c r="K753">
        <v>8960.4</v>
      </c>
      <c r="L753">
        <v>938.27</v>
      </c>
    </row>
    <row r="754" spans="1:12" x14ac:dyDescent="0.3">
      <c r="A754" t="s">
        <v>990</v>
      </c>
      <c r="B754" s="3">
        <v>45844</v>
      </c>
      <c r="C754" t="s">
        <v>315</v>
      </c>
      <c r="D754" t="s">
        <v>68</v>
      </c>
      <c r="E754" t="s">
        <v>44</v>
      </c>
      <c r="F754" t="s">
        <v>16</v>
      </c>
      <c r="G754" t="s">
        <v>52</v>
      </c>
      <c r="H754">
        <v>4</v>
      </c>
      <c r="I754">
        <v>5178</v>
      </c>
      <c r="J754">
        <v>0.05</v>
      </c>
      <c r="K754">
        <v>19676.399999999998</v>
      </c>
      <c r="L754">
        <v>4338.25</v>
      </c>
    </row>
    <row r="755" spans="1:12" x14ac:dyDescent="0.3">
      <c r="A755" t="s">
        <v>991</v>
      </c>
      <c r="B755" s="3">
        <v>45710</v>
      </c>
      <c r="C755" t="s">
        <v>798</v>
      </c>
      <c r="D755" t="s">
        <v>92</v>
      </c>
      <c r="E755" t="s">
        <v>51</v>
      </c>
      <c r="F755" t="s">
        <v>27</v>
      </c>
      <c r="G755" t="s">
        <v>31</v>
      </c>
      <c r="H755">
        <v>1</v>
      </c>
      <c r="I755">
        <v>15134</v>
      </c>
      <c r="J755">
        <v>0.15</v>
      </c>
      <c r="K755">
        <v>12863.9</v>
      </c>
      <c r="L755">
        <v>3255.32</v>
      </c>
    </row>
    <row r="756" spans="1:12" x14ac:dyDescent="0.3">
      <c r="A756" t="s">
        <v>992</v>
      </c>
      <c r="B756" s="3">
        <v>45758</v>
      </c>
      <c r="C756" t="s">
        <v>337</v>
      </c>
      <c r="D756" t="s">
        <v>88</v>
      </c>
      <c r="E756" t="s">
        <v>73</v>
      </c>
      <c r="F756" t="s">
        <v>21</v>
      </c>
      <c r="G756" t="s">
        <v>22</v>
      </c>
      <c r="H756">
        <v>1</v>
      </c>
      <c r="I756">
        <v>540</v>
      </c>
      <c r="J756">
        <v>0</v>
      </c>
      <c r="K756">
        <v>540</v>
      </c>
      <c r="L756">
        <v>77.06</v>
      </c>
    </row>
    <row r="757" spans="1:12" x14ac:dyDescent="0.3">
      <c r="A757" t="s">
        <v>993</v>
      </c>
      <c r="B757" s="3">
        <v>45823</v>
      </c>
      <c r="C757" t="s">
        <v>805</v>
      </c>
      <c r="D757" t="s">
        <v>120</v>
      </c>
      <c r="E757" t="s">
        <v>51</v>
      </c>
      <c r="F757" t="s">
        <v>27</v>
      </c>
      <c r="G757" t="s">
        <v>40</v>
      </c>
      <c r="H757">
        <v>2</v>
      </c>
      <c r="I757">
        <v>1843</v>
      </c>
      <c r="J757">
        <v>0.05</v>
      </c>
      <c r="K757">
        <v>3501.7</v>
      </c>
      <c r="L757">
        <v>533.42999999999995</v>
      </c>
    </row>
    <row r="758" spans="1:12" x14ac:dyDescent="0.3">
      <c r="A758" t="s">
        <v>994</v>
      </c>
      <c r="B758" s="3">
        <v>45707</v>
      </c>
      <c r="C758" t="s">
        <v>119</v>
      </c>
      <c r="D758" t="s">
        <v>88</v>
      </c>
      <c r="E758" t="s">
        <v>73</v>
      </c>
      <c r="F758" t="s">
        <v>58</v>
      </c>
      <c r="G758" t="s">
        <v>69</v>
      </c>
      <c r="H758">
        <v>1</v>
      </c>
      <c r="I758">
        <v>302</v>
      </c>
      <c r="J758">
        <v>0.25</v>
      </c>
      <c r="K758">
        <v>226.5</v>
      </c>
      <c r="L758">
        <v>26.04</v>
      </c>
    </row>
    <row r="759" spans="1:12" x14ac:dyDescent="0.3">
      <c r="A759" t="s">
        <v>995</v>
      </c>
      <c r="B759" s="3">
        <v>45732</v>
      </c>
      <c r="C759" t="s">
        <v>64</v>
      </c>
      <c r="D759" t="s">
        <v>47</v>
      </c>
      <c r="E759" t="s">
        <v>26</v>
      </c>
      <c r="F759" t="s">
        <v>16</v>
      </c>
      <c r="G759" t="s">
        <v>104</v>
      </c>
      <c r="H759">
        <v>1</v>
      </c>
      <c r="I759">
        <v>18150</v>
      </c>
      <c r="J759">
        <v>0.15</v>
      </c>
      <c r="K759">
        <v>15427.5</v>
      </c>
      <c r="L759">
        <v>1654</v>
      </c>
    </row>
    <row r="760" spans="1:12" x14ac:dyDescent="0.3">
      <c r="A760" t="s">
        <v>996</v>
      </c>
      <c r="B760" s="3">
        <v>45808</v>
      </c>
      <c r="C760" t="s">
        <v>617</v>
      </c>
      <c r="D760" t="s">
        <v>65</v>
      </c>
      <c r="E760" t="s">
        <v>26</v>
      </c>
      <c r="F760" t="s">
        <v>21</v>
      </c>
      <c r="G760" t="s">
        <v>55</v>
      </c>
      <c r="H760">
        <v>1</v>
      </c>
      <c r="I760">
        <v>2040</v>
      </c>
      <c r="J760">
        <v>0.1</v>
      </c>
      <c r="K760">
        <v>1836</v>
      </c>
      <c r="L760">
        <v>296.48</v>
      </c>
    </row>
    <row r="761" spans="1:12" x14ac:dyDescent="0.3">
      <c r="A761" t="s">
        <v>997</v>
      </c>
      <c r="B761" s="3">
        <v>46010</v>
      </c>
      <c r="C761" t="s">
        <v>180</v>
      </c>
      <c r="D761" t="s">
        <v>47</v>
      </c>
      <c r="E761" t="s">
        <v>26</v>
      </c>
      <c r="F761" t="s">
        <v>27</v>
      </c>
      <c r="G761" t="s">
        <v>40</v>
      </c>
      <c r="H761">
        <v>2</v>
      </c>
      <c r="I761">
        <v>11190</v>
      </c>
      <c r="J761">
        <v>0.05</v>
      </c>
      <c r="K761">
        <v>21261</v>
      </c>
      <c r="L761">
        <v>2379.2800000000002</v>
      </c>
    </row>
    <row r="762" spans="1:12" x14ac:dyDescent="0.3">
      <c r="A762" t="s">
        <v>998</v>
      </c>
      <c r="B762" s="3">
        <v>45979</v>
      </c>
      <c r="C762" t="s">
        <v>456</v>
      </c>
      <c r="D762" t="s">
        <v>153</v>
      </c>
      <c r="E762" t="s">
        <v>26</v>
      </c>
      <c r="F762" t="s">
        <v>21</v>
      </c>
      <c r="G762" t="s">
        <v>35</v>
      </c>
      <c r="H762">
        <v>1</v>
      </c>
      <c r="I762">
        <v>6951</v>
      </c>
      <c r="J762">
        <v>0</v>
      </c>
      <c r="K762">
        <v>6951</v>
      </c>
      <c r="L762">
        <v>717.8</v>
      </c>
    </row>
    <row r="763" spans="1:12" x14ac:dyDescent="0.3">
      <c r="A763" t="s">
        <v>999</v>
      </c>
      <c r="B763" s="3">
        <v>45983</v>
      </c>
      <c r="C763" t="s">
        <v>570</v>
      </c>
      <c r="D763" t="s">
        <v>34</v>
      </c>
      <c r="E763" t="s">
        <v>15</v>
      </c>
      <c r="F763" t="s">
        <v>58</v>
      </c>
      <c r="G763" t="s">
        <v>69</v>
      </c>
      <c r="H763">
        <v>1</v>
      </c>
      <c r="I763">
        <v>9441</v>
      </c>
      <c r="J763">
        <v>0</v>
      </c>
      <c r="K763">
        <v>9441</v>
      </c>
      <c r="L763">
        <v>2072.17</v>
      </c>
    </row>
    <row r="764" spans="1:12" x14ac:dyDescent="0.3">
      <c r="A764" t="s">
        <v>1000</v>
      </c>
      <c r="B764" s="3">
        <v>45681</v>
      </c>
      <c r="C764" t="s">
        <v>106</v>
      </c>
      <c r="D764" t="s">
        <v>50</v>
      </c>
      <c r="E764" t="s">
        <v>51</v>
      </c>
      <c r="F764" t="s">
        <v>27</v>
      </c>
      <c r="G764" t="s">
        <v>40</v>
      </c>
      <c r="H764">
        <v>1</v>
      </c>
      <c r="I764">
        <v>3074</v>
      </c>
      <c r="J764">
        <v>0</v>
      </c>
      <c r="K764">
        <v>3074</v>
      </c>
      <c r="L764">
        <v>290.51</v>
      </c>
    </row>
    <row r="765" spans="1:12" x14ac:dyDescent="0.3">
      <c r="A765" t="s">
        <v>1001</v>
      </c>
      <c r="B765" s="3">
        <v>45891</v>
      </c>
      <c r="C765" t="s">
        <v>570</v>
      </c>
      <c r="D765" t="s">
        <v>103</v>
      </c>
      <c r="E765" t="s">
        <v>51</v>
      </c>
      <c r="F765" t="s">
        <v>27</v>
      </c>
      <c r="G765" t="s">
        <v>31</v>
      </c>
      <c r="H765">
        <v>1</v>
      </c>
      <c r="I765">
        <v>8593</v>
      </c>
      <c r="J765">
        <v>0.05</v>
      </c>
      <c r="K765">
        <v>8163.3499999999995</v>
      </c>
      <c r="L765">
        <v>1203.6199999999999</v>
      </c>
    </row>
    <row r="766" spans="1:12" x14ac:dyDescent="0.3">
      <c r="A766" t="s">
        <v>1002</v>
      </c>
      <c r="B766" s="3">
        <v>45757</v>
      </c>
      <c r="C766" t="s">
        <v>305</v>
      </c>
      <c r="D766" t="s">
        <v>307</v>
      </c>
      <c r="E766" t="s">
        <v>73</v>
      </c>
      <c r="F766" t="s">
        <v>58</v>
      </c>
      <c r="G766" t="s">
        <v>126</v>
      </c>
      <c r="H766">
        <v>3</v>
      </c>
      <c r="I766">
        <v>377</v>
      </c>
      <c r="J766">
        <v>0</v>
      </c>
      <c r="K766">
        <v>1131</v>
      </c>
      <c r="L766">
        <v>173.39</v>
      </c>
    </row>
    <row r="767" spans="1:12" x14ac:dyDescent="0.3">
      <c r="A767" t="s">
        <v>1003</v>
      </c>
      <c r="B767" s="3">
        <v>45784</v>
      </c>
      <c r="C767" t="s">
        <v>42</v>
      </c>
      <c r="D767" t="s">
        <v>103</v>
      </c>
      <c r="E767" t="s">
        <v>51</v>
      </c>
      <c r="F767" t="s">
        <v>27</v>
      </c>
      <c r="G767" t="s">
        <v>31</v>
      </c>
      <c r="H767">
        <v>1</v>
      </c>
      <c r="I767">
        <v>7513</v>
      </c>
      <c r="J767">
        <v>0.05</v>
      </c>
      <c r="K767">
        <v>7137.3499999999995</v>
      </c>
      <c r="L767">
        <v>638.4</v>
      </c>
    </row>
    <row r="768" spans="1:12" x14ac:dyDescent="0.3">
      <c r="A768" t="s">
        <v>1004</v>
      </c>
      <c r="B768" s="3">
        <v>46021</v>
      </c>
      <c r="C768" t="s">
        <v>145</v>
      </c>
      <c r="D768" t="s">
        <v>120</v>
      </c>
      <c r="E768" t="s">
        <v>51</v>
      </c>
      <c r="F768" t="s">
        <v>27</v>
      </c>
      <c r="G768" t="s">
        <v>40</v>
      </c>
      <c r="H768">
        <v>1</v>
      </c>
      <c r="I768">
        <v>1441</v>
      </c>
      <c r="J768">
        <v>0.2</v>
      </c>
      <c r="K768">
        <v>1152.8</v>
      </c>
      <c r="L768">
        <v>219.98</v>
      </c>
    </row>
    <row r="769" spans="1:12" x14ac:dyDescent="0.3">
      <c r="A769" t="s">
        <v>1005</v>
      </c>
      <c r="B769" s="3">
        <v>46017</v>
      </c>
      <c r="C769" t="s">
        <v>178</v>
      </c>
      <c r="D769" t="s">
        <v>20</v>
      </c>
      <c r="E769" t="s">
        <v>15</v>
      </c>
      <c r="F769" t="s">
        <v>16</v>
      </c>
      <c r="G769" t="s">
        <v>17</v>
      </c>
      <c r="H769">
        <v>4</v>
      </c>
      <c r="I769">
        <v>14834</v>
      </c>
      <c r="J769">
        <v>0.2</v>
      </c>
      <c r="K769">
        <v>47468.800000000003</v>
      </c>
      <c r="L769">
        <v>4697.9799999999996</v>
      </c>
    </row>
    <row r="770" spans="1:12" x14ac:dyDescent="0.3">
      <c r="A770" t="s">
        <v>1006</v>
      </c>
      <c r="B770" s="3">
        <v>45867</v>
      </c>
      <c r="C770" t="s">
        <v>194</v>
      </c>
      <c r="D770" t="s">
        <v>83</v>
      </c>
      <c r="E770" t="s">
        <v>73</v>
      </c>
      <c r="F770" t="s">
        <v>21</v>
      </c>
      <c r="G770" t="s">
        <v>22</v>
      </c>
      <c r="H770">
        <v>1</v>
      </c>
      <c r="I770">
        <v>372</v>
      </c>
      <c r="J770">
        <v>0</v>
      </c>
      <c r="K770">
        <v>372</v>
      </c>
      <c r="L770">
        <v>36.56</v>
      </c>
    </row>
    <row r="771" spans="1:12" x14ac:dyDescent="0.3">
      <c r="A771" t="s">
        <v>1007</v>
      </c>
      <c r="B771" s="3">
        <v>45761</v>
      </c>
      <c r="C771" t="s">
        <v>805</v>
      </c>
      <c r="D771" t="s">
        <v>153</v>
      </c>
      <c r="E771" t="s">
        <v>26</v>
      </c>
      <c r="F771" t="s">
        <v>16</v>
      </c>
      <c r="G771" t="s">
        <v>17</v>
      </c>
      <c r="H771">
        <v>1</v>
      </c>
      <c r="I771">
        <v>5415</v>
      </c>
      <c r="J771">
        <v>0</v>
      </c>
      <c r="K771">
        <v>5415</v>
      </c>
      <c r="L771">
        <v>1426.96</v>
      </c>
    </row>
    <row r="772" spans="1:12" x14ac:dyDescent="0.3">
      <c r="A772" t="s">
        <v>1008</v>
      </c>
      <c r="B772" s="3">
        <v>45996</v>
      </c>
      <c r="C772" t="s">
        <v>37</v>
      </c>
      <c r="D772" t="s">
        <v>97</v>
      </c>
      <c r="E772" t="s">
        <v>44</v>
      </c>
      <c r="F772" t="s">
        <v>21</v>
      </c>
      <c r="G772" t="s">
        <v>55</v>
      </c>
      <c r="H772">
        <v>3</v>
      </c>
      <c r="I772">
        <v>399</v>
      </c>
      <c r="J772">
        <v>0.25</v>
      </c>
      <c r="K772">
        <v>897.75</v>
      </c>
      <c r="L772">
        <v>223.1</v>
      </c>
    </row>
    <row r="773" spans="1:12" x14ac:dyDescent="0.3">
      <c r="A773" t="s">
        <v>1009</v>
      </c>
      <c r="B773" s="3">
        <v>45879</v>
      </c>
      <c r="C773" t="s">
        <v>163</v>
      </c>
      <c r="D773" t="s">
        <v>50</v>
      </c>
      <c r="E773" t="s">
        <v>51</v>
      </c>
      <c r="F773" t="s">
        <v>16</v>
      </c>
      <c r="G773" t="s">
        <v>52</v>
      </c>
      <c r="H773">
        <v>2</v>
      </c>
      <c r="I773">
        <v>2594</v>
      </c>
      <c r="J773">
        <v>0.05</v>
      </c>
      <c r="K773">
        <v>4928.5999999999995</v>
      </c>
      <c r="L773">
        <v>1217.9000000000001</v>
      </c>
    </row>
    <row r="774" spans="1:12" x14ac:dyDescent="0.3">
      <c r="A774" t="s">
        <v>1010</v>
      </c>
      <c r="B774" s="3">
        <v>45893</v>
      </c>
      <c r="C774" t="s">
        <v>263</v>
      </c>
      <c r="D774" t="s">
        <v>47</v>
      </c>
      <c r="E774" t="s">
        <v>26</v>
      </c>
      <c r="F774" t="s">
        <v>16</v>
      </c>
      <c r="G774" t="s">
        <v>104</v>
      </c>
      <c r="H774">
        <v>2</v>
      </c>
      <c r="I774">
        <v>19058</v>
      </c>
      <c r="J774">
        <v>0.1</v>
      </c>
      <c r="K774">
        <v>34304.400000000001</v>
      </c>
      <c r="L774">
        <v>3172.77</v>
      </c>
    </row>
    <row r="775" spans="1:12" x14ac:dyDescent="0.3">
      <c r="A775" t="s">
        <v>1011</v>
      </c>
      <c r="B775" s="3">
        <v>45921</v>
      </c>
      <c r="C775" t="s">
        <v>354</v>
      </c>
      <c r="D775" t="s">
        <v>20</v>
      </c>
      <c r="E775" t="s">
        <v>15</v>
      </c>
      <c r="F775" t="s">
        <v>58</v>
      </c>
      <c r="G775" t="s">
        <v>126</v>
      </c>
      <c r="H775">
        <v>5</v>
      </c>
      <c r="I775">
        <v>9974</v>
      </c>
      <c r="J775">
        <v>0</v>
      </c>
      <c r="K775">
        <v>49870</v>
      </c>
      <c r="L775">
        <v>7873.82</v>
      </c>
    </row>
    <row r="776" spans="1:12" x14ac:dyDescent="0.3">
      <c r="A776" t="s">
        <v>1012</v>
      </c>
      <c r="B776" s="3">
        <v>45809</v>
      </c>
      <c r="C776" t="s">
        <v>382</v>
      </c>
      <c r="D776" t="s">
        <v>97</v>
      </c>
      <c r="E776" t="s">
        <v>44</v>
      </c>
      <c r="F776" t="s">
        <v>16</v>
      </c>
      <c r="G776" t="s">
        <v>104</v>
      </c>
      <c r="H776">
        <v>1</v>
      </c>
      <c r="I776">
        <v>267</v>
      </c>
      <c r="J776">
        <v>0.1</v>
      </c>
      <c r="K776">
        <v>240.3</v>
      </c>
      <c r="L776">
        <v>20.27</v>
      </c>
    </row>
    <row r="777" spans="1:12" x14ac:dyDescent="0.3">
      <c r="A777" t="s">
        <v>1013</v>
      </c>
      <c r="B777" s="3">
        <v>45876</v>
      </c>
      <c r="C777" t="s">
        <v>87</v>
      </c>
      <c r="D777" t="s">
        <v>307</v>
      </c>
      <c r="E777" t="s">
        <v>73</v>
      </c>
      <c r="F777" t="s">
        <v>21</v>
      </c>
      <c r="G777" t="s">
        <v>55</v>
      </c>
      <c r="H777">
        <v>1</v>
      </c>
      <c r="I777">
        <v>214</v>
      </c>
      <c r="J777">
        <v>0.1</v>
      </c>
      <c r="K777">
        <v>192.6</v>
      </c>
      <c r="L777">
        <v>48.1</v>
      </c>
    </row>
    <row r="778" spans="1:12" x14ac:dyDescent="0.3">
      <c r="A778" t="s">
        <v>1014</v>
      </c>
      <c r="B778" s="3">
        <v>45666</v>
      </c>
      <c r="C778" t="s">
        <v>731</v>
      </c>
      <c r="D778" t="s">
        <v>65</v>
      </c>
      <c r="E778" t="s">
        <v>26</v>
      </c>
      <c r="F778" t="s">
        <v>27</v>
      </c>
      <c r="G778" t="s">
        <v>28</v>
      </c>
      <c r="H778">
        <v>1</v>
      </c>
      <c r="I778">
        <v>1842</v>
      </c>
      <c r="J778">
        <v>0.1</v>
      </c>
      <c r="K778">
        <v>1657.8</v>
      </c>
      <c r="L778">
        <v>236.92</v>
      </c>
    </row>
    <row r="779" spans="1:12" x14ac:dyDescent="0.3">
      <c r="A779" t="s">
        <v>1015</v>
      </c>
      <c r="B779" s="3">
        <v>45722</v>
      </c>
      <c r="C779" t="s">
        <v>398</v>
      </c>
      <c r="D779" t="s">
        <v>88</v>
      </c>
      <c r="E779" t="s">
        <v>73</v>
      </c>
      <c r="F779" t="s">
        <v>58</v>
      </c>
      <c r="G779" t="s">
        <v>126</v>
      </c>
      <c r="H779">
        <v>1</v>
      </c>
      <c r="I779">
        <v>313</v>
      </c>
      <c r="J779">
        <v>0.05</v>
      </c>
      <c r="K779">
        <v>297.34999999999997</v>
      </c>
      <c r="L779">
        <v>63.55</v>
      </c>
    </row>
    <row r="780" spans="1:12" x14ac:dyDescent="0.3">
      <c r="A780" t="s">
        <v>1016</v>
      </c>
      <c r="B780" s="3">
        <v>45874</v>
      </c>
      <c r="C780" t="s">
        <v>640</v>
      </c>
      <c r="D780" t="s">
        <v>47</v>
      </c>
      <c r="E780" t="s">
        <v>26</v>
      </c>
      <c r="F780" t="s">
        <v>58</v>
      </c>
      <c r="G780" t="s">
        <v>126</v>
      </c>
      <c r="H780">
        <v>3</v>
      </c>
      <c r="I780">
        <v>15071</v>
      </c>
      <c r="J780">
        <v>0.1</v>
      </c>
      <c r="K780">
        <v>40691.700000000004</v>
      </c>
      <c r="L780">
        <v>5233.97</v>
      </c>
    </row>
    <row r="781" spans="1:12" x14ac:dyDescent="0.3">
      <c r="A781" t="s">
        <v>1017</v>
      </c>
      <c r="B781" s="3">
        <v>45925</v>
      </c>
      <c r="C781" t="s">
        <v>61</v>
      </c>
      <c r="D781" t="s">
        <v>120</v>
      </c>
      <c r="E781" t="s">
        <v>51</v>
      </c>
      <c r="F781" t="s">
        <v>58</v>
      </c>
      <c r="G781" t="s">
        <v>69</v>
      </c>
      <c r="H781">
        <v>1</v>
      </c>
      <c r="I781">
        <v>1561</v>
      </c>
      <c r="J781">
        <v>0.1</v>
      </c>
      <c r="K781">
        <v>1404.9</v>
      </c>
      <c r="L781">
        <v>344.06</v>
      </c>
    </row>
    <row r="782" spans="1:12" x14ac:dyDescent="0.3">
      <c r="A782" t="s">
        <v>1018</v>
      </c>
      <c r="B782" s="3">
        <v>45715</v>
      </c>
      <c r="C782" t="s">
        <v>199</v>
      </c>
      <c r="D782" t="s">
        <v>103</v>
      </c>
      <c r="E782" t="s">
        <v>51</v>
      </c>
      <c r="F782" t="s">
        <v>16</v>
      </c>
      <c r="G782" t="s">
        <v>52</v>
      </c>
      <c r="H782">
        <v>3</v>
      </c>
      <c r="I782">
        <v>1257</v>
      </c>
      <c r="J782">
        <v>0.1</v>
      </c>
      <c r="K782">
        <v>3393.9</v>
      </c>
      <c r="L782">
        <v>296.99</v>
      </c>
    </row>
    <row r="783" spans="1:12" x14ac:dyDescent="0.3">
      <c r="A783" t="s">
        <v>1019</v>
      </c>
      <c r="B783" s="3">
        <v>45889</v>
      </c>
      <c r="C783" t="s">
        <v>125</v>
      </c>
      <c r="D783" t="s">
        <v>307</v>
      </c>
      <c r="E783" t="s">
        <v>73</v>
      </c>
      <c r="F783" t="s">
        <v>21</v>
      </c>
      <c r="G783" t="s">
        <v>55</v>
      </c>
      <c r="H783">
        <v>5</v>
      </c>
      <c r="I783">
        <v>420</v>
      </c>
      <c r="J783">
        <v>0.05</v>
      </c>
      <c r="K783">
        <v>1995</v>
      </c>
      <c r="L783">
        <v>243.01</v>
      </c>
    </row>
    <row r="784" spans="1:12" x14ac:dyDescent="0.3">
      <c r="A784" t="s">
        <v>1020</v>
      </c>
      <c r="B784" s="3">
        <v>45750</v>
      </c>
      <c r="C784" t="s">
        <v>263</v>
      </c>
      <c r="D784" t="s">
        <v>47</v>
      </c>
      <c r="E784" t="s">
        <v>26</v>
      </c>
      <c r="F784" t="s">
        <v>27</v>
      </c>
      <c r="G784" t="s">
        <v>28</v>
      </c>
      <c r="H784">
        <v>1</v>
      </c>
      <c r="I784">
        <v>19012</v>
      </c>
      <c r="J784">
        <v>0.1</v>
      </c>
      <c r="K784">
        <v>17110.8</v>
      </c>
      <c r="L784">
        <v>3091.97</v>
      </c>
    </row>
    <row r="785" spans="1:12" x14ac:dyDescent="0.3">
      <c r="A785" t="s">
        <v>1021</v>
      </c>
      <c r="B785" s="3">
        <v>45680</v>
      </c>
      <c r="C785" t="s">
        <v>713</v>
      </c>
      <c r="D785" t="s">
        <v>43</v>
      </c>
      <c r="E785" t="s">
        <v>44</v>
      </c>
      <c r="F785" t="s">
        <v>58</v>
      </c>
      <c r="G785" t="s">
        <v>126</v>
      </c>
      <c r="H785">
        <v>4</v>
      </c>
      <c r="I785">
        <v>1395</v>
      </c>
      <c r="J785">
        <v>0</v>
      </c>
      <c r="K785">
        <v>5580</v>
      </c>
      <c r="L785">
        <v>490.39</v>
      </c>
    </row>
    <row r="786" spans="1:12" x14ac:dyDescent="0.3">
      <c r="A786" t="s">
        <v>1022</v>
      </c>
      <c r="B786" s="3">
        <v>46020</v>
      </c>
      <c r="C786" t="s">
        <v>174</v>
      </c>
      <c r="D786" t="s">
        <v>47</v>
      </c>
      <c r="E786" t="s">
        <v>26</v>
      </c>
      <c r="F786" t="s">
        <v>21</v>
      </c>
      <c r="G786" t="s">
        <v>55</v>
      </c>
      <c r="H786">
        <v>1</v>
      </c>
      <c r="I786">
        <v>9605</v>
      </c>
      <c r="J786">
        <v>0.1</v>
      </c>
      <c r="K786">
        <v>8644.5</v>
      </c>
      <c r="L786">
        <v>1807.73</v>
      </c>
    </row>
    <row r="787" spans="1:12" x14ac:dyDescent="0.3">
      <c r="A787" t="s">
        <v>1023</v>
      </c>
      <c r="B787" s="3">
        <v>45719</v>
      </c>
      <c r="C787" t="s">
        <v>61</v>
      </c>
      <c r="D787" t="s">
        <v>34</v>
      </c>
      <c r="E787" t="s">
        <v>15</v>
      </c>
      <c r="F787" t="s">
        <v>21</v>
      </c>
      <c r="G787" t="s">
        <v>22</v>
      </c>
      <c r="H787">
        <v>3</v>
      </c>
      <c r="I787">
        <v>12036</v>
      </c>
      <c r="J787">
        <v>0.1</v>
      </c>
      <c r="K787">
        <v>32497.200000000001</v>
      </c>
      <c r="L787">
        <v>3172.65</v>
      </c>
    </row>
    <row r="788" spans="1:12" x14ac:dyDescent="0.3">
      <c r="A788" t="s">
        <v>1024</v>
      </c>
      <c r="B788" s="3">
        <v>45861</v>
      </c>
      <c r="C788" t="s">
        <v>178</v>
      </c>
      <c r="D788" t="s">
        <v>307</v>
      </c>
      <c r="E788" t="s">
        <v>73</v>
      </c>
      <c r="F788" t="s">
        <v>58</v>
      </c>
      <c r="G788" t="s">
        <v>69</v>
      </c>
      <c r="H788">
        <v>1</v>
      </c>
      <c r="I788">
        <v>264</v>
      </c>
      <c r="J788">
        <v>0.05</v>
      </c>
      <c r="K788">
        <v>250.79999999999998</v>
      </c>
      <c r="L788">
        <v>42.16</v>
      </c>
    </row>
    <row r="789" spans="1:12" x14ac:dyDescent="0.3">
      <c r="A789" t="s">
        <v>1025</v>
      </c>
      <c r="B789" s="3">
        <v>45771</v>
      </c>
      <c r="C789" t="s">
        <v>551</v>
      </c>
      <c r="D789" t="s">
        <v>20</v>
      </c>
      <c r="E789" t="s">
        <v>15</v>
      </c>
      <c r="F789" t="s">
        <v>16</v>
      </c>
      <c r="G789" t="s">
        <v>104</v>
      </c>
      <c r="H789">
        <v>4</v>
      </c>
      <c r="I789">
        <v>5657</v>
      </c>
      <c r="J789">
        <v>0.2</v>
      </c>
      <c r="K789">
        <v>18102.400000000001</v>
      </c>
      <c r="L789">
        <v>2639.6</v>
      </c>
    </row>
    <row r="790" spans="1:12" x14ac:dyDescent="0.3">
      <c r="A790" t="s">
        <v>1026</v>
      </c>
      <c r="B790" s="3">
        <v>45957</v>
      </c>
      <c r="C790" t="s">
        <v>429</v>
      </c>
      <c r="D790" t="s">
        <v>14</v>
      </c>
      <c r="E790" t="s">
        <v>15</v>
      </c>
      <c r="F790" t="s">
        <v>58</v>
      </c>
      <c r="G790" t="s">
        <v>69</v>
      </c>
      <c r="H790">
        <v>1</v>
      </c>
      <c r="I790">
        <v>8274</v>
      </c>
      <c r="J790">
        <v>0</v>
      </c>
      <c r="K790">
        <v>8274</v>
      </c>
      <c r="L790">
        <v>1176.57</v>
      </c>
    </row>
    <row r="791" spans="1:12" x14ac:dyDescent="0.3">
      <c r="A791" t="s">
        <v>1027</v>
      </c>
      <c r="B791" s="3">
        <v>45881</v>
      </c>
      <c r="C791" t="s">
        <v>394</v>
      </c>
      <c r="D791" t="s">
        <v>14</v>
      </c>
      <c r="E791" t="s">
        <v>15</v>
      </c>
      <c r="F791" t="s">
        <v>16</v>
      </c>
      <c r="G791" t="s">
        <v>104</v>
      </c>
      <c r="H791">
        <v>1</v>
      </c>
      <c r="I791">
        <v>16649</v>
      </c>
      <c r="J791">
        <v>0</v>
      </c>
      <c r="K791">
        <v>16649</v>
      </c>
      <c r="L791">
        <v>2451.88</v>
      </c>
    </row>
    <row r="792" spans="1:12" x14ac:dyDescent="0.3">
      <c r="A792" t="s">
        <v>1028</v>
      </c>
      <c r="B792" s="3">
        <v>45753</v>
      </c>
      <c r="C792" t="s">
        <v>197</v>
      </c>
      <c r="D792" t="s">
        <v>72</v>
      </c>
      <c r="E792" t="s">
        <v>73</v>
      </c>
      <c r="F792" t="s">
        <v>21</v>
      </c>
      <c r="G792" t="s">
        <v>35</v>
      </c>
      <c r="H792">
        <v>2</v>
      </c>
      <c r="I792">
        <v>422</v>
      </c>
      <c r="J792">
        <v>0.15</v>
      </c>
      <c r="K792">
        <v>717.4</v>
      </c>
      <c r="L792">
        <v>93.57</v>
      </c>
    </row>
    <row r="793" spans="1:12" x14ac:dyDescent="0.3">
      <c r="A793" t="s">
        <v>1029</v>
      </c>
      <c r="B793" s="3">
        <v>45790</v>
      </c>
      <c r="C793" t="s">
        <v>300</v>
      </c>
      <c r="D793" t="s">
        <v>65</v>
      </c>
      <c r="E793" t="s">
        <v>26</v>
      </c>
      <c r="F793" t="s">
        <v>27</v>
      </c>
      <c r="G793" t="s">
        <v>31</v>
      </c>
      <c r="H793">
        <v>1</v>
      </c>
      <c r="I793">
        <v>4350</v>
      </c>
      <c r="J793">
        <v>0.15</v>
      </c>
      <c r="K793">
        <v>3697.5</v>
      </c>
      <c r="L793">
        <v>819.32</v>
      </c>
    </row>
    <row r="794" spans="1:12" x14ac:dyDescent="0.3">
      <c r="A794" t="s">
        <v>1030</v>
      </c>
      <c r="B794" s="3">
        <v>45991</v>
      </c>
      <c r="C794" t="s">
        <v>436</v>
      </c>
      <c r="D794" t="s">
        <v>50</v>
      </c>
      <c r="E794" t="s">
        <v>51</v>
      </c>
      <c r="F794" t="s">
        <v>21</v>
      </c>
      <c r="G794" t="s">
        <v>22</v>
      </c>
      <c r="H794">
        <v>2</v>
      </c>
      <c r="I794">
        <v>2256</v>
      </c>
      <c r="J794">
        <v>0.2</v>
      </c>
      <c r="K794">
        <v>3609.6000000000004</v>
      </c>
      <c r="L794">
        <v>638.33000000000004</v>
      </c>
    </row>
    <row r="795" spans="1:12" x14ac:dyDescent="0.3">
      <c r="A795" t="s">
        <v>1031</v>
      </c>
      <c r="B795" s="3">
        <v>45770</v>
      </c>
      <c r="C795" t="s">
        <v>266</v>
      </c>
      <c r="D795" t="s">
        <v>20</v>
      </c>
      <c r="E795" t="s">
        <v>15</v>
      </c>
      <c r="F795" t="s">
        <v>27</v>
      </c>
      <c r="G795" t="s">
        <v>40</v>
      </c>
      <c r="H795">
        <v>1</v>
      </c>
      <c r="I795">
        <v>10491</v>
      </c>
      <c r="J795">
        <v>0.1</v>
      </c>
      <c r="K795">
        <v>9441.9</v>
      </c>
      <c r="L795">
        <v>873.34</v>
      </c>
    </row>
    <row r="796" spans="1:12" x14ac:dyDescent="0.3">
      <c r="A796" t="s">
        <v>1032</v>
      </c>
      <c r="B796" s="3">
        <v>45701</v>
      </c>
      <c r="C796" t="s">
        <v>705</v>
      </c>
      <c r="D796" t="s">
        <v>120</v>
      </c>
      <c r="E796" t="s">
        <v>51</v>
      </c>
      <c r="F796" t="s">
        <v>27</v>
      </c>
      <c r="G796" t="s">
        <v>28</v>
      </c>
      <c r="H796">
        <v>2</v>
      </c>
      <c r="I796">
        <v>1990</v>
      </c>
      <c r="J796">
        <v>0.2</v>
      </c>
      <c r="K796">
        <v>3184</v>
      </c>
      <c r="L796">
        <v>564.67999999999995</v>
      </c>
    </row>
    <row r="797" spans="1:12" x14ac:dyDescent="0.3">
      <c r="A797" t="s">
        <v>1033</v>
      </c>
      <c r="B797" s="3">
        <v>45972</v>
      </c>
      <c r="C797" t="s">
        <v>85</v>
      </c>
      <c r="D797" t="s">
        <v>202</v>
      </c>
      <c r="E797" t="s">
        <v>44</v>
      </c>
      <c r="F797" t="s">
        <v>16</v>
      </c>
      <c r="G797" t="s">
        <v>104</v>
      </c>
      <c r="H797">
        <v>4</v>
      </c>
      <c r="I797">
        <v>2788</v>
      </c>
      <c r="J797">
        <v>0</v>
      </c>
      <c r="K797">
        <v>11152</v>
      </c>
      <c r="L797">
        <v>1893.8</v>
      </c>
    </row>
    <row r="798" spans="1:12" x14ac:dyDescent="0.3">
      <c r="A798" t="s">
        <v>1034</v>
      </c>
      <c r="B798" s="3">
        <v>46014</v>
      </c>
      <c r="C798" t="s">
        <v>134</v>
      </c>
      <c r="D798" t="s">
        <v>68</v>
      </c>
      <c r="E798" t="s">
        <v>44</v>
      </c>
      <c r="F798" t="s">
        <v>16</v>
      </c>
      <c r="G798" t="s">
        <v>104</v>
      </c>
      <c r="H798">
        <v>2</v>
      </c>
      <c r="I798">
        <v>5148</v>
      </c>
      <c r="J798">
        <v>0.15</v>
      </c>
      <c r="K798">
        <v>8751.6</v>
      </c>
      <c r="L798">
        <v>1973.6</v>
      </c>
    </row>
    <row r="799" spans="1:12" x14ac:dyDescent="0.3">
      <c r="A799" t="s">
        <v>1035</v>
      </c>
      <c r="B799" s="3">
        <v>45960</v>
      </c>
      <c r="C799" t="s">
        <v>276</v>
      </c>
      <c r="D799" t="s">
        <v>153</v>
      </c>
      <c r="E799" t="s">
        <v>26</v>
      </c>
      <c r="F799" t="s">
        <v>21</v>
      </c>
      <c r="G799" t="s">
        <v>22</v>
      </c>
      <c r="H799">
        <v>1</v>
      </c>
      <c r="I799">
        <v>6185</v>
      </c>
      <c r="J799">
        <v>0.2</v>
      </c>
      <c r="K799">
        <v>4948</v>
      </c>
      <c r="L799">
        <v>775.46</v>
      </c>
    </row>
    <row r="800" spans="1:12" x14ac:dyDescent="0.3">
      <c r="A800" t="s">
        <v>1036</v>
      </c>
      <c r="B800" s="3">
        <v>45795</v>
      </c>
      <c r="C800" t="s">
        <v>321</v>
      </c>
      <c r="D800" t="s">
        <v>80</v>
      </c>
      <c r="E800" t="s">
        <v>51</v>
      </c>
      <c r="F800" t="s">
        <v>21</v>
      </c>
      <c r="G800" t="s">
        <v>35</v>
      </c>
      <c r="H800">
        <v>3</v>
      </c>
      <c r="I800">
        <v>54528</v>
      </c>
      <c r="J800">
        <v>0.05</v>
      </c>
      <c r="K800">
        <v>155404.79999999999</v>
      </c>
      <c r="L800">
        <v>26223.05</v>
      </c>
    </row>
    <row r="801" spans="1:12" x14ac:dyDescent="0.3">
      <c r="A801" t="s">
        <v>1037</v>
      </c>
      <c r="B801" s="3">
        <v>45891</v>
      </c>
      <c r="C801" t="s">
        <v>317</v>
      </c>
      <c r="D801" t="s">
        <v>14</v>
      </c>
      <c r="E801" t="s">
        <v>15</v>
      </c>
      <c r="F801" t="s">
        <v>16</v>
      </c>
      <c r="G801" t="s">
        <v>17</v>
      </c>
      <c r="H801">
        <v>3</v>
      </c>
      <c r="I801">
        <v>8414</v>
      </c>
      <c r="J801">
        <v>0</v>
      </c>
      <c r="K801">
        <v>25242</v>
      </c>
      <c r="L801">
        <v>4414.59</v>
      </c>
    </row>
    <row r="802" spans="1:12" x14ac:dyDescent="0.3">
      <c r="A802" t="s">
        <v>1038</v>
      </c>
      <c r="B802" s="3">
        <v>45798</v>
      </c>
      <c r="C802" t="s">
        <v>206</v>
      </c>
      <c r="D802" t="s">
        <v>50</v>
      </c>
      <c r="E802" t="s">
        <v>51</v>
      </c>
      <c r="F802" t="s">
        <v>16</v>
      </c>
      <c r="G802" t="s">
        <v>52</v>
      </c>
      <c r="H802">
        <v>3</v>
      </c>
      <c r="I802">
        <v>2645</v>
      </c>
      <c r="J802">
        <v>0</v>
      </c>
      <c r="K802">
        <v>7935</v>
      </c>
      <c r="L802">
        <v>1877.18</v>
      </c>
    </row>
    <row r="803" spans="1:12" x14ac:dyDescent="0.3">
      <c r="A803" t="s">
        <v>1039</v>
      </c>
      <c r="B803" s="3">
        <v>45785</v>
      </c>
      <c r="C803" t="s">
        <v>131</v>
      </c>
      <c r="D803" t="s">
        <v>50</v>
      </c>
      <c r="E803" t="s">
        <v>51</v>
      </c>
      <c r="F803" t="s">
        <v>16</v>
      </c>
      <c r="G803" t="s">
        <v>52</v>
      </c>
      <c r="H803">
        <v>2</v>
      </c>
      <c r="I803">
        <v>2818</v>
      </c>
      <c r="J803">
        <v>0</v>
      </c>
      <c r="K803">
        <v>5636</v>
      </c>
      <c r="L803">
        <v>1056.28</v>
      </c>
    </row>
    <row r="804" spans="1:12" x14ac:dyDescent="0.3">
      <c r="A804" t="s">
        <v>1040</v>
      </c>
      <c r="B804" s="3">
        <v>45673</v>
      </c>
      <c r="C804" t="s">
        <v>161</v>
      </c>
      <c r="D804" t="s">
        <v>50</v>
      </c>
      <c r="E804" t="s">
        <v>51</v>
      </c>
      <c r="F804" t="s">
        <v>58</v>
      </c>
      <c r="G804" t="s">
        <v>69</v>
      </c>
      <c r="H804">
        <v>2</v>
      </c>
      <c r="I804">
        <v>3251</v>
      </c>
      <c r="J804">
        <v>0.15</v>
      </c>
      <c r="K804">
        <v>5526.7</v>
      </c>
      <c r="L804">
        <v>1255.07</v>
      </c>
    </row>
    <row r="805" spans="1:12" x14ac:dyDescent="0.3">
      <c r="A805" t="s">
        <v>1041</v>
      </c>
      <c r="B805" s="3">
        <v>45860</v>
      </c>
      <c r="C805" t="s">
        <v>85</v>
      </c>
      <c r="D805" t="s">
        <v>14</v>
      </c>
      <c r="E805" t="s">
        <v>15</v>
      </c>
      <c r="F805" t="s">
        <v>27</v>
      </c>
      <c r="G805" t="s">
        <v>28</v>
      </c>
      <c r="H805">
        <v>4</v>
      </c>
      <c r="I805">
        <v>6109</v>
      </c>
      <c r="J805">
        <v>0</v>
      </c>
      <c r="K805">
        <v>24436</v>
      </c>
      <c r="L805">
        <v>3178.43</v>
      </c>
    </row>
    <row r="806" spans="1:12" x14ac:dyDescent="0.3">
      <c r="A806" t="s">
        <v>1042</v>
      </c>
      <c r="B806" s="3">
        <v>45932</v>
      </c>
      <c r="C806" t="s">
        <v>376</v>
      </c>
      <c r="D806" t="s">
        <v>153</v>
      </c>
      <c r="E806" t="s">
        <v>26</v>
      </c>
      <c r="F806" t="s">
        <v>16</v>
      </c>
      <c r="G806" t="s">
        <v>104</v>
      </c>
      <c r="H806">
        <v>2</v>
      </c>
      <c r="I806">
        <v>9779</v>
      </c>
      <c r="J806">
        <v>0.1</v>
      </c>
      <c r="K806">
        <v>17602.2</v>
      </c>
      <c r="L806">
        <v>2592.4299999999998</v>
      </c>
    </row>
    <row r="807" spans="1:12" x14ac:dyDescent="0.3">
      <c r="A807" t="s">
        <v>1043</v>
      </c>
      <c r="B807" s="3">
        <v>45850</v>
      </c>
      <c r="C807" t="s">
        <v>485</v>
      </c>
      <c r="D807" t="s">
        <v>47</v>
      </c>
      <c r="E807" t="s">
        <v>26</v>
      </c>
      <c r="F807" t="s">
        <v>58</v>
      </c>
      <c r="G807" t="s">
        <v>59</v>
      </c>
      <c r="H807">
        <v>2</v>
      </c>
      <c r="I807">
        <v>9167</v>
      </c>
      <c r="J807">
        <v>0.05</v>
      </c>
      <c r="K807">
        <v>17417.3</v>
      </c>
      <c r="L807">
        <v>2557.2199999999998</v>
      </c>
    </row>
    <row r="808" spans="1:12" x14ac:dyDescent="0.3">
      <c r="A808" t="s">
        <v>1044</v>
      </c>
      <c r="B808" s="3">
        <v>45863</v>
      </c>
      <c r="C808" t="s">
        <v>215</v>
      </c>
      <c r="D808" t="s">
        <v>47</v>
      </c>
      <c r="E808" t="s">
        <v>26</v>
      </c>
      <c r="F808" t="s">
        <v>21</v>
      </c>
      <c r="G808" t="s">
        <v>22</v>
      </c>
      <c r="H808">
        <v>1</v>
      </c>
      <c r="I808">
        <v>15310</v>
      </c>
      <c r="J808">
        <v>0</v>
      </c>
      <c r="K808">
        <v>15310</v>
      </c>
      <c r="L808">
        <v>2092.02</v>
      </c>
    </row>
    <row r="809" spans="1:12" x14ac:dyDescent="0.3">
      <c r="A809" t="s">
        <v>1045</v>
      </c>
      <c r="B809" s="3">
        <v>45999</v>
      </c>
      <c r="C809" t="s">
        <v>125</v>
      </c>
      <c r="D809" t="s">
        <v>103</v>
      </c>
      <c r="E809" t="s">
        <v>51</v>
      </c>
      <c r="F809" t="s">
        <v>58</v>
      </c>
      <c r="G809" t="s">
        <v>69</v>
      </c>
      <c r="H809">
        <v>1</v>
      </c>
      <c r="I809">
        <v>3978</v>
      </c>
      <c r="J809">
        <v>0.1</v>
      </c>
      <c r="K809">
        <v>3580.2000000000003</v>
      </c>
      <c r="L809">
        <v>687.48</v>
      </c>
    </row>
    <row r="810" spans="1:12" x14ac:dyDescent="0.3">
      <c r="A810" t="s">
        <v>1046</v>
      </c>
      <c r="B810" s="3">
        <v>45927</v>
      </c>
      <c r="C810" t="s">
        <v>965</v>
      </c>
      <c r="D810" t="s">
        <v>88</v>
      </c>
      <c r="E810" t="s">
        <v>73</v>
      </c>
      <c r="F810" t="s">
        <v>21</v>
      </c>
      <c r="G810" t="s">
        <v>35</v>
      </c>
      <c r="H810">
        <v>1</v>
      </c>
      <c r="I810">
        <v>418</v>
      </c>
      <c r="J810">
        <v>0.25</v>
      </c>
      <c r="K810">
        <v>313.5</v>
      </c>
      <c r="L810">
        <v>76.849999999999994</v>
      </c>
    </row>
    <row r="811" spans="1:12" x14ac:dyDescent="0.3">
      <c r="A811" t="s">
        <v>1047</v>
      </c>
      <c r="B811" s="3">
        <v>45932</v>
      </c>
      <c r="C811" t="s">
        <v>185</v>
      </c>
      <c r="D811" t="s">
        <v>120</v>
      </c>
      <c r="E811" t="s">
        <v>51</v>
      </c>
      <c r="F811" t="s">
        <v>21</v>
      </c>
      <c r="G811" t="s">
        <v>22</v>
      </c>
      <c r="H811">
        <v>4</v>
      </c>
      <c r="I811">
        <v>1731</v>
      </c>
      <c r="J811">
        <v>0</v>
      </c>
      <c r="K811">
        <v>6924</v>
      </c>
      <c r="L811">
        <v>1480.56</v>
      </c>
    </row>
    <row r="812" spans="1:12" x14ac:dyDescent="0.3">
      <c r="A812" t="s">
        <v>1048</v>
      </c>
      <c r="B812" s="3">
        <v>45875</v>
      </c>
      <c r="C812" t="s">
        <v>617</v>
      </c>
      <c r="D812" t="s">
        <v>14</v>
      </c>
      <c r="E812" t="s">
        <v>15</v>
      </c>
      <c r="F812" t="s">
        <v>58</v>
      </c>
      <c r="G812" t="s">
        <v>126</v>
      </c>
      <c r="H812">
        <v>1</v>
      </c>
      <c r="I812">
        <v>10275</v>
      </c>
      <c r="J812">
        <v>0</v>
      </c>
      <c r="K812">
        <v>10275</v>
      </c>
      <c r="L812">
        <v>2250.4699999999998</v>
      </c>
    </row>
    <row r="813" spans="1:12" x14ac:dyDescent="0.3">
      <c r="A813" t="s">
        <v>1049</v>
      </c>
      <c r="B813" s="3">
        <v>45669</v>
      </c>
      <c r="C813" t="s">
        <v>231</v>
      </c>
      <c r="D813" t="s">
        <v>68</v>
      </c>
      <c r="E813" t="s">
        <v>44</v>
      </c>
      <c r="F813" t="s">
        <v>16</v>
      </c>
      <c r="G813" t="s">
        <v>17</v>
      </c>
      <c r="H813">
        <v>1</v>
      </c>
      <c r="I813">
        <v>7509</v>
      </c>
      <c r="J813">
        <v>0.1</v>
      </c>
      <c r="K813">
        <v>6758.1</v>
      </c>
      <c r="L813">
        <v>1261.71</v>
      </c>
    </row>
    <row r="814" spans="1:12" x14ac:dyDescent="0.3">
      <c r="A814" t="s">
        <v>1050</v>
      </c>
      <c r="B814" s="3">
        <v>45778</v>
      </c>
      <c r="C814" t="s">
        <v>111</v>
      </c>
      <c r="D814" t="s">
        <v>43</v>
      </c>
      <c r="E814" t="s">
        <v>44</v>
      </c>
      <c r="F814" t="s">
        <v>16</v>
      </c>
      <c r="G814" t="s">
        <v>52</v>
      </c>
      <c r="H814">
        <v>2</v>
      </c>
      <c r="I814">
        <v>610</v>
      </c>
      <c r="J814">
        <v>0.15</v>
      </c>
      <c r="K814">
        <v>1037</v>
      </c>
      <c r="L814">
        <v>269.54000000000002</v>
      </c>
    </row>
    <row r="815" spans="1:12" x14ac:dyDescent="0.3">
      <c r="A815" t="s">
        <v>1051</v>
      </c>
      <c r="B815" s="3">
        <v>45894</v>
      </c>
      <c r="C815" t="s">
        <v>257</v>
      </c>
      <c r="D815" t="s">
        <v>50</v>
      </c>
      <c r="E815" t="s">
        <v>51</v>
      </c>
      <c r="F815" t="s">
        <v>27</v>
      </c>
      <c r="G815" t="s">
        <v>28</v>
      </c>
      <c r="H815">
        <v>1</v>
      </c>
      <c r="I815">
        <v>2617</v>
      </c>
      <c r="J815">
        <v>0.1</v>
      </c>
      <c r="K815">
        <v>2355.3000000000002</v>
      </c>
      <c r="L815">
        <v>500.64</v>
      </c>
    </row>
    <row r="816" spans="1:12" x14ac:dyDescent="0.3">
      <c r="A816" t="s">
        <v>1052</v>
      </c>
      <c r="B816" s="3">
        <v>45873</v>
      </c>
      <c r="C816" t="s">
        <v>401</v>
      </c>
      <c r="D816" t="s">
        <v>34</v>
      </c>
      <c r="E816" t="s">
        <v>15</v>
      </c>
      <c r="F816" t="s">
        <v>21</v>
      </c>
      <c r="G816" t="s">
        <v>22</v>
      </c>
      <c r="H816">
        <v>1</v>
      </c>
      <c r="I816">
        <v>14315</v>
      </c>
      <c r="J816">
        <v>0.1</v>
      </c>
      <c r="K816">
        <v>12883.5</v>
      </c>
      <c r="L816">
        <v>2424.23</v>
      </c>
    </row>
    <row r="817" spans="1:12" x14ac:dyDescent="0.3">
      <c r="A817" t="s">
        <v>1053</v>
      </c>
      <c r="B817" s="3">
        <v>45924</v>
      </c>
      <c r="C817" t="s">
        <v>436</v>
      </c>
      <c r="D817" t="s">
        <v>68</v>
      </c>
      <c r="E817" t="s">
        <v>44</v>
      </c>
      <c r="F817" t="s">
        <v>21</v>
      </c>
      <c r="G817" t="s">
        <v>55</v>
      </c>
      <c r="H817">
        <v>1</v>
      </c>
      <c r="I817">
        <v>6408</v>
      </c>
      <c r="J817">
        <v>0.05</v>
      </c>
      <c r="K817">
        <v>6087.5999999999995</v>
      </c>
      <c r="L817">
        <v>1482.68</v>
      </c>
    </row>
    <row r="818" spans="1:12" x14ac:dyDescent="0.3">
      <c r="A818" t="s">
        <v>1054</v>
      </c>
      <c r="B818" s="3">
        <v>45841</v>
      </c>
      <c r="C818" t="s">
        <v>260</v>
      </c>
      <c r="D818" t="s">
        <v>307</v>
      </c>
      <c r="E818" t="s">
        <v>73</v>
      </c>
      <c r="F818" t="s">
        <v>58</v>
      </c>
      <c r="G818" t="s">
        <v>69</v>
      </c>
      <c r="H818">
        <v>1</v>
      </c>
      <c r="I818">
        <v>416</v>
      </c>
      <c r="J818">
        <v>0.1</v>
      </c>
      <c r="K818">
        <v>374.40000000000003</v>
      </c>
      <c r="L818">
        <v>36.35</v>
      </c>
    </row>
    <row r="819" spans="1:12" x14ac:dyDescent="0.3">
      <c r="A819" t="s">
        <v>1055</v>
      </c>
      <c r="B819" s="3">
        <v>45855</v>
      </c>
      <c r="C819" t="s">
        <v>295</v>
      </c>
      <c r="D819" t="s">
        <v>88</v>
      </c>
      <c r="E819" t="s">
        <v>73</v>
      </c>
      <c r="F819" t="s">
        <v>16</v>
      </c>
      <c r="G819" t="s">
        <v>17</v>
      </c>
      <c r="H819">
        <v>4</v>
      </c>
      <c r="I819">
        <v>234</v>
      </c>
      <c r="J819">
        <v>0.05</v>
      </c>
      <c r="K819">
        <v>889.19999999999993</v>
      </c>
      <c r="L819">
        <v>230.94</v>
      </c>
    </row>
    <row r="820" spans="1:12" x14ac:dyDescent="0.3">
      <c r="A820" t="s">
        <v>1056</v>
      </c>
      <c r="B820" s="3">
        <v>45728</v>
      </c>
      <c r="C820" t="s">
        <v>337</v>
      </c>
      <c r="D820" t="s">
        <v>80</v>
      </c>
      <c r="E820" t="s">
        <v>51</v>
      </c>
      <c r="F820" t="s">
        <v>27</v>
      </c>
      <c r="G820" t="s">
        <v>40</v>
      </c>
      <c r="H820">
        <v>1</v>
      </c>
      <c r="I820">
        <v>62521</v>
      </c>
      <c r="J820">
        <v>0.05</v>
      </c>
      <c r="K820">
        <v>59394.95</v>
      </c>
      <c r="L820">
        <v>9846.7199999999993</v>
      </c>
    </row>
    <row r="821" spans="1:12" x14ac:dyDescent="0.3">
      <c r="A821" t="s">
        <v>1057</v>
      </c>
      <c r="B821" s="3">
        <v>45751</v>
      </c>
      <c r="C821" t="s">
        <v>260</v>
      </c>
      <c r="D821" t="s">
        <v>34</v>
      </c>
      <c r="E821" t="s">
        <v>15</v>
      </c>
      <c r="F821" t="s">
        <v>16</v>
      </c>
      <c r="G821" t="s">
        <v>104</v>
      </c>
      <c r="H821">
        <v>1</v>
      </c>
      <c r="I821">
        <v>12331</v>
      </c>
      <c r="J821">
        <v>0.1</v>
      </c>
      <c r="K821">
        <v>11097.9</v>
      </c>
      <c r="L821">
        <v>1868.56</v>
      </c>
    </row>
    <row r="822" spans="1:12" x14ac:dyDescent="0.3">
      <c r="A822" t="s">
        <v>1058</v>
      </c>
      <c r="B822" s="3">
        <v>45745</v>
      </c>
      <c r="C822" t="s">
        <v>542</v>
      </c>
      <c r="D822" t="s">
        <v>14</v>
      </c>
      <c r="E822" t="s">
        <v>15</v>
      </c>
      <c r="F822" t="s">
        <v>16</v>
      </c>
      <c r="G822" t="s">
        <v>52</v>
      </c>
      <c r="H822">
        <v>1</v>
      </c>
      <c r="I822">
        <v>17192</v>
      </c>
      <c r="J822">
        <v>0.05</v>
      </c>
      <c r="K822">
        <v>16332.4</v>
      </c>
      <c r="L822">
        <v>3895.91</v>
      </c>
    </row>
    <row r="823" spans="1:12" x14ac:dyDescent="0.3">
      <c r="A823" t="s">
        <v>1059</v>
      </c>
      <c r="B823" s="3">
        <v>45860</v>
      </c>
      <c r="C823" t="s">
        <v>94</v>
      </c>
      <c r="D823" t="s">
        <v>34</v>
      </c>
      <c r="E823" t="s">
        <v>15</v>
      </c>
      <c r="F823" t="s">
        <v>21</v>
      </c>
      <c r="G823" t="s">
        <v>35</v>
      </c>
      <c r="H823">
        <v>1</v>
      </c>
      <c r="I823">
        <v>9371</v>
      </c>
      <c r="J823">
        <v>0.15</v>
      </c>
      <c r="K823">
        <v>7965.3499999999995</v>
      </c>
      <c r="L823">
        <v>1646.89</v>
      </c>
    </row>
    <row r="824" spans="1:12" x14ac:dyDescent="0.3">
      <c r="A824" t="s">
        <v>1060</v>
      </c>
      <c r="B824" s="3">
        <v>45895</v>
      </c>
      <c r="C824" t="s">
        <v>251</v>
      </c>
      <c r="D824" t="s">
        <v>68</v>
      </c>
      <c r="E824" t="s">
        <v>44</v>
      </c>
      <c r="F824" t="s">
        <v>21</v>
      </c>
      <c r="G824" t="s">
        <v>55</v>
      </c>
      <c r="H824">
        <v>4</v>
      </c>
      <c r="I824">
        <v>6465</v>
      </c>
      <c r="J824">
        <v>0</v>
      </c>
      <c r="K824">
        <v>25860</v>
      </c>
      <c r="L824">
        <v>4742.76</v>
      </c>
    </row>
    <row r="825" spans="1:12" x14ac:dyDescent="0.3">
      <c r="A825" t="s">
        <v>1061</v>
      </c>
      <c r="B825" s="3">
        <v>45795</v>
      </c>
      <c r="C825" t="s">
        <v>270</v>
      </c>
      <c r="D825" t="s">
        <v>92</v>
      </c>
      <c r="E825" t="s">
        <v>51</v>
      </c>
      <c r="F825" t="s">
        <v>21</v>
      </c>
      <c r="G825" t="s">
        <v>35</v>
      </c>
      <c r="H825">
        <v>3</v>
      </c>
      <c r="I825">
        <v>12484</v>
      </c>
      <c r="J825">
        <v>0.1</v>
      </c>
      <c r="K825">
        <v>33706.800000000003</v>
      </c>
      <c r="L825">
        <v>8111.29</v>
      </c>
    </row>
    <row r="826" spans="1:12" x14ac:dyDescent="0.3">
      <c r="A826" t="s">
        <v>1062</v>
      </c>
      <c r="B826" s="3">
        <v>45713</v>
      </c>
      <c r="C826" t="s">
        <v>61</v>
      </c>
      <c r="D826" t="s">
        <v>25</v>
      </c>
      <c r="E826" t="s">
        <v>26</v>
      </c>
      <c r="F826" t="s">
        <v>16</v>
      </c>
      <c r="G826" t="s">
        <v>52</v>
      </c>
      <c r="H826">
        <v>2</v>
      </c>
      <c r="I826">
        <v>10590</v>
      </c>
      <c r="J826">
        <v>0.05</v>
      </c>
      <c r="K826">
        <v>20121</v>
      </c>
      <c r="L826">
        <v>1709.72</v>
      </c>
    </row>
    <row r="827" spans="1:12" x14ac:dyDescent="0.3">
      <c r="A827" t="s">
        <v>1063</v>
      </c>
      <c r="B827" s="3">
        <v>45786</v>
      </c>
      <c r="C827" t="s">
        <v>272</v>
      </c>
      <c r="D827" t="s">
        <v>92</v>
      </c>
      <c r="E827" t="s">
        <v>51</v>
      </c>
      <c r="F827" t="s">
        <v>27</v>
      </c>
      <c r="G827" t="s">
        <v>28</v>
      </c>
      <c r="H827">
        <v>4</v>
      </c>
      <c r="I827">
        <v>17721</v>
      </c>
      <c r="J827">
        <v>0.1</v>
      </c>
      <c r="K827">
        <v>63795.6</v>
      </c>
      <c r="L827">
        <v>16628.62</v>
      </c>
    </row>
    <row r="828" spans="1:12" x14ac:dyDescent="0.3">
      <c r="A828" t="s">
        <v>1064</v>
      </c>
      <c r="B828" s="3">
        <v>45956</v>
      </c>
      <c r="C828" t="s">
        <v>463</v>
      </c>
      <c r="D828" t="s">
        <v>92</v>
      </c>
      <c r="E828" t="s">
        <v>51</v>
      </c>
      <c r="F828" t="s">
        <v>21</v>
      </c>
      <c r="G828" t="s">
        <v>55</v>
      </c>
      <c r="H828">
        <v>1</v>
      </c>
      <c r="I828">
        <v>11463</v>
      </c>
      <c r="J828">
        <v>0.1</v>
      </c>
      <c r="K828">
        <v>10316.700000000001</v>
      </c>
      <c r="L828">
        <v>1328.05</v>
      </c>
    </row>
    <row r="829" spans="1:12" x14ac:dyDescent="0.3">
      <c r="A829" t="s">
        <v>1065</v>
      </c>
      <c r="B829" s="3">
        <v>45822</v>
      </c>
      <c r="C829" t="s">
        <v>217</v>
      </c>
      <c r="D829" t="s">
        <v>83</v>
      </c>
      <c r="E829" t="s">
        <v>73</v>
      </c>
      <c r="F829" t="s">
        <v>16</v>
      </c>
      <c r="G829" t="s">
        <v>17</v>
      </c>
      <c r="H829">
        <v>1</v>
      </c>
      <c r="I829">
        <v>624</v>
      </c>
      <c r="J829">
        <v>0.15</v>
      </c>
      <c r="K829">
        <v>530.4</v>
      </c>
      <c r="L829">
        <v>44.27</v>
      </c>
    </row>
    <row r="830" spans="1:12" x14ac:dyDescent="0.3">
      <c r="A830" t="s">
        <v>1066</v>
      </c>
      <c r="B830" s="3">
        <v>46020</v>
      </c>
      <c r="C830" t="s">
        <v>125</v>
      </c>
      <c r="D830" t="s">
        <v>68</v>
      </c>
      <c r="E830" t="s">
        <v>44</v>
      </c>
      <c r="F830" t="s">
        <v>16</v>
      </c>
      <c r="G830" t="s">
        <v>104</v>
      </c>
      <c r="H830">
        <v>4</v>
      </c>
      <c r="I830">
        <v>3936</v>
      </c>
      <c r="J830">
        <v>0</v>
      </c>
      <c r="K830">
        <v>15744</v>
      </c>
      <c r="L830">
        <v>3032.81</v>
      </c>
    </row>
    <row r="831" spans="1:12" x14ac:dyDescent="0.3">
      <c r="A831" t="s">
        <v>1067</v>
      </c>
      <c r="B831" s="3">
        <v>45833</v>
      </c>
      <c r="C831" t="s">
        <v>217</v>
      </c>
      <c r="D831" t="s">
        <v>103</v>
      </c>
      <c r="E831" t="s">
        <v>51</v>
      </c>
      <c r="F831" t="s">
        <v>16</v>
      </c>
      <c r="G831" t="s">
        <v>104</v>
      </c>
      <c r="H831">
        <v>1</v>
      </c>
      <c r="I831">
        <v>2083</v>
      </c>
      <c r="J831">
        <v>0.1</v>
      </c>
      <c r="K831">
        <v>1874.7</v>
      </c>
      <c r="L831">
        <v>473.12</v>
      </c>
    </row>
    <row r="832" spans="1:12" x14ac:dyDescent="0.3">
      <c r="A832" t="s">
        <v>1068</v>
      </c>
      <c r="B832" s="3">
        <v>45845</v>
      </c>
      <c r="C832" t="s">
        <v>315</v>
      </c>
      <c r="D832" t="s">
        <v>307</v>
      </c>
      <c r="E832" t="s">
        <v>73</v>
      </c>
      <c r="F832" t="s">
        <v>58</v>
      </c>
      <c r="G832" t="s">
        <v>126</v>
      </c>
      <c r="H832">
        <v>3</v>
      </c>
      <c r="I832">
        <v>450</v>
      </c>
      <c r="J832">
        <v>0.15</v>
      </c>
      <c r="K832">
        <v>1147.5</v>
      </c>
      <c r="L832">
        <v>118.01</v>
      </c>
    </row>
    <row r="833" spans="1:12" x14ac:dyDescent="0.3">
      <c r="A833" t="s">
        <v>1069</v>
      </c>
      <c r="B833" s="3">
        <v>45893</v>
      </c>
      <c r="C833" t="s">
        <v>401</v>
      </c>
      <c r="D833" t="s">
        <v>30</v>
      </c>
      <c r="E833" t="s">
        <v>15</v>
      </c>
      <c r="F833" t="s">
        <v>21</v>
      </c>
      <c r="G833" t="s">
        <v>22</v>
      </c>
      <c r="H833">
        <v>2</v>
      </c>
      <c r="I833">
        <v>12450</v>
      </c>
      <c r="J833">
        <v>0.1</v>
      </c>
      <c r="K833">
        <v>22410</v>
      </c>
      <c r="L833">
        <v>6271.25</v>
      </c>
    </row>
    <row r="834" spans="1:12" x14ac:dyDescent="0.3">
      <c r="A834" t="s">
        <v>1070</v>
      </c>
      <c r="B834" s="3">
        <v>45950</v>
      </c>
      <c r="C834" t="s">
        <v>225</v>
      </c>
      <c r="D834" t="s">
        <v>80</v>
      </c>
      <c r="E834" t="s">
        <v>51</v>
      </c>
      <c r="F834" t="s">
        <v>16</v>
      </c>
      <c r="G834" t="s">
        <v>104</v>
      </c>
      <c r="H834">
        <v>1</v>
      </c>
      <c r="I834">
        <v>76714</v>
      </c>
      <c r="J834">
        <v>0.2</v>
      </c>
      <c r="K834">
        <v>61371.200000000004</v>
      </c>
      <c r="L834">
        <v>16878.150000000001</v>
      </c>
    </row>
    <row r="835" spans="1:12" x14ac:dyDescent="0.3">
      <c r="A835" t="s">
        <v>1071</v>
      </c>
      <c r="B835" s="3">
        <v>45685</v>
      </c>
      <c r="C835" t="s">
        <v>278</v>
      </c>
      <c r="D835" t="s">
        <v>65</v>
      </c>
      <c r="E835" t="s">
        <v>26</v>
      </c>
      <c r="F835" t="s">
        <v>27</v>
      </c>
      <c r="G835" t="s">
        <v>28</v>
      </c>
      <c r="H835">
        <v>3</v>
      </c>
      <c r="I835">
        <v>1365</v>
      </c>
      <c r="J835">
        <v>0.1</v>
      </c>
      <c r="K835">
        <v>3685.5</v>
      </c>
      <c r="L835">
        <v>889.52</v>
      </c>
    </row>
    <row r="836" spans="1:12" x14ac:dyDescent="0.3">
      <c r="A836" t="s">
        <v>1072</v>
      </c>
      <c r="B836" s="3">
        <v>45824</v>
      </c>
      <c r="C836" t="s">
        <v>102</v>
      </c>
      <c r="D836" t="s">
        <v>92</v>
      </c>
      <c r="E836" t="s">
        <v>51</v>
      </c>
      <c r="F836" t="s">
        <v>27</v>
      </c>
      <c r="G836" t="s">
        <v>40</v>
      </c>
      <c r="H836">
        <v>1</v>
      </c>
      <c r="I836">
        <v>16710</v>
      </c>
      <c r="J836">
        <v>0.1</v>
      </c>
      <c r="K836">
        <v>15039</v>
      </c>
      <c r="L836">
        <v>2153.39</v>
      </c>
    </row>
    <row r="837" spans="1:12" x14ac:dyDescent="0.3">
      <c r="A837" t="s">
        <v>1073</v>
      </c>
      <c r="B837" s="3">
        <v>45767</v>
      </c>
      <c r="C837" t="s">
        <v>492</v>
      </c>
      <c r="D837" t="s">
        <v>30</v>
      </c>
      <c r="E837" t="s">
        <v>15</v>
      </c>
      <c r="F837" t="s">
        <v>58</v>
      </c>
      <c r="G837" t="s">
        <v>69</v>
      </c>
      <c r="H837">
        <v>3</v>
      </c>
      <c r="I837">
        <v>9730</v>
      </c>
      <c r="J837">
        <v>0.15</v>
      </c>
      <c r="K837">
        <v>24811.5</v>
      </c>
      <c r="L837">
        <v>3491</v>
      </c>
    </row>
    <row r="838" spans="1:12" x14ac:dyDescent="0.3">
      <c r="A838" t="s">
        <v>1074</v>
      </c>
      <c r="B838" s="3">
        <v>45898</v>
      </c>
      <c r="C838" t="s">
        <v>255</v>
      </c>
      <c r="D838" t="s">
        <v>103</v>
      </c>
      <c r="E838" t="s">
        <v>51</v>
      </c>
      <c r="F838" t="s">
        <v>21</v>
      </c>
      <c r="G838" t="s">
        <v>22</v>
      </c>
      <c r="H838">
        <v>1</v>
      </c>
      <c r="I838">
        <v>8986</v>
      </c>
      <c r="J838">
        <v>0</v>
      </c>
      <c r="K838">
        <v>8986</v>
      </c>
      <c r="L838">
        <v>984.97</v>
      </c>
    </row>
    <row r="839" spans="1:12" x14ac:dyDescent="0.3">
      <c r="A839" t="s">
        <v>1075</v>
      </c>
      <c r="B839" s="3">
        <v>45756</v>
      </c>
      <c r="C839" t="s">
        <v>403</v>
      </c>
      <c r="D839" t="s">
        <v>50</v>
      </c>
      <c r="E839" t="s">
        <v>51</v>
      </c>
      <c r="F839" t="s">
        <v>21</v>
      </c>
      <c r="G839" t="s">
        <v>55</v>
      </c>
      <c r="H839">
        <v>2</v>
      </c>
      <c r="I839">
        <v>2929</v>
      </c>
      <c r="J839">
        <v>0.15</v>
      </c>
      <c r="K839">
        <v>4979.3</v>
      </c>
      <c r="L839">
        <v>1352.29</v>
      </c>
    </row>
    <row r="840" spans="1:12" x14ac:dyDescent="0.3">
      <c r="A840" t="s">
        <v>1076</v>
      </c>
      <c r="B840" s="3">
        <v>45855</v>
      </c>
      <c r="C840" t="s">
        <v>282</v>
      </c>
      <c r="D840" t="s">
        <v>30</v>
      </c>
      <c r="E840" t="s">
        <v>15</v>
      </c>
      <c r="F840" t="s">
        <v>27</v>
      </c>
      <c r="G840" t="s">
        <v>28</v>
      </c>
      <c r="H840">
        <v>1</v>
      </c>
      <c r="I840">
        <v>4622</v>
      </c>
      <c r="J840">
        <v>0.15</v>
      </c>
      <c r="K840">
        <v>3928.7</v>
      </c>
      <c r="L840">
        <v>689.21</v>
      </c>
    </row>
    <row r="841" spans="1:12" x14ac:dyDescent="0.3">
      <c r="A841" t="s">
        <v>1077</v>
      </c>
      <c r="B841" s="3">
        <v>45938</v>
      </c>
      <c r="C841" t="s">
        <v>363</v>
      </c>
      <c r="D841" t="s">
        <v>120</v>
      </c>
      <c r="E841" t="s">
        <v>51</v>
      </c>
      <c r="F841" t="s">
        <v>27</v>
      </c>
      <c r="G841" t="s">
        <v>40</v>
      </c>
      <c r="H841">
        <v>2</v>
      </c>
      <c r="I841">
        <v>1857</v>
      </c>
      <c r="J841">
        <v>0.15</v>
      </c>
      <c r="K841">
        <v>3156.9</v>
      </c>
      <c r="L841">
        <v>841.08</v>
      </c>
    </row>
    <row r="842" spans="1:12" x14ac:dyDescent="0.3">
      <c r="A842" t="s">
        <v>1078</v>
      </c>
      <c r="B842" s="3">
        <v>46007</v>
      </c>
      <c r="C842" t="s">
        <v>429</v>
      </c>
      <c r="D842" t="s">
        <v>68</v>
      </c>
      <c r="E842" t="s">
        <v>44</v>
      </c>
      <c r="F842" t="s">
        <v>27</v>
      </c>
      <c r="G842" t="s">
        <v>40</v>
      </c>
      <c r="H842">
        <v>1</v>
      </c>
      <c r="I842">
        <v>3124</v>
      </c>
      <c r="J842">
        <v>0.1</v>
      </c>
      <c r="K842">
        <v>2811.6</v>
      </c>
      <c r="L842">
        <v>452.67</v>
      </c>
    </row>
    <row r="843" spans="1:12" x14ac:dyDescent="0.3">
      <c r="A843" t="s">
        <v>1079</v>
      </c>
      <c r="B843" s="3">
        <v>45703</v>
      </c>
      <c r="C843" t="s">
        <v>111</v>
      </c>
      <c r="D843" t="s">
        <v>202</v>
      </c>
      <c r="E843" t="s">
        <v>44</v>
      </c>
      <c r="F843" t="s">
        <v>58</v>
      </c>
      <c r="G843" t="s">
        <v>69</v>
      </c>
      <c r="H843">
        <v>1</v>
      </c>
      <c r="I843">
        <v>1915</v>
      </c>
      <c r="J843">
        <v>0</v>
      </c>
      <c r="K843">
        <v>1915</v>
      </c>
      <c r="L843">
        <v>409.98</v>
      </c>
    </row>
    <row r="844" spans="1:12" x14ac:dyDescent="0.3">
      <c r="A844" t="s">
        <v>1080</v>
      </c>
      <c r="B844" s="3">
        <v>45835</v>
      </c>
      <c r="C844" t="s">
        <v>371</v>
      </c>
      <c r="D844" t="s">
        <v>97</v>
      </c>
      <c r="E844" t="s">
        <v>44</v>
      </c>
      <c r="F844" t="s">
        <v>27</v>
      </c>
      <c r="G844" t="s">
        <v>28</v>
      </c>
      <c r="H844">
        <v>1</v>
      </c>
      <c r="I844">
        <v>331</v>
      </c>
      <c r="J844">
        <v>0.2</v>
      </c>
      <c r="K844">
        <v>264.8</v>
      </c>
      <c r="L844">
        <v>31.44</v>
      </c>
    </row>
    <row r="845" spans="1:12" x14ac:dyDescent="0.3">
      <c r="A845" t="s">
        <v>1081</v>
      </c>
      <c r="B845" s="3">
        <v>45991</v>
      </c>
      <c r="C845" t="s">
        <v>238</v>
      </c>
      <c r="D845" t="s">
        <v>14</v>
      </c>
      <c r="E845" t="s">
        <v>15</v>
      </c>
      <c r="F845" t="s">
        <v>58</v>
      </c>
      <c r="G845" t="s">
        <v>69</v>
      </c>
      <c r="H845">
        <v>3</v>
      </c>
      <c r="I845">
        <v>11183</v>
      </c>
      <c r="J845">
        <v>0.05</v>
      </c>
      <c r="K845">
        <v>31871.55</v>
      </c>
      <c r="L845">
        <v>6946.87</v>
      </c>
    </row>
    <row r="846" spans="1:12" x14ac:dyDescent="0.3">
      <c r="A846" t="s">
        <v>1082</v>
      </c>
      <c r="B846" s="3">
        <v>45810</v>
      </c>
      <c r="C846" t="s">
        <v>143</v>
      </c>
      <c r="D846" t="s">
        <v>103</v>
      </c>
      <c r="E846" t="s">
        <v>51</v>
      </c>
      <c r="F846" t="s">
        <v>16</v>
      </c>
      <c r="G846" t="s">
        <v>104</v>
      </c>
      <c r="H846">
        <v>4</v>
      </c>
      <c r="I846">
        <v>6144</v>
      </c>
      <c r="J846">
        <v>0</v>
      </c>
      <c r="K846">
        <v>24576</v>
      </c>
      <c r="L846">
        <v>6434.02</v>
      </c>
    </row>
    <row r="847" spans="1:12" x14ac:dyDescent="0.3">
      <c r="A847" t="s">
        <v>1083</v>
      </c>
      <c r="B847" s="3">
        <v>45704</v>
      </c>
      <c r="C847" t="s">
        <v>382</v>
      </c>
      <c r="D847" t="s">
        <v>307</v>
      </c>
      <c r="E847" t="s">
        <v>73</v>
      </c>
      <c r="F847" t="s">
        <v>58</v>
      </c>
      <c r="G847" t="s">
        <v>59</v>
      </c>
      <c r="H847">
        <v>1</v>
      </c>
      <c r="I847">
        <v>146</v>
      </c>
      <c r="J847">
        <v>0.1</v>
      </c>
      <c r="K847">
        <v>131.4</v>
      </c>
      <c r="L847">
        <v>35.69</v>
      </c>
    </row>
    <row r="848" spans="1:12" x14ac:dyDescent="0.3">
      <c r="A848" t="s">
        <v>1084</v>
      </c>
      <c r="B848" s="3">
        <v>45972</v>
      </c>
      <c r="C848" t="s">
        <v>456</v>
      </c>
      <c r="D848" t="s">
        <v>30</v>
      </c>
      <c r="E848" t="s">
        <v>15</v>
      </c>
      <c r="F848" t="s">
        <v>58</v>
      </c>
      <c r="G848" t="s">
        <v>69</v>
      </c>
      <c r="H848">
        <v>2</v>
      </c>
      <c r="I848">
        <v>6332</v>
      </c>
      <c r="J848">
        <v>0</v>
      </c>
      <c r="K848">
        <v>12664</v>
      </c>
      <c r="L848">
        <v>2960.25</v>
      </c>
    </row>
    <row r="849" spans="1:12" x14ac:dyDescent="0.3">
      <c r="A849" t="s">
        <v>1085</v>
      </c>
      <c r="B849" s="3">
        <v>45789</v>
      </c>
      <c r="C849" t="s">
        <v>544</v>
      </c>
      <c r="D849" t="s">
        <v>80</v>
      </c>
      <c r="E849" t="s">
        <v>51</v>
      </c>
      <c r="F849" t="s">
        <v>58</v>
      </c>
      <c r="G849" t="s">
        <v>69</v>
      </c>
      <c r="H849">
        <v>2</v>
      </c>
      <c r="I849">
        <v>82728</v>
      </c>
      <c r="J849">
        <v>0.2</v>
      </c>
      <c r="K849">
        <v>132364.80000000002</v>
      </c>
      <c r="L849">
        <v>16065.69</v>
      </c>
    </row>
    <row r="850" spans="1:12" x14ac:dyDescent="0.3">
      <c r="A850" t="s">
        <v>1086</v>
      </c>
      <c r="B850" s="3">
        <v>45910</v>
      </c>
      <c r="C850" t="s">
        <v>139</v>
      </c>
      <c r="D850" t="s">
        <v>202</v>
      </c>
      <c r="E850" t="s">
        <v>44</v>
      </c>
      <c r="F850" t="s">
        <v>27</v>
      </c>
      <c r="G850" t="s">
        <v>31</v>
      </c>
      <c r="H850">
        <v>2</v>
      </c>
      <c r="I850">
        <v>2140</v>
      </c>
      <c r="J850">
        <v>0.15</v>
      </c>
      <c r="K850">
        <v>3638</v>
      </c>
      <c r="L850">
        <v>841.02</v>
      </c>
    </row>
    <row r="851" spans="1:12" x14ac:dyDescent="0.3">
      <c r="A851" t="s">
        <v>1087</v>
      </c>
      <c r="B851" s="3">
        <v>45843</v>
      </c>
      <c r="C851" t="s">
        <v>204</v>
      </c>
      <c r="D851" t="s">
        <v>68</v>
      </c>
      <c r="E851" t="s">
        <v>44</v>
      </c>
      <c r="F851" t="s">
        <v>21</v>
      </c>
      <c r="G851" t="s">
        <v>55</v>
      </c>
      <c r="H851">
        <v>1</v>
      </c>
      <c r="I851">
        <v>4415</v>
      </c>
      <c r="J851">
        <v>0.05</v>
      </c>
      <c r="K851">
        <v>4194.25</v>
      </c>
      <c r="L851">
        <v>502.95</v>
      </c>
    </row>
    <row r="852" spans="1:12" x14ac:dyDescent="0.3">
      <c r="A852" t="s">
        <v>1088</v>
      </c>
      <c r="B852" s="3">
        <v>45999</v>
      </c>
      <c r="C852" t="s">
        <v>415</v>
      </c>
      <c r="D852" t="s">
        <v>153</v>
      </c>
      <c r="E852" t="s">
        <v>26</v>
      </c>
      <c r="F852" t="s">
        <v>21</v>
      </c>
      <c r="G852" t="s">
        <v>22</v>
      </c>
      <c r="H852">
        <v>1</v>
      </c>
      <c r="I852">
        <v>8514</v>
      </c>
      <c r="J852">
        <v>0.15</v>
      </c>
      <c r="K852">
        <v>7236.9</v>
      </c>
      <c r="L852">
        <v>1278.1300000000001</v>
      </c>
    </row>
    <row r="853" spans="1:12" x14ac:dyDescent="0.3">
      <c r="A853" t="s">
        <v>1089</v>
      </c>
      <c r="B853" s="3">
        <v>45710</v>
      </c>
      <c r="C853" t="s">
        <v>339</v>
      </c>
      <c r="D853" t="s">
        <v>50</v>
      </c>
      <c r="E853" t="s">
        <v>51</v>
      </c>
      <c r="F853" t="s">
        <v>21</v>
      </c>
      <c r="G853" t="s">
        <v>22</v>
      </c>
      <c r="H853">
        <v>1</v>
      </c>
      <c r="I853">
        <v>1266</v>
      </c>
      <c r="J853">
        <v>0.05</v>
      </c>
      <c r="K853">
        <v>1202.7</v>
      </c>
      <c r="L853">
        <v>315.31</v>
      </c>
    </row>
    <row r="854" spans="1:12" x14ac:dyDescent="0.3">
      <c r="A854" t="s">
        <v>1090</v>
      </c>
      <c r="B854" s="3">
        <v>45870</v>
      </c>
      <c r="C854" t="s">
        <v>546</v>
      </c>
      <c r="D854" t="s">
        <v>120</v>
      </c>
      <c r="E854" t="s">
        <v>51</v>
      </c>
      <c r="F854" t="s">
        <v>21</v>
      </c>
      <c r="G854" t="s">
        <v>22</v>
      </c>
      <c r="H854">
        <v>3</v>
      </c>
      <c r="I854">
        <v>1980</v>
      </c>
      <c r="J854">
        <v>0.1</v>
      </c>
      <c r="K854">
        <v>5346</v>
      </c>
      <c r="L854">
        <v>1129.27</v>
      </c>
    </row>
    <row r="855" spans="1:12" x14ac:dyDescent="0.3">
      <c r="A855" t="s">
        <v>1091</v>
      </c>
      <c r="B855" s="3">
        <v>45759</v>
      </c>
      <c r="C855" t="s">
        <v>77</v>
      </c>
      <c r="D855" t="s">
        <v>47</v>
      </c>
      <c r="E855" t="s">
        <v>26</v>
      </c>
      <c r="F855" t="s">
        <v>21</v>
      </c>
      <c r="G855" t="s">
        <v>55</v>
      </c>
      <c r="H855">
        <v>2</v>
      </c>
      <c r="I855">
        <v>14674</v>
      </c>
      <c r="J855">
        <v>0</v>
      </c>
      <c r="K855">
        <v>29348</v>
      </c>
      <c r="L855">
        <v>2661.62</v>
      </c>
    </row>
    <row r="856" spans="1:12" x14ac:dyDescent="0.3">
      <c r="A856" t="s">
        <v>1092</v>
      </c>
      <c r="B856" s="3">
        <v>45723</v>
      </c>
      <c r="C856" t="s">
        <v>217</v>
      </c>
      <c r="D856" t="s">
        <v>25</v>
      </c>
      <c r="E856" t="s">
        <v>26</v>
      </c>
      <c r="F856" t="s">
        <v>21</v>
      </c>
      <c r="G856" t="s">
        <v>35</v>
      </c>
      <c r="H856">
        <v>2</v>
      </c>
      <c r="I856">
        <v>9720</v>
      </c>
      <c r="J856">
        <v>0.15</v>
      </c>
      <c r="K856">
        <v>16524</v>
      </c>
      <c r="L856">
        <v>4187.68</v>
      </c>
    </row>
    <row r="857" spans="1:12" x14ac:dyDescent="0.3">
      <c r="A857" t="s">
        <v>1093</v>
      </c>
      <c r="B857" s="3">
        <v>45798</v>
      </c>
      <c r="C857" t="s">
        <v>111</v>
      </c>
      <c r="D857" t="s">
        <v>80</v>
      </c>
      <c r="E857" t="s">
        <v>51</v>
      </c>
      <c r="F857" t="s">
        <v>58</v>
      </c>
      <c r="G857" t="s">
        <v>69</v>
      </c>
      <c r="H857">
        <v>3</v>
      </c>
      <c r="I857">
        <v>83935</v>
      </c>
      <c r="J857">
        <v>0.15</v>
      </c>
      <c r="K857">
        <v>214034.25</v>
      </c>
      <c r="L857">
        <v>27522.47</v>
      </c>
    </row>
    <row r="858" spans="1:12" x14ac:dyDescent="0.3">
      <c r="A858" t="s">
        <v>1094</v>
      </c>
      <c r="B858" s="3">
        <v>45716</v>
      </c>
      <c r="C858" t="s">
        <v>263</v>
      </c>
      <c r="D858" t="s">
        <v>30</v>
      </c>
      <c r="E858" t="s">
        <v>15</v>
      </c>
      <c r="F858" t="s">
        <v>58</v>
      </c>
      <c r="G858" t="s">
        <v>69</v>
      </c>
      <c r="H858">
        <v>2</v>
      </c>
      <c r="I858">
        <v>11175</v>
      </c>
      <c r="J858">
        <v>0.2</v>
      </c>
      <c r="K858">
        <v>17880</v>
      </c>
      <c r="L858">
        <v>3330.47</v>
      </c>
    </row>
    <row r="859" spans="1:12" x14ac:dyDescent="0.3">
      <c r="A859" t="s">
        <v>1095</v>
      </c>
      <c r="B859" s="3">
        <v>45912</v>
      </c>
      <c r="C859" t="s">
        <v>24</v>
      </c>
      <c r="D859" t="s">
        <v>43</v>
      </c>
      <c r="E859" t="s">
        <v>44</v>
      </c>
      <c r="F859" t="s">
        <v>16</v>
      </c>
      <c r="G859" t="s">
        <v>104</v>
      </c>
      <c r="H859">
        <v>2</v>
      </c>
      <c r="I859">
        <v>1130</v>
      </c>
      <c r="J859">
        <v>0.2</v>
      </c>
      <c r="K859">
        <v>1808</v>
      </c>
      <c r="L859">
        <v>452.16</v>
      </c>
    </row>
    <row r="860" spans="1:12" x14ac:dyDescent="0.3">
      <c r="A860" t="s">
        <v>1096</v>
      </c>
      <c r="B860" s="3">
        <v>45814</v>
      </c>
      <c r="C860" t="s">
        <v>333</v>
      </c>
      <c r="D860" t="s">
        <v>80</v>
      </c>
      <c r="E860" t="s">
        <v>51</v>
      </c>
      <c r="F860" t="s">
        <v>27</v>
      </c>
      <c r="G860" t="s">
        <v>31</v>
      </c>
      <c r="H860">
        <v>3</v>
      </c>
      <c r="I860">
        <v>78117</v>
      </c>
      <c r="J860">
        <v>0.15</v>
      </c>
      <c r="K860">
        <v>199198.35</v>
      </c>
      <c r="L860">
        <v>17482.16</v>
      </c>
    </row>
    <row r="861" spans="1:12" x14ac:dyDescent="0.3">
      <c r="A861" t="s">
        <v>1097</v>
      </c>
      <c r="B861" s="3">
        <v>45703</v>
      </c>
      <c r="C861" t="s">
        <v>403</v>
      </c>
      <c r="D861" t="s">
        <v>47</v>
      </c>
      <c r="E861" t="s">
        <v>26</v>
      </c>
      <c r="F861" t="s">
        <v>21</v>
      </c>
      <c r="G861" t="s">
        <v>35</v>
      </c>
      <c r="H861">
        <v>1</v>
      </c>
      <c r="I861">
        <v>14089</v>
      </c>
      <c r="J861">
        <v>0.15</v>
      </c>
      <c r="K861">
        <v>11975.65</v>
      </c>
      <c r="L861">
        <v>1054.53</v>
      </c>
    </row>
    <row r="862" spans="1:12" x14ac:dyDescent="0.3">
      <c r="A862" t="s">
        <v>1098</v>
      </c>
      <c r="B862" s="3">
        <v>45928</v>
      </c>
      <c r="C862" t="s">
        <v>473</v>
      </c>
      <c r="D862" t="s">
        <v>103</v>
      </c>
      <c r="E862" t="s">
        <v>51</v>
      </c>
      <c r="F862" t="s">
        <v>21</v>
      </c>
      <c r="G862" t="s">
        <v>35</v>
      </c>
      <c r="H862">
        <v>1</v>
      </c>
      <c r="I862">
        <v>6612</v>
      </c>
      <c r="J862">
        <v>0</v>
      </c>
      <c r="K862">
        <v>6612</v>
      </c>
      <c r="L862">
        <v>1714.2</v>
      </c>
    </row>
    <row r="863" spans="1:12" x14ac:dyDescent="0.3">
      <c r="A863" t="s">
        <v>1099</v>
      </c>
      <c r="B863" s="3">
        <v>45768</v>
      </c>
      <c r="C863" t="s">
        <v>391</v>
      </c>
      <c r="D863" t="s">
        <v>34</v>
      </c>
      <c r="E863" t="s">
        <v>15</v>
      </c>
      <c r="F863" t="s">
        <v>58</v>
      </c>
      <c r="G863" t="s">
        <v>59</v>
      </c>
      <c r="H863">
        <v>1</v>
      </c>
      <c r="I863">
        <v>18904</v>
      </c>
      <c r="J863">
        <v>0.05</v>
      </c>
      <c r="K863">
        <v>17958.8</v>
      </c>
      <c r="L863">
        <v>2761</v>
      </c>
    </row>
    <row r="864" spans="1:12" x14ac:dyDescent="0.3">
      <c r="A864" t="s">
        <v>1100</v>
      </c>
      <c r="B864" s="3">
        <v>45768</v>
      </c>
      <c r="C864" t="s">
        <v>580</v>
      </c>
      <c r="D864" t="s">
        <v>14</v>
      </c>
      <c r="E864" t="s">
        <v>15</v>
      </c>
      <c r="F864" t="s">
        <v>16</v>
      </c>
      <c r="G864" t="s">
        <v>17</v>
      </c>
      <c r="H864">
        <v>1</v>
      </c>
      <c r="I864">
        <v>8895</v>
      </c>
      <c r="J864">
        <v>0</v>
      </c>
      <c r="K864">
        <v>8895</v>
      </c>
      <c r="L864">
        <v>1157.21</v>
      </c>
    </row>
    <row r="865" spans="1:12" x14ac:dyDescent="0.3">
      <c r="A865" t="s">
        <v>1101</v>
      </c>
      <c r="B865" s="3">
        <v>45936</v>
      </c>
      <c r="C865" t="s">
        <v>315</v>
      </c>
      <c r="D865" t="s">
        <v>92</v>
      </c>
      <c r="E865" t="s">
        <v>51</v>
      </c>
      <c r="F865" t="s">
        <v>27</v>
      </c>
      <c r="G865" t="s">
        <v>31</v>
      </c>
      <c r="H865">
        <v>1</v>
      </c>
      <c r="I865">
        <v>9583</v>
      </c>
      <c r="J865">
        <v>0.2</v>
      </c>
      <c r="K865">
        <v>7666.4000000000005</v>
      </c>
      <c r="L865">
        <v>725.71</v>
      </c>
    </row>
    <row r="866" spans="1:12" x14ac:dyDescent="0.3">
      <c r="A866" t="s">
        <v>1102</v>
      </c>
      <c r="B866" s="3">
        <v>45848</v>
      </c>
      <c r="C866" t="s">
        <v>358</v>
      </c>
      <c r="D866" t="s">
        <v>307</v>
      </c>
      <c r="E866" t="s">
        <v>73</v>
      </c>
      <c r="F866" t="s">
        <v>21</v>
      </c>
      <c r="G866" t="s">
        <v>35</v>
      </c>
      <c r="H866">
        <v>3</v>
      </c>
      <c r="I866">
        <v>339</v>
      </c>
      <c r="J866">
        <v>0.05</v>
      </c>
      <c r="K866">
        <v>966.15</v>
      </c>
      <c r="L866">
        <v>92.04</v>
      </c>
    </row>
    <row r="867" spans="1:12" x14ac:dyDescent="0.3">
      <c r="A867" t="s">
        <v>1103</v>
      </c>
      <c r="B867" s="3">
        <v>45785</v>
      </c>
      <c r="C867" t="s">
        <v>206</v>
      </c>
      <c r="D867" t="s">
        <v>97</v>
      </c>
      <c r="E867" t="s">
        <v>44</v>
      </c>
      <c r="F867" t="s">
        <v>21</v>
      </c>
      <c r="G867" t="s">
        <v>22</v>
      </c>
      <c r="H867">
        <v>3</v>
      </c>
      <c r="I867">
        <v>496</v>
      </c>
      <c r="J867">
        <v>0.1</v>
      </c>
      <c r="K867">
        <v>1339.2</v>
      </c>
      <c r="L867">
        <v>228.79</v>
      </c>
    </row>
    <row r="868" spans="1:12" x14ac:dyDescent="0.3">
      <c r="A868" t="s">
        <v>1104</v>
      </c>
      <c r="B868" s="3">
        <v>45720</v>
      </c>
      <c r="C868" t="s">
        <v>542</v>
      </c>
      <c r="D868" t="s">
        <v>68</v>
      </c>
      <c r="E868" t="s">
        <v>44</v>
      </c>
      <c r="F868" t="s">
        <v>21</v>
      </c>
      <c r="G868" t="s">
        <v>35</v>
      </c>
      <c r="H868">
        <v>2</v>
      </c>
      <c r="I868">
        <v>6661</v>
      </c>
      <c r="J868">
        <v>0.05</v>
      </c>
      <c r="K868">
        <v>12655.9</v>
      </c>
      <c r="L868">
        <v>2647.73</v>
      </c>
    </row>
    <row r="869" spans="1:12" x14ac:dyDescent="0.3">
      <c r="A869" t="s">
        <v>1105</v>
      </c>
      <c r="B869" s="3">
        <v>45773</v>
      </c>
      <c r="C869" t="s">
        <v>368</v>
      </c>
      <c r="D869" t="s">
        <v>202</v>
      </c>
      <c r="E869" t="s">
        <v>44</v>
      </c>
      <c r="F869" t="s">
        <v>58</v>
      </c>
      <c r="G869" t="s">
        <v>59</v>
      </c>
      <c r="H869">
        <v>3</v>
      </c>
      <c r="I869">
        <v>2968</v>
      </c>
      <c r="J869">
        <v>0</v>
      </c>
      <c r="K869">
        <v>8904</v>
      </c>
      <c r="L869">
        <v>1509.35</v>
      </c>
    </row>
    <row r="870" spans="1:12" x14ac:dyDescent="0.3">
      <c r="A870" t="s">
        <v>1106</v>
      </c>
      <c r="B870" s="3">
        <v>45666</v>
      </c>
      <c r="C870" t="s">
        <v>240</v>
      </c>
      <c r="D870" t="s">
        <v>153</v>
      </c>
      <c r="E870" t="s">
        <v>26</v>
      </c>
      <c r="F870" t="s">
        <v>16</v>
      </c>
      <c r="G870" t="s">
        <v>17</v>
      </c>
      <c r="H870">
        <v>2</v>
      </c>
      <c r="I870">
        <v>3398</v>
      </c>
      <c r="J870">
        <v>0.15</v>
      </c>
      <c r="K870">
        <v>5776.5999999999995</v>
      </c>
      <c r="L870">
        <v>747.45</v>
      </c>
    </row>
    <row r="871" spans="1:12" x14ac:dyDescent="0.3">
      <c r="A871" t="s">
        <v>1107</v>
      </c>
      <c r="B871" s="3">
        <v>46003</v>
      </c>
      <c r="C871" t="s">
        <v>440</v>
      </c>
      <c r="D871" t="s">
        <v>14</v>
      </c>
      <c r="E871" t="s">
        <v>15</v>
      </c>
      <c r="F871" t="s">
        <v>21</v>
      </c>
      <c r="G871" t="s">
        <v>22</v>
      </c>
      <c r="H871">
        <v>1</v>
      </c>
      <c r="I871">
        <v>11239</v>
      </c>
      <c r="J871">
        <v>0.1</v>
      </c>
      <c r="K871">
        <v>10115.1</v>
      </c>
      <c r="L871">
        <v>1719.67</v>
      </c>
    </row>
    <row r="872" spans="1:12" x14ac:dyDescent="0.3">
      <c r="A872" t="s">
        <v>1108</v>
      </c>
      <c r="B872" s="3">
        <v>45731</v>
      </c>
      <c r="C872" t="s">
        <v>1109</v>
      </c>
      <c r="D872" t="s">
        <v>92</v>
      </c>
      <c r="E872" t="s">
        <v>51</v>
      </c>
      <c r="F872" t="s">
        <v>27</v>
      </c>
      <c r="G872" t="s">
        <v>31</v>
      </c>
      <c r="H872">
        <v>1</v>
      </c>
      <c r="I872">
        <v>14841</v>
      </c>
      <c r="J872">
        <v>0.05</v>
      </c>
      <c r="K872">
        <v>14098.949999999999</v>
      </c>
      <c r="L872">
        <v>2885.13</v>
      </c>
    </row>
    <row r="873" spans="1:12" x14ac:dyDescent="0.3">
      <c r="A873" t="s">
        <v>1110</v>
      </c>
      <c r="B873" s="3">
        <v>45881</v>
      </c>
      <c r="C873" t="s">
        <v>321</v>
      </c>
      <c r="D873" t="s">
        <v>47</v>
      </c>
      <c r="E873" t="s">
        <v>26</v>
      </c>
      <c r="F873" t="s">
        <v>21</v>
      </c>
      <c r="G873" t="s">
        <v>22</v>
      </c>
      <c r="H873">
        <v>4</v>
      </c>
      <c r="I873">
        <v>15566</v>
      </c>
      <c r="J873">
        <v>0</v>
      </c>
      <c r="K873">
        <v>62264</v>
      </c>
      <c r="L873">
        <v>8191.59</v>
      </c>
    </row>
    <row r="874" spans="1:12" x14ac:dyDescent="0.3">
      <c r="A874" t="s">
        <v>1111</v>
      </c>
      <c r="B874" s="3">
        <v>45809</v>
      </c>
      <c r="C874" t="s">
        <v>421</v>
      </c>
      <c r="D874" t="s">
        <v>20</v>
      </c>
      <c r="E874" t="s">
        <v>15</v>
      </c>
      <c r="F874" t="s">
        <v>27</v>
      </c>
      <c r="G874" t="s">
        <v>31</v>
      </c>
      <c r="H874">
        <v>2</v>
      </c>
      <c r="I874">
        <v>10766</v>
      </c>
      <c r="J874">
        <v>0.05</v>
      </c>
      <c r="K874">
        <v>20455.399999999998</v>
      </c>
      <c r="L874">
        <v>1791.79</v>
      </c>
    </row>
    <row r="875" spans="1:12" x14ac:dyDescent="0.3">
      <c r="A875" t="s">
        <v>1112</v>
      </c>
      <c r="B875" s="3">
        <v>45674</v>
      </c>
      <c r="C875" t="s">
        <v>305</v>
      </c>
      <c r="D875" t="s">
        <v>120</v>
      </c>
      <c r="E875" t="s">
        <v>51</v>
      </c>
      <c r="F875" t="s">
        <v>21</v>
      </c>
      <c r="G875" t="s">
        <v>35</v>
      </c>
      <c r="H875">
        <v>1</v>
      </c>
      <c r="I875">
        <v>957</v>
      </c>
      <c r="J875">
        <v>0.05</v>
      </c>
      <c r="K875">
        <v>909.15</v>
      </c>
      <c r="L875">
        <v>225.17</v>
      </c>
    </row>
    <row r="876" spans="1:12" x14ac:dyDescent="0.3">
      <c r="A876" t="s">
        <v>1113</v>
      </c>
      <c r="B876" s="3">
        <v>45987</v>
      </c>
      <c r="C876" t="s">
        <v>731</v>
      </c>
      <c r="D876" t="s">
        <v>80</v>
      </c>
      <c r="E876" t="s">
        <v>51</v>
      </c>
      <c r="F876" t="s">
        <v>27</v>
      </c>
      <c r="G876" t="s">
        <v>28</v>
      </c>
      <c r="H876">
        <v>1</v>
      </c>
      <c r="I876">
        <v>57510</v>
      </c>
      <c r="J876">
        <v>0.1</v>
      </c>
      <c r="K876">
        <v>51759</v>
      </c>
      <c r="L876">
        <v>11015.36</v>
      </c>
    </row>
    <row r="877" spans="1:12" x14ac:dyDescent="0.3">
      <c r="A877" t="s">
        <v>1114</v>
      </c>
      <c r="B877" s="3">
        <v>45694</v>
      </c>
      <c r="C877" t="s">
        <v>640</v>
      </c>
      <c r="D877" t="s">
        <v>202</v>
      </c>
      <c r="E877" t="s">
        <v>44</v>
      </c>
      <c r="F877" t="s">
        <v>21</v>
      </c>
      <c r="G877" t="s">
        <v>55</v>
      </c>
      <c r="H877">
        <v>4</v>
      </c>
      <c r="I877">
        <v>1961</v>
      </c>
      <c r="J877">
        <v>0</v>
      </c>
      <c r="K877">
        <v>7844</v>
      </c>
      <c r="L877">
        <v>1438.77</v>
      </c>
    </row>
    <row r="878" spans="1:12" x14ac:dyDescent="0.3">
      <c r="A878" t="s">
        <v>1115</v>
      </c>
      <c r="B878" s="3">
        <v>46019</v>
      </c>
      <c r="C878" t="s">
        <v>94</v>
      </c>
      <c r="D878" t="s">
        <v>30</v>
      </c>
      <c r="E878" t="s">
        <v>15</v>
      </c>
      <c r="F878" t="s">
        <v>58</v>
      </c>
      <c r="G878" t="s">
        <v>59</v>
      </c>
      <c r="H878">
        <v>3</v>
      </c>
      <c r="I878">
        <v>5576</v>
      </c>
      <c r="J878">
        <v>0.15</v>
      </c>
      <c r="K878">
        <v>14218.8</v>
      </c>
      <c r="L878">
        <v>2536.2600000000002</v>
      </c>
    </row>
    <row r="879" spans="1:12" x14ac:dyDescent="0.3">
      <c r="A879" t="s">
        <v>1116</v>
      </c>
      <c r="B879" s="3">
        <v>45673</v>
      </c>
      <c r="C879" t="s">
        <v>482</v>
      </c>
      <c r="D879" t="s">
        <v>25</v>
      </c>
      <c r="E879" t="s">
        <v>26</v>
      </c>
      <c r="F879" t="s">
        <v>27</v>
      </c>
      <c r="G879" t="s">
        <v>28</v>
      </c>
      <c r="H879">
        <v>1</v>
      </c>
      <c r="I879">
        <v>11744</v>
      </c>
      <c r="J879">
        <v>0</v>
      </c>
      <c r="K879">
        <v>11744</v>
      </c>
      <c r="L879">
        <v>2706.6</v>
      </c>
    </row>
    <row r="880" spans="1:12" x14ac:dyDescent="0.3">
      <c r="A880" t="s">
        <v>1117</v>
      </c>
      <c r="B880" s="3">
        <v>45945</v>
      </c>
      <c r="C880" t="s">
        <v>272</v>
      </c>
      <c r="D880" t="s">
        <v>25</v>
      </c>
      <c r="E880" t="s">
        <v>26</v>
      </c>
      <c r="F880" t="s">
        <v>16</v>
      </c>
      <c r="G880" t="s">
        <v>17</v>
      </c>
      <c r="H880">
        <v>1</v>
      </c>
      <c r="I880">
        <v>17013</v>
      </c>
      <c r="J880">
        <v>0</v>
      </c>
      <c r="K880">
        <v>17013</v>
      </c>
      <c r="L880">
        <v>4709.6000000000004</v>
      </c>
    </row>
    <row r="881" spans="1:12" x14ac:dyDescent="0.3">
      <c r="A881" t="s">
        <v>1118</v>
      </c>
      <c r="B881" s="3">
        <v>45934</v>
      </c>
      <c r="C881" t="s">
        <v>965</v>
      </c>
      <c r="D881" t="s">
        <v>50</v>
      </c>
      <c r="E881" t="s">
        <v>51</v>
      </c>
      <c r="F881" t="s">
        <v>16</v>
      </c>
      <c r="G881" t="s">
        <v>52</v>
      </c>
      <c r="H881">
        <v>3</v>
      </c>
      <c r="I881">
        <v>1515</v>
      </c>
      <c r="J881">
        <v>0.2</v>
      </c>
      <c r="K881">
        <v>3636</v>
      </c>
      <c r="L881">
        <v>814.43</v>
      </c>
    </row>
    <row r="882" spans="1:12" x14ac:dyDescent="0.3">
      <c r="A882" t="s">
        <v>1119</v>
      </c>
      <c r="B882" s="3">
        <v>46010</v>
      </c>
      <c r="C882" t="s">
        <v>597</v>
      </c>
      <c r="D882" t="s">
        <v>68</v>
      </c>
      <c r="E882" t="s">
        <v>44</v>
      </c>
      <c r="F882" t="s">
        <v>58</v>
      </c>
      <c r="G882" t="s">
        <v>126</v>
      </c>
      <c r="H882">
        <v>1</v>
      </c>
      <c r="I882">
        <v>5865</v>
      </c>
      <c r="J882">
        <v>0.05</v>
      </c>
      <c r="K882">
        <v>5571.75</v>
      </c>
      <c r="L882">
        <v>758.35</v>
      </c>
    </row>
    <row r="883" spans="1:12" x14ac:dyDescent="0.3">
      <c r="A883" t="s">
        <v>1120</v>
      </c>
      <c r="B883" s="3">
        <v>45901</v>
      </c>
      <c r="C883" t="s">
        <v>217</v>
      </c>
      <c r="D883" t="s">
        <v>202</v>
      </c>
      <c r="E883" t="s">
        <v>44</v>
      </c>
      <c r="F883" t="s">
        <v>27</v>
      </c>
      <c r="G883" t="s">
        <v>31</v>
      </c>
      <c r="H883">
        <v>1</v>
      </c>
      <c r="I883">
        <v>2816</v>
      </c>
      <c r="J883">
        <v>0</v>
      </c>
      <c r="K883">
        <v>2816</v>
      </c>
      <c r="L883">
        <v>712.19</v>
      </c>
    </row>
    <row r="884" spans="1:12" x14ac:dyDescent="0.3">
      <c r="A884" t="s">
        <v>1121</v>
      </c>
      <c r="B884" s="3">
        <v>45966</v>
      </c>
      <c r="C884" t="s">
        <v>141</v>
      </c>
      <c r="D884" t="s">
        <v>83</v>
      </c>
      <c r="E884" t="s">
        <v>73</v>
      </c>
      <c r="F884" t="s">
        <v>21</v>
      </c>
      <c r="G884" t="s">
        <v>22</v>
      </c>
      <c r="H884">
        <v>3</v>
      </c>
      <c r="I884">
        <v>548</v>
      </c>
      <c r="J884">
        <v>0.05</v>
      </c>
      <c r="K884">
        <v>1561.8</v>
      </c>
      <c r="L884">
        <v>200.46</v>
      </c>
    </row>
    <row r="885" spans="1:12" x14ac:dyDescent="0.3">
      <c r="A885" t="s">
        <v>1122</v>
      </c>
      <c r="B885" s="3">
        <v>45876</v>
      </c>
      <c r="C885" t="s">
        <v>507</v>
      </c>
      <c r="D885" t="s">
        <v>88</v>
      </c>
      <c r="E885" t="s">
        <v>73</v>
      </c>
      <c r="F885" t="s">
        <v>16</v>
      </c>
      <c r="G885" t="s">
        <v>52</v>
      </c>
      <c r="H885">
        <v>1</v>
      </c>
      <c r="I885">
        <v>150</v>
      </c>
      <c r="J885">
        <v>0.2</v>
      </c>
      <c r="K885">
        <v>120</v>
      </c>
      <c r="L885">
        <v>25.26</v>
      </c>
    </row>
    <row r="886" spans="1:12" x14ac:dyDescent="0.3">
      <c r="A886" t="s">
        <v>1123</v>
      </c>
      <c r="B886" s="3">
        <v>45725</v>
      </c>
      <c r="C886" t="s">
        <v>134</v>
      </c>
      <c r="D886" t="s">
        <v>92</v>
      </c>
      <c r="E886" t="s">
        <v>51</v>
      </c>
      <c r="F886" t="s">
        <v>58</v>
      </c>
      <c r="G886" t="s">
        <v>126</v>
      </c>
      <c r="H886">
        <v>1</v>
      </c>
      <c r="I886">
        <v>21481</v>
      </c>
      <c r="J886">
        <v>0.15</v>
      </c>
      <c r="K886">
        <v>18258.849999999999</v>
      </c>
      <c r="L886">
        <v>2293.6799999999998</v>
      </c>
    </row>
    <row r="887" spans="1:12" x14ac:dyDescent="0.3">
      <c r="A887" t="s">
        <v>1124</v>
      </c>
      <c r="B887" s="3">
        <v>45855</v>
      </c>
      <c r="C887" t="s">
        <v>274</v>
      </c>
      <c r="D887" t="s">
        <v>47</v>
      </c>
      <c r="E887" t="s">
        <v>26</v>
      </c>
      <c r="F887" t="s">
        <v>58</v>
      </c>
      <c r="G887" t="s">
        <v>126</v>
      </c>
      <c r="H887">
        <v>2</v>
      </c>
      <c r="I887">
        <v>15398</v>
      </c>
      <c r="J887">
        <v>0.1</v>
      </c>
      <c r="K887">
        <v>27716.400000000001</v>
      </c>
      <c r="L887">
        <v>5016.3</v>
      </c>
    </row>
    <row r="888" spans="1:12" x14ac:dyDescent="0.3">
      <c r="A888" t="s">
        <v>1125</v>
      </c>
      <c r="B888" s="3">
        <v>45964</v>
      </c>
      <c r="C888" t="s">
        <v>274</v>
      </c>
      <c r="D888" t="s">
        <v>43</v>
      </c>
      <c r="E888" t="s">
        <v>44</v>
      </c>
      <c r="F888" t="s">
        <v>58</v>
      </c>
      <c r="G888" t="s">
        <v>126</v>
      </c>
      <c r="H888">
        <v>2</v>
      </c>
      <c r="I888">
        <v>618</v>
      </c>
      <c r="J888">
        <v>0.15</v>
      </c>
      <c r="K888">
        <v>1050.5999999999999</v>
      </c>
      <c r="L888">
        <v>217.67</v>
      </c>
    </row>
    <row r="889" spans="1:12" x14ac:dyDescent="0.3">
      <c r="A889" t="s">
        <v>1126</v>
      </c>
      <c r="B889" s="3">
        <v>45996</v>
      </c>
      <c r="C889" t="s">
        <v>123</v>
      </c>
      <c r="D889" t="s">
        <v>25</v>
      </c>
      <c r="E889" t="s">
        <v>26</v>
      </c>
      <c r="F889" t="s">
        <v>58</v>
      </c>
      <c r="G889" t="s">
        <v>126</v>
      </c>
      <c r="H889">
        <v>1</v>
      </c>
      <c r="I889">
        <v>9033</v>
      </c>
      <c r="J889">
        <v>0.05</v>
      </c>
      <c r="K889">
        <v>8581.35</v>
      </c>
      <c r="L889">
        <v>1344.12</v>
      </c>
    </row>
    <row r="890" spans="1:12" x14ac:dyDescent="0.3">
      <c r="A890" t="s">
        <v>1127</v>
      </c>
      <c r="B890" s="3">
        <v>45860</v>
      </c>
      <c r="C890" t="s">
        <v>597</v>
      </c>
      <c r="D890" t="s">
        <v>80</v>
      </c>
      <c r="E890" t="s">
        <v>51</v>
      </c>
      <c r="F890" t="s">
        <v>21</v>
      </c>
      <c r="G890" t="s">
        <v>22</v>
      </c>
      <c r="H890">
        <v>1</v>
      </c>
      <c r="I890">
        <v>49047</v>
      </c>
      <c r="J890">
        <v>0</v>
      </c>
      <c r="K890">
        <v>49047</v>
      </c>
      <c r="L890">
        <v>9305.5300000000007</v>
      </c>
    </row>
    <row r="891" spans="1:12" x14ac:dyDescent="0.3">
      <c r="A891" t="s">
        <v>1128</v>
      </c>
      <c r="B891" s="3">
        <v>45747</v>
      </c>
      <c r="C891" t="s">
        <v>185</v>
      </c>
      <c r="D891" t="s">
        <v>50</v>
      </c>
      <c r="E891" t="s">
        <v>51</v>
      </c>
      <c r="F891" t="s">
        <v>21</v>
      </c>
      <c r="G891" t="s">
        <v>35</v>
      </c>
      <c r="H891">
        <v>4</v>
      </c>
      <c r="I891">
        <v>3425</v>
      </c>
      <c r="J891">
        <v>0.15</v>
      </c>
      <c r="K891">
        <v>11645</v>
      </c>
      <c r="L891">
        <v>1187.83</v>
      </c>
    </row>
    <row r="892" spans="1:12" x14ac:dyDescent="0.3">
      <c r="A892" t="s">
        <v>1129</v>
      </c>
      <c r="B892" s="3">
        <v>46006</v>
      </c>
      <c r="C892" t="s">
        <v>266</v>
      </c>
      <c r="D892" t="s">
        <v>30</v>
      </c>
      <c r="E892" t="s">
        <v>15</v>
      </c>
      <c r="F892" t="s">
        <v>21</v>
      </c>
      <c r="G892" t="s">
        <v>35</v>
      </c>
      <c r="H892">
        <v>3</v>
      </c>
      <c r="I892">
        <v>7205</v>
      </c>
      <c r="J892">
        <v>0.2</v>
      </c>
      <c r="K892">
        <v>17292</v>
      </c>
      <c r="L892">
        <v>2655.53</v>
      </c>
    </row>
    <row r="893" spans="1:12" x14ac:dyDescent="0.3">
      <c r="A893" t="s">
        <v>1130</v>
      </c>
      <c r="B893" s="3">
        <v>45659</v>
      </c>
      <c r="C893" t="s">
        <v>421</v>
      </c>
      <c r="D893" t="s">
        <v>307</v>
      </c>
      <c r="E893" t="s">
        <v>73</v>
      </c>
      <c r="F893" t="s">
        <v>27</v>
      </c>
      <c r="G893" t="s">
        <v>28</v>
      </c>
      <c r="H893">
        <v>3</v>
      </c>
      <c r="I893">
        <v>415</v>
      </c>
      <c r="J893">
        <v>0</v>
      </c>
      <c r="K893">
        <v>1245</v>
      </c>
      <c r="L893">
        <v>232.05</v>
      </c>
    </row>
    <row r="894" spans="1:12" x14ac:dyDescent="0.3">
      <c r="A894" t="s">
        <v>1131</v>
      </c>
      <c r="B894" s="3">
        <v>45864</v>
      </c>
      <c r="C894" t="s">
        <v>176</v>
      </c>
      <c r="D894" t="s">
        <v>68</v>
      </c>
      <c r="E894" t="s">
        <v>44</v>
      </c>
      <c r="F894" t="s">
        <v>16</v>
      </c>
      <c r="G894" t="s">
        <v>17</v>
      </c>
      <c r="H894">
        <v>1</v>
      </c>
      <c r="I894">
        <v>6837</v>
      </c>
      <c r="J894">
        <v>0.15</v>
      </c>
      <c r="K894">
        <v>5811.45</v>
      </c>
      <c r="L894">
        <v>1527.64</v>
      </c>
    </row>
    <row r="895" spans="1:12" x14ac:dyDescent="0.3">
      <c r="A895" t="s">
        <v>1132</v>
      </c>
      <c r="B895" s="3">
        <v>45719</v>
      </c>
      <c r="C895" t="s">
        <v>792</v>
      </c>
      <c r="D895" t="s">
        <v>202</v>
      </c>
      <c r="E895" t="s">
        <v>44</v>
      </c>
      <c r="F895" t="s">
        <v>27</v>
      </c>
      <c r="G895" t="s">
        <v>31</v>
      </c>
      <c r="H895">
        <v>1</v>
      </c>
      <c r="I895">
        <v>3454</v>
      </c>
      <c r="J895">
        <v>0.25</v>
      </c>
      <c r="K895">
        <v>2590.5</v>
      </c>
      <c r="L895">
        <v>686.47</v>
      </c>
    </row>
    <row r="896" spans="1:12" x14ac:dyDescent="0.3">
      <c r="A896" t="s">
        <v>1133</v>
      </c>
      <c r="B896" s="3">
        <v>45862</v>
      </c>
      <c r="C896" t="s">
        <v>67</v>
      </c>
      <c r="D896" t="s">
        <v>80</v>
      </c>
      <c r="E896" t="s">
        <v>51</v>
      </c>
      <c r="F896" t="s">
        <v>27</v>
      </c>
      <c r="G896" t="s">
        <v>40</v>
      </c>
      <c r="H896">
        <v>1</v>
      </c>
      <c r="I896">
        <v>74795</v>
      </c>
      <c r="J896">
        <v>0</v>
      </c>
      <c r="K896">
        <v>74795</v>
      </c>
      <c r="L896">
        <v>6710.05</v>
      </c>
    </row>
    <row r="897" spans="1:12" x14ac:dyDescent="0.3">
      <c r="A897" t="s">
        <v>1134</v>
      </c>
      <c r="B897" s="3">
        <v>45721</v>
      </c>
      <c r="C897" t="s">
        <v>401</v>
      </c>
      <c r="D897" t="s">
        <v>14</v>
      </c>
      <c r="E897" t="s">
        <v>15</v>
      </c>
      <c r="F897" t="s">
        <v>27</v>
      </c>
      <c r="G897" t="s">
        <v>40</v>
      </c>
      <c r="H897">
        <v>1</v>
      </c>
      <c r="I897">
        <v>11162</v>
      </c>
      <c r="J897">
        <v>0.15</v>
      </c>
      <c r="K897">
        <v>9487.6999999999989</v>
      </c>
      <c r="L897">
        <v>1331.04</v>
      </c>
    </row>
    <row r="898" spans="1:12" x14ac:dyDescent="0.3">
      <c r="A898" t="s">
        <v>1135</v>
      </c>
      <c r="B898" s="3">
        <v>45695</v>
      </c>
      <c r="C898" t="s">
        <v>451</v>
      </c>
      <c r="D898" t="s">
        <v>83</v>
      </c>
      <c r="E898" t="s">
        <v>73</v>
      </c>
      <c r="F898" t="s">
        <v>16</v>
      </c>
      <c r="G898" t="s">
        <v>52</v>
      </c>
      <c r="H898">
        <v>1</v>
      </c>
      <c r="I898">
        <v>318</v>
      </c>
      <c r="J898">
        <v>0.2</v>
      </c>
      <c r="K898">
        <v>254.4</v>
      </c>
      <c r="L898">
        <v>47.19</v>
      </c>
    </row>
    <row r="899" spans="1:12" x14ac:dyDescent="0.3">
      <c r="A899" t="s">
        <v>1136</v>
      </c>
      <c r="B899" s="3">
        <v>45713</v>
      </c>
      <c r="C899" t="s">
        <v>194</v>
      </c>
      <c r="D899" t="s">
        <v>47</v>
      </c>
      <c r="E899" t="s">
        <v>26</v>
      </c>
      <c r="F899" t="s">
        <v>21</v>
      </c>
      <c r="G899" t="s">
        <v>35</v>
      </c>
      <c r="H899">
        <v>3</v>
      </c>
      <c r="I899">
        <v>17836</v>
      </c>
      <c r="J899">
        <v>0</v>
      </c>
      <c r="K899">
        <v>53508</v>
      </c>
      <c r="L899">
        <v>5416.4</v>
      </c>
    </row>
    <row r="900" spans="1:12" x14ac:dyDescent="0.3">
      <c r="A900" t="s">
        <v>1137</v>
      </c>
      <c r="B900" s="3">
        <v>45706</v>
      </c>
      <c r="C900" t="s">
        <v>82</v>
      </c>
      <c r="D900" t="s">
        <v>25</v>
      </c>
      <c r="E900" t="s">
        <v>26</v>
      </c>
      <c r="F900" t="s">
        <v>27</v>
      </c>
      <c r="G900" t="s">
        <v>31</v>
      </c>
      <c r="H900">
        <v>2</v>
      </c>
      <c r="I900">
        <v>10189</v>
      </c>
      <c r="J900">
        <v>0.2</v>
      </c>
      <c r="K900">
        <v>16302.400000000001</v>
      </c>
      <c r="L900">
        <v>3917.86</v>
      </c>
    </row>
    <row r="901" spans="1:12" x14ac:dyDescent="0.3">
      <c r="A901" t="s">
        <v>1138</v>
      </c>
      <c r="B901" s="3">
        <v>45706</v>
      </c>
      <c r="C901" t="s">
        <v>211</v>
      </c>
      <c r="D901" t="s">
        <v>20</v>
      </c>
      <c r="E901" t="s">
        <v>15</v>
      </c>
      <c r="F901" t="s">
        <v>58</v>
      </c>
      <c r="G901" t="s">
        <v>126</v>
      </c>
      <c r="H901">
        <v>1</v>
      </c>
      <c r="I901">
        <v>15051</v>
      </c>
      <c r="J901">
        <v>0.15</v>
      </c>
      <c r="K901">
        <v>12793.35</v>
      </c>
      <c r="L901">
        <v>1784.85</v>
      </c>
    </row>
    <row r="902" spans="1:12" x14ac:dyDescent="0.3">
      <c r="A902" t="s">
        <v>1139</v>
      </c>
      <c r="B902" s="3">
        <v>45993</v>
      </c>
      <c r="C902" t="s">
        <v>156</v>
      </c>
      <c r="D902" t="s">
        <v>92</v>
      </c>
      <c r="E902" t="s">
        <v>51</v>
      </c>
      <c r="F902" t="s">
        <v>16</v>
      </c>
      <c r="G902" t="s">
        <v>52</v>
      </c>
      <c r="H902">
        <v>1</v>
      </c>
      <c r="I902">
        <v>9086</v>
      </c>
      <c r="J902">
        <v>0.1</v>
      </c>
      <c r="K902">
        <v>8177.4000000000005</v>
      </c>
      <c r="L902">
        <v>2244.9</v>
      </c>
    </row>
    <row r="903" spans="1:12" x14ac:dyDescent="0.3">
      <c r="A903" t="s">
        <v>1140</v>
      </c>
      <c r="B903" s="3">
        <v>45871</v>
      </c>
      <c r="C903" t="s">
        <v>183</v>
      </c>
      <c r="D903" t="s">
        <v>47</v>
      </c>
      <c r="E903" t="s">
        <v>26</v>
      </c>
      <c r="F903" t="s">
        <v>21</v>
      </c>
      <c r="G903" t="s">
        <v>35</v>
      </c>
      <c r="H903">
        <v>1</v>
      </c>
      <c r="I903">
        <v>16115</v>
      </c>
      <c r="J903">
        <v>0.05</v>
      </c>
      <c r="K903">
        <v>15309.25</v>
      </c>
      <c r="L903">
        <v>1861.13</v>
      </c>
    </row>
    <row r="904" spans="1:12" x14ac:dyDescent="0.3">
      <c r="A904" t="s">
        <v>1141</v>
      </c>
      <c r="B904" s="3">
        <v>45688</v>
      </c>
      <c r="C904" t="s">
        <v>102</v>
      </c>
      <c r="D904" t="s">
        <v>92</v>
      </c>
      <c r="E904" t="s">
        <v>51</v>
      </c>
      <c r="F904" t="s">
        <v>58</v>
      </c>
      <c r="G904" t="s">
        <v>69</v>
      </c>
      <c r="H904">
        <v>1</v>
      </c>
      <c r="I904">
        <v>18176</v>
      </c>
      <c r="J904">
        <v>0</v>
      </c>
      <c r="K904">
        <v>18176</v>
      </c>
      <c r="L904">
        <v>4586.26</v>
      </c>
    </row>
    <row r="905" spans="1:12" x14ac:dyDescent="0.3">
      <c r="A905" t="s">
        <v>1142</v>
      </c>
      <c r="B905" s="3">
        <v>45917</v>
      </c>
      <c r="C905" t="s">
        <v>578</v>
      </c>
      <c r="D905" t="s">
        <v>34</v>
      </c>
      <c r="E905" t="s">
        <v>15</v>
      </c>
      <c r="F905" t="s">
        <v>21</v>
      </c>
      <c r="G905" t="s">
        <v>22</v>
      </c>
      <c r="H905">
        <v>1</v>
      </c>
      <c r="I905">
        <v>18776</v>
      </c>
      <c r="J905">
        <v>0.1</v>
      </c>
      <c r="K905">
        <v>16898.400000000001</v>
      </c>
      <c r="L905">
        <v>4542.43</v>
      </c>
    </row>
    <row r="906" spans="1:12" x14ac:dyDescent="0.3">
      <c r="A906" t="s">
        <v>1143</v>
      </c>
      <c r="B906" s="3">
        <v>45988</v>
      </c>
      <c r="C906" t="s">
        <v>617</v>
      </c>
      <c r="D906" t="s">
        <v>202</v>
      </c>
      <c r="E906" t="s">
        <v>44</v>
      </c>
      <c r="F906" t="s">
        <v>16</v>
      </c>
      <c r="G906" t="s">
        <v>52</v>
      </c>
      <c r="H906">
        <v>1</v>
      </c>
      <c r="I906">
        <v>2083</v>
      </c>
      <c r="J906">
        <v>0.1</v>
      </c>
      <c r="K906">
        <v>1874.7</v>
      </c>
      <c r="L906">
        <v>414.92</v>
      </c>
    </row>
    <row r="907" spans="1:12" x14ac:dyDescent="0.3">
      <c r="A907" t="s">
        <v>1144</v>
      </c>
      <c r="B907" s="3">
        <v>45789</v>
      </c>
      <c r="C907" t="s">
        <v>251</v>
      </c>
      <c r="D907" t="s">
        <v>25</v>
      </c>
      <c r="E907" t="s">
        <v>26</v>
      </c>
      <c r="F907" t="s">
        <v>58</v>
      </c>
      <c r="G907" t="s">
        <v>59</v>
      </c>
      <c r="H907">
        <v>1</v>
      </c>
      <c r="I907">
        <v>17819</v>
      </c>
      <c r="J907">
        <v>0</v>
      </c>
      <c r="K907">
        <v>17819</v>
      </c>
      <c r="L907">
        <v>3844.59</v>
      </c>
    </row>
    <row r="908" spans="1:12" x14ac:dyDescent="0.3">
      <c r="A908" t="s">
        <v>1145</v>
      </c>
      <c r="B908" s="3">
        <v>45720</v>
      </c>
      <c r="C908" t="s">
        <v>82</v>
      </c>
      <c r="D908" t="s">
        <v>68</v>
      </c>
      <c r="E908" t="s">
        <v>44</v>
      </c>
      <c r="F908" t="s">
        <v>16</v>
      </c>
      <c r="G908" t="s">
        <v>104</v>
      </c>
      <c r="H908">
        <v>3</v>
      </c>
      <c r="I908">
        <v>4614</v>
      </c>
      <c r="J908">
        <v>0.1</v>
      </c>
      <c r="K908">
        <v>12457.800000000001</v>
      </c>
      <c r="L908">
        <v>3113.45</v>
      </c>
    </row>
    <row r="909" spans="1:12" x14ac:dyDescent="0.3">
      <c r="A909" t="s">
        <v>1146</v>
      </c>
      <c r="B909" s="3">
        <v>45846</v>
      </c>
      <c r="C909" t="s">
        <v>542</v>
      </c>
      <c r="D909" t="s">
        <v>83</v>
      </c>
      <c r="E909" t="s">
        <v>73</v>
      </c>
      <c r="F909" t="s">
        <v>58</v>
      </c>
      <c r="G909" t="s">
        <v>126</v>
      </c>
      <c r="H909">
        <v>1</v>
      </c>
      <c r="I909">
        <v>701</v>
      </c>
      <c r="J909">
        <v>0.1</v>
      </c>
      <c r="K909">
        <v>630.9</v>
      </c>
      <c r="L909">
        <v>88.08</v>
      </c>
    </row>
    <row r="910" spans="1:12" x14ac:dyDescent="0.3">
      <c r="A910" t="s">
        <v>1147</v>
      </c>
      <c r="B910" s="3">
        <v>45852</v>
      </c>
      <c r="C910" t="s">
        <v>354</v>
      </c>
      <c r="D910" t="s">
        <v>47</v>
      </c>
      <c r="E910" t="s">
        <v>26</v>
      </c>
      <c r="F910" t="s">
        <v>58</v>
      </c>
      <c r="G910" t="s">
        <v>59</v>
      </c>
      <c r="H910">
        <v>1</v>
      </c>
      <c r="I910">
        <v>10765</v>
      </c>
      <c r="J910">
        <v>0.1</v>
      </c>
      <c r="K910">
        <v>9688.5</v>
      </c>
      <c r="L910">
        <v>2100.23</v>
      </c>
    </row>
    <row r="911" spans="1:12" x14ac:dyDescent="0.3">
      <c r="A911" t="s">
        <v>1148</v>
      </c>
      <c r="B911" s="3">
        <v>45915</v>
      </c>
      <c r="C911" t="s">
        <v>87</v>
      </c>
      <c r="D911" t="s">
        <v>92</v>
      </c>
      <c r="E911" t="s">
        <v>51</v>
      </c>
      <c r="F911" t="s">
        <v>58</v>
      </c>
      <c r="G911" t="s">
        <v>59</v>
      </c>
      <c r="H911">
        <v>2</v>
      </c>
      <c r="I911">
        <v>14207</v>
      </c>
      <c r="J911">
        <v>0</v>
      </c>
      <c r="K911">
        <v>28414</v>
      </c>
      <c r="L911">
        <v>7818.8</v>
      </c>
    </row>
    <row r="912" spans="1:12" x14ac:dyDescent="0.3">
      <c r="A912" t="s">
        <v>1149</v>
      </c>
      <c r="B912" s="3">
        <v>45833</v>
      </c>
      <c r="C912" t="s">
        <v>143</v>
      </c>
      <c r="D912" t="s">
        <v>30</v>
      </c>
      <c r="E912" t="s">
        <v>15</v>
      </c>
      <c r="F912" t="s">
        <v>21</v>
      </c>
      <c r="G912" t="s">
        <v>22</v>
      </c>
      <c r="H912">
        <v>3</v>
      </c>
      <c r="I912">
        <v>9597</v>
      </c>
      <c r="J912">
        <v>0.05</v>
      </c>
      <c r="K912">
        <v>27351.449999999997</v>
      </c>
      <c r="L912">
        <v>2525.13</v>
      </c>
    </row>
    <row r="913" spans="1:12" x14ac:dyDescent="0.3">
      <c r="A913" t="s">
        <v>1150</v>
      </c>
      <c r="B913" s="3">
        <v>45962</v>
      </c>
      <c r="C913" t="s">
        <v>412</v>
      </c>
      <c r="D913" t="s">
        <v>92</v>
      </c>
      <c r="E913" t="s">
        <v>51</v>
      </c>
      <c r="F913" t="s">
        <v>27</v>
      </c>
      <c r="G913" t="s">
        <v>31</v>
      </c>
      <c r="H913">
        <v>1</v>
      </c>
      <c r="I913">
        <v>19016</v>
      </c>
      <c r="J913">
        <v>0</v>
      </c>
      <c r="K913">
        <v>19016</v>
      </c>
      <c r="L913">
        <v>3305.13</v>
      </c>
    </row>
    <row r="914" spans="1:12" x14ac:dyDescent="0.3">
      <c r="A914" t="s">
        <v>1151</v>
      </c>
      <c r="B914" s="3">
        <v>45714</v>
      </c>
      <c r="C914" t="s">
        <v>19</v>
      </c>
      <c r="D914" t="s">
        <v>307</v>
      </c>
      <c r="E914" t="s">
        <v>73</v>
      </c>
      <c r="F914" t="s">
        <v>21</v>
      </c>
      <c r="G914" t="s">
        <v>22</v>
      </c>
      <c r="H914">
        <v>2</v>
      </c>
      <c r="I914">
        <v>237</v>
      </c>
      <c r="J914">
        <v>0.05</v>
      </c>
      <c r="K914">
        <v>450.29999999999995</v>
      </c>
      <c r="L914">
        <v>58.91</v>
      </c>
    </row>
    <row r="915" spans="1:12" x14ac:dyDescent="0.3">
      <c r="A915" t="s">
        <v>1152</v>
      </c>
      <c r="B915" s="3">
        <v>45724</v>
      </c>
      <c r="C915" t="s">
        <v>368</v>
      </c>
      <c r="D915" t="s">
        <v>20</v>
      </c>
      <c r="E915" t="s">
        <v>15</v>
      </c>
      <c r="F915" t="s">
        <v>27</v>
      </c>
      <c r="G915" t="s">
        <v>31</v>
      </c>
      <c r="H915">
        <v>1</v>
      </c>
      <c r="I915">
        <v>5945</v>
      </c>
      <c r="J915">
        <v>0.1</v>
      </c>
      <c r="K915">
        <v>5350.5</v>
      </c>
      <c r="L915">
        <v>638.03</v>
      </c>
    </row>
    <row r="916" spans="1:12" x14ac:dyDescent="0.3">
      <c r="A916" t="s">
        <v>1153</v>
      </c>
      <c r="B916" s="3">
        <v>45838</v>
      </c>
      <c r="C916" t="s">
        <v>123</v>
      </c>
      <c r="D916" t="s">
        <v>120</v>
      </c>
      <c r="E916" t="s">
        <v>51</v>
      </c>
      <c r="F916" t="s">
        <v>58</v>
      </c>
      <c r="G916" t="s">
        <v>59</v>
      </c>
      <c r="H916">
        <v>1</v>
      </c>
      <c r="I916">
        <v>581</v>
      </c>
      <c r="J916">
        <v>0.05</v>
      </c>
      <c r="K916">
        <v>551.94999999999993</v>
      </c>
      <c r="L916">
        <v>117.43</v>
      </c>
    </row>
    <row r="917" spans="1:12" x14ac:dyDescent="0.3">
      <c r="A917" t="s">
        <v>1154</v>
      </c>
      <c r="B917" s="3">
        <v>45843</v>
      </c>
      <c r="C917" t="s">
        <v>248</v>
      </c>
      <c r="D917" t="s">
        <v>30</v>
      </c>
      <c r="E917" t="s">
        <v>15</v>
      </c>
      <c r="F917" t="s">
        <v>21</v>
      </c>
      <c r="G917" t="s">
        <v>35</v>
      </c>
      <c r="H917">
        <v>1</v>
      </c>
      <c r="I917">
        <v>4719</v>
      </c>
      <c r="J917">
        <v>0.2</v>
      </c>
      <c r="K917">
        <v>3775.2000000000003</v>
      </c>
      <c r="L917">
        <v>461.11</v>
      </c>
    </row>
    <row r="918" spans="1:12" x14ac:dyDescent="0.3">
      <c r="A918" t="s">
        <v>1155</v>
      </c>
      <c r="B918" s="3">
        <v>46003</v>
      </c>
      <c r="C918" t="s">
        <v>266</v>
      </c>
      <c r="D918" t="s">
        <v>120</v>
      </c>
      <c r="E918" t="s">
        <v>51</v>
      </c>
      <c r="F918" t="s">
        <v>58</v>
      </c>
      <c r="G918" t="s">
        <v>126</v>
      </c>
      <c r="H918">
        <v>1</v>
      </c>
      <c r="I918">
        <v>642</v>
      </c>
      <c r="J918">
        <v>0.1</v>
      </c>
      <c r="K918">
        <v>577.80000000000007</v>
      </c>
      <c r="L918">
        <v>85.48</v>
      </c>
    </row>
    <row r="919" spans="1:12" x14ac:dyDescent="0.3">
      <c r="A919" t="s">
        <v>1156</v>
      </c>
      <c r="B919" s="3">
        <v>45886</v>
      </c>
      <c r="C919" t="s">
        <v>13</v>
      </c>
      <c r="D919" t="s">
        <v>97</v>
      </c>
      <c r="E919" t="s">
        <v>44</v>
      </c>
      <c r="F919" t="s">
        <v>16</v>
      </c>
      <c r="G919" t="s">
        <v>52</v>
      </c>
      <c r="H919">
        <v>1</v>
      </c>
      <c r="I919">
        <v>760</v>
      </c>
      <c r="J919">
        <v>0.05</v>
      </c>
      <c r="K919">
        <v>722</v>
      </c>
      <c r="L919">
        <v>96.44</v>
      </c>
    </row>
    <row r="920" spans="1:12" x14ac:dyDescent="0.3">
      <c r="A920" t="s">
        <v>1157</v>
      </c>
      <c r="B920" s="3">
        <v>45973</v>
      </c>
      <c r="C920" t="s">
        <v>300</v>
      </c>
      <c r="D920" t="s">
        <v>47</v>
      </c>
      <c r="E920" t="s">
        <v>26</v>
      </c>
      <c r="F920" t="s">
        <v>16</v>
      </c>
      <c r="G920" t="s">
        <v>17</v>
      </c>
      <c r="H920">
        <v>5</v>
      </c>
      <c r="I920">
        <v>21411</v>
      </c>
      <c r="J920">
        <v>0.05</v>
      </c>
      <c r="K920">
        <v>101702.25</v>
      </c>
      <c r="L920">
        <v>28401.31</v>
      </c>
    </row>
    <row r="921" spans="1:12" x14ac:dyDescent="0.3">
      <c r="A921" t="s">
        <v>1158</v>
      </c>
      <c r="B921" s="3">
        <v>45701</v>
      </c>
      <c r="C921" t="s">
        <v>161</v>
      </c>
      <c r="D921" t="s">
        <v>14</v>
      </c>
      <c r="E921" t="s">
        <v>15</v>
      </c>
      <c r="F921" t="s">
        <v>16</v>
      </c>
      <c r="G921" t="s">
        <v>104</v>
      </c>
      <c r="H921">
        <v>1</v>
      </c>
      <c r="I921">
        <v>10602</v>
      </c>
      <c r="J921">
        <v>0.15</v>
      </c>
      <c r="K921">
        <v>9011.6999999999989</v>
      </c>
      <c r="L921">
        <v>1893.88</v>
      </c>
    </row>
    <row r="922" spans="1:12" x14ac:dyDescent="0.3">
      <c r="A922" t="s">
        <v>1159</v>
      </c>
      <c r="B922" s="3">
        <v>45855</v>
      </c>
      <c r="C922" t="s">
        <v>61</v>
      </c>
      <c r="D922" t="s">
        <v>83</v>
      </c>
      <c r="E922" t="s">
        <v>73</v>
      </c>
      <c r="F922" t="s">
        <v>58</v>
      </c>
      <c r="G922" t="s">
        <v>126</v>
      </c>
      <c r="H922">
        <v>1</v>
      </c>
      <c r="I922">
        <v>263</v>
      </c>
      <c r="J922">
        <v>0.1</v>
      </c>
      <c r="K922">
        <v>236.70000000000002</v>
      </c>
      <c r="L922">
        <v>52.02</v>
      </c>
    </row>
    <row r="923" spans="1:12" x14ac:dyDescent="0.3">
      <c r="A923" t="s">
        <v>1160</v>
      </c>
      <c r="B923" s="3">
        <v>45734</v>
      </c>
      <c r="C923" t="s">
        <v>535</v>
      </c>
      <c r="D923" t="s">
        <v>307</v>
      </c>
      <c r="E923" t="s">
        <v>73</v>
      </c>
      <c r="F923" t="s">
        <v>58</v>
      </c>
      <c r="G923" t="s">
        <v>59</v>
      </c>
      <c r="H923">
        <v>2</v>
      </c>
      <c r="I923">
        <v>207</v>
      </c>
      <c r="J923">
        <v>0</v>
      </c>
      <c r="K923">
        <v>414</v>
      </c>
      <c r="L923">
        <v>69.510000000000005</v>
      </c>
    </row>
    <row r="924" spans="1:12" x14ac:dyDescent="0.3">
      <c r="A924" t="s">
        <v>1161</v>
      </c>
      <c r="B924" s="3">
        <v>45905</v>
      </c>
      <c r="C924" t="s">
        <v>389</v>
      </c>
      <c r="D924" t="s">
        <v>83</v>
      </c>
      <c r="E924" t="s">
        <v>73</v>
      </c>
      <c r="F924" t="s">
        <v>58</v>
      </c>
      <c r="G924" t="s">
        <v>69</v>
      </c>
      <c r="H924">
        <v>5</v>
      </c>
      <c r="I924">
        <v>640</v>
      </c>
      <c r="J924">
        <v>0.15</v>
      </c>
      <c r="K924">
        <v>2720</v>
      </c>
      <c r="L924">
        <v>277.08999999999997</v>
      </c>
    </row>
    <row r="925" spans="1:12" x14ac:dyDescent="0.3">
      <c r="A925" t="s">
        <v>1162</v>
      </c>
      <c r="B925" s="3">
        <v>45920</v>
      </c>
      <c r="C925" t="s">
        <v>326</v>
      </c>
      <c r="D925" t="s">
        <v>25</v>
      </c>
      <c r="E925" t="s">
        <v>26</v>
      </c>
      <c r="F925" t="s">
        <v>21</v>
      </c>
      <c r="G925" t="s">
        <v>35</v>
      </c>
      <c r="H925">
        <v>2</v>
      </c>
      <c r="I925">
        <v>16405</v>
      </c>
      <c r="J925">
        <v>0.2</v>
      </c>
      <c r="K925">
        <v>26248</v>
      </c>
      <c r="L925">
        <v>4225.1899999999996</v>
      </c>
    </row>
    <row r="926" spans="1:12" x14ac:dyDescent="0.3">
      <c r="A926" t="s">
        <v>1163</v>
      </c>
      <c r="B926" s="3">
        <v>45951</v>
      </c>
      <c r="C926" t="s">
        <v>87</v>
      </c>
      <c r="D926" t="s">
        <v>97</v>
      </c>
      <c r="E926" t="s">
        <v>44</v>
      </c>
      <c r="F926" t="s">
        <v>58</v>
      </c>
      <c r="G926" t="s">
        <v>126</v>
      </c>
      <c r="H926">
        <v>2</v>
      </c>
      <c r="I926">
        <v>1149</v>
      </c>
      <c r="J926">
        <v>0.05</v>
      </c>
      <c r="K926">
        <v>2183.1</v>
      </c>
      <c r="L926">
        <v>317.39999999999998</v>
      </c>
    </row>
    <row r="927" spans="1:12" x14ac:dyDescent="0.3">
      <c r="A927" t="s">
        <v>1164</v>
      </c>
      <c r="B927" s="3">
        <v>45830</v>
      </c>
      <c r="C927" t="s">
        <v>371</v>
      </c>
      <c r="D927" t="s">
        <v>43</v>
      </c>
      <c r="E927" t="s">
        <v>44</v>
      </c>
      <c r="F927" t="s">
        <v>21</v>
      </c>
      <c r="G927" t="s">
        <v>35</v>
      </c>
      <c r="H927">
        <v>1</v>
      </c>
      <c r="I927">
        <v>435</v>
      </c>
      <c r="J927">
        <v>0.1</v>
      </c>
      <c r="K927">
        <v>391.5</v>
      </c>
      <c r="L927">
        <v>95.57</v>
      </c>
    </row>
    <row r="928" spans="1:12" x14ac:dyDescent="0.3">
      <c r="A928" t="s">
        <v>1165</v>
      </c>
      <c r="B928" s="3">
        <v>45772</v>
      </c>
      <c r="C928" t="s">
        <v>217</v>
      </c>
      <c r="D928" t="s">
        <v>92</v>
      </c>
      <c r="E928" t="s">
        <v>51</v>
      </c>
      <c r="F928" t="s">
        <v>58</v>
      </c>
      <c r="G928" t="s">
        <v>59</v>
      </c>
      <c r="H928">
        <v>3</v>
      </c>
      <c r="I928">
        <v>19525</v>
      </c>
      <c r="J928">
        <v>0.2</v>
      </c>
      <c r="K928">
        <v>46860</v>
      </c>
      <c r="L928">
        <v>12474.98</v>
      </c>
    </row>
    <row r="929" spans="1:12" x14ac:dyDescent="0.3">
      <c r="A929" t="s">
        <v>1166</v>
      </c>
      <c r="B929" s="3">
        <v>45798</v>
      </c>
      <c r="C929" t="s">
        <v>650</v>
      </c>
      <c r="D929" t="s">
        <v>47</v>
      </c>
      <c r="E929" t="s">
        <v>26</v>
      </c>
      <c r="F929" t="s">
        <v>27</v>
      </c>
      <c r="G929" t="s">
        <v>28</v>
      </c>
      <c r="H929">
        <v>2</v>
      </c>
      <c r="I929">
        <v>11084</v>
      </c>
      <c r="J929">
        <v>0.05</v>
      </c>
      <c r="K929">
        <v>21059.599999999999</v>
      </c>
      <c r="L929">
        <v>5205.66</v>
      </c>
    </row>
    <row r="930" spans="1:12" x14ac:dyDescent="0.3">
      <c r="A930" t="s">
        <v>1167</v>
      </c>
      <c r="B930" s="3">
        <v>45824</v>
      </c>
      <c r="C930" t="s">
        <v>37</v>
      </c>
      <c r="D930" t="s">
        <v>65</v>
      </c>
      <c r="E930" t="s">
        <v>26</v>
      </c>
      <c r="F930" t="s">
        <v>21</v>
      </c>
      <c r="G930" t="s">
        <v>35</v>
      </c>
      <c r="H930">
        <v>1</v>
      </c>
      <c r="I930">
        <v>3928</v>
      </c>
      <c r="J930">
        <v>0.15</v>
      </c>
      <c r="K930">
        <v>3338.7999999999997</v>
      </c>
      <c r="L930">
        <v>462.37</v>
      </c>
    </row>
    <row r="931" spans="1:12" x14ac:dyDescent="0.3">
      <c r="A931" t="s">
        <v>1168</v>
      </c>
      <c r="B931" s="3">
        <v>45878</v>
      </c>
      <c r="C931" t="s">
        <v>266</v>
      </c>
      <c r="D931" t="s">
        <v>72</v>
      </c>
      <c r="E931" t="s">
        <v>73</v>
      </c>
      <c r="F931" t="s">
        <v>27</v>
      </c>
      <c r="G931" t="s">
        <v>28</v>
      </c>
      <c r="H931">
        <v>1</v>
      </c>
      <c r="I931">
        <v>991</v>
      </c>
      <c r="J931">
        <v>0.05</v>
      </c>
      <c r="K931">
        <v>941.44999999999993</v>
      </c>
      <c r="L931">
        <v>231.53</v>
      </c>
    </row>
    <row r="932" spans="1:12" x14ac:dyDescent="0.3">
      <c r="A932" t="s">
        <v>1169</v>
      </c>
      <c r="B932" s="3">
        <v>45880</v>
      </c>
      <c r="C932" t="s">
        <v>67</v>
      </c>
      <c r="D932" t="s">
        <v>92</v>
      </c>
      <c r="E932" t="s">
        <v>51</v>
      </c>
      <c r="F932" t="s">
        <v>27</v>
      </c>
      <c r="G932" t="s">
        <v>28</v>
      </c>
      <c r="H932">
        <v>1</v>
      </c>
      <c r="I932">
        <v>19810</v>
      </c>
      <c r="J932">
        <v>0.1</v>
      </c>
      <c r="K932">
        <v>17829</v>
      </c>
      <c r="L932">
        <v>2257.31</v>
      </c>
    </row>
    <row r="933" spans="1:12" x14ac:dyDescent="0.3">
      <c r="A933" t="s">
        <v>1170</v>
      </c>
      <c r="B933" s="3">
        <v>45694</v>
      </c>
      <c r="C933" t="s">
        <v>13</v>
      </c>
      <c r="D933" t="s">
        <v>72</v>
      </c>
      <c r="E933" t="s">
        <v>73</v>
      </c>
      <c r="F933" t="s">
        <v>27</v>
      </c>
      <c r="G933" t="s">
        <v>31</v>
      </c>
      <c r="H933">
        <v>1</v>
      </c>
      <c r="I933">
        <v>935</v>
      </c>
      <c r="J933">
        <v>0.1</v>
      </c>
      <c r="K933">
        <v>841.5</v>
      </c>
      <c r="L933">
        <v>217.8</v>
      </c>
    </row>
    <row r="934" spans="1:12" x14ac:dyDescent="0.3">
      <c r="A934" t="s">
        <v>1171</v>
      </c>
      <c r="B934" s="3">
        <v>45676</v>
      </c>
      <c r="C934" t="s">
        <v>315</v>
      </c>
      <c r="D934" t="s">
        <v>97</v>
      </c>
      <c r="E934" t="s">
        <v>44</v>
      </c>
      <c r="F934" t="s">
        <v>27</v>
      </c>
      <c r="G934" t="s">
        <v>40</v>
      </c>
      <c r="H934">
        <v>5</v>
      </c>
      <c r="I934">
        <v>841</v>
      </c>
      <c r="J934">
        <v>0.1</v>
      </c>
      <c r="K934">
        <v>3784.5</v>
      </c>
      <c r="L934">
        <v>528.35</v>
      </c>
    </row>
    <row r="935" spans="1:12" x14ac:dyDescent="0.3">
      <c r="A935" t="s">
        <v>1172</v>
      </c>
      <c r="B935" s="3">
        <v>45993</v>
      </c>
      <c r="C935" t="s">
        <v>792</v>
      </c>
      <c r="D935" t="s">
        <v>50</v>
      </c>
      <c r="E935" t="s">
        <v>51</v>
      </c>
      <c r="F935" t="s">
        <v>21</v>
      </c>
      <c r="G935" t="s">
        <v>35</v>
      </c>
      <c r="H935">
        <v>2</v>
      </c>
      <c r="I935">
        <v>2783</v>
      </c>
      <c r="J935">
        <v>0.05</v>
      </c>
      <c r="K935">
        <v>5287.7</v>
      </c>
      <c r="L935">
        <v>1184.55</v>
      </c>
    </row>
    <row r="936" spans="1:12" x14ac:dyDescent="0.3">
      <c r="A936" t="s">
        <v>1173</v>
      </c>
      <c r="B936" s="3">
        <v>45958</v>
      </c>
      <c r="C936" t="s">
        <v>180</v>
      </c>
      <c r="D936" t="s">
        <v>80</v>
      </c>
      <c r="E936" t="s">
        <v>51</v>
      </c>
      <c r="F936" t="s">
        <v>21</v>
      </c>
      <c r="G936" t="s">
        <v>35</v>
      </c>
      <c r="H936">
        <v>1</v>
      </c>
      <c r="I936">
        <v>74227</v>
      </c>
      <c r="J936">
        <v>0.1</v>
      </c>
      <c r="K936">
        <v>66804.3</v>
      </c>
      <c r="L936">
        <v>6335.4</v>
      </c>
    </row>
    <row r="937" spans="1:12" x14ac:dyDescent="0.3">
      <c r="A937" t="s">
        <v>1174</v>
      </c>
      <c r="B937" s="3">
        <v>45834</v>
      </c>
      <c r="C937" t="s">
        <v>194</v>
      </c>
      <c r="D937" t="s">
        <v>97</v>
      </c>
      <c r="E937" t="s">
        <v>44</v>
      </c>
      <c r="F937" t="s">
        <v>16</v>
      </c>
      <c r="G937" t="s">
        <v>104</v>
      </c>
      <c r="H937">
        <v>1</v>
      </c>
      <c r="I937">
        <v>1191</v>
      </c>
      <c r="J937">
        <v>0</v>
      </c>
      <c r="K937">
        <v>1191</v>
      </c>
      <c r="L937">
        <v>98.09</v>
      </c>
    </row>
    <row r="938" spans="1:12" x14ac:dyDescent="0.3">
      <c r="A938" t="s">
        <v>1175</v>
      </c>
      <c r="B938" s="3">
        <v>45995</v>
      </c>
      <c r="C938" t="s">
        <v>463</v>
      </c>
      <c r="D938" t="s">
        <v>88</v>
      </c>
      <c r="E938" t="s">
        <v>73</v>
      </c>
      <c r="F938" t="s">
        <v>21</v>
      </c>
      <c r="G938" t="s">
        <v>22</v>
      </c>
      <c r="H938">
        <v>3</v>
      </c>
      <c r="I938">
        <v>256</v>
      </c>
      <c r="J938">
        <v>0.2</v>
      </c>
      <c r="K938">
        <v>614.40000000000009</v>
      </c>
      <c r="L938">
        <v>152.44999999999999</v>
      </c>
    </row>
    <row r="939" spans="1:12" x14ac:dyDescent="0.3">
      <c r="A939" t="s">
        <v>1176</v>
      </c>
      <c r="B939" s="3">
        <v>45792</v>
      </c>
      <c r="C939" t="s">
        <v>650</v>
      </c>
      <c r="D939" t="s">
        <v>88</v>
      </c>
      <c r="E939" t="s">
        <v>73</v>
      </c>
      <c r="F939" t="s">
        <v>27</v>
      </c>
      <c r="G939" t="s">
        <v>28</v>
      </c>
      <c r="H939">
        <v>2</v>
      </c>
      <c r="I939">
        <v>248</v>
      </c>
      <c r="J939">
        <v>0.2</v>
      </c>
      <c r="K939">
        <v>396.8</v>
      </c>
      <c r="L939">
        <v>98.45</v>
      </c>
    </row>
    <row r="940" spans="1:12" x14ac:dyDescent="0.3">
      <c r="A940" t="s">
        <v>1177</v>
      </c>
      <c r="B940" s="3">
        <v>45886</v>
      </c>
      <c r="C940" t="s">
        <v>516</v>
      </c>
      <c r="D940" t="s">
        <v>120</v>
      </c>
      <c r="E940" t="s">
        <v>51</v>
      </c>
      <c r="F940" t="s">
        <v>58</v>
      </c>
      <c r="G940" t="s">
        <v>126</v>
      </c>
      <c r="H940">
        <v>5</v>
      </c>
      <c r="I940">
        <v>1188</v>
      </c>
      <c r="J940">
        <v>0.15</v>
      </c>
      <c r="K940">
        <v>5049</v>
      </c>
      <c r="L940">
        <v>975.33</v>
      </c>
    </row>
    <row r="941" spans="1:12" x14ac:dyDescent="0.3">
      <c r="A941" t="s">
        <v>1178</v>
      </c>
      <c r="B941" s="3">
        <v>45707</v>
      </c>
      <c r="C941" t="s">
        <v>563</v>
      </c>
      <c r="D941" t="s">
        <v>83</v>
      </c>
      <c r="E941" t="s">
        <v>73</v>
      </c>
      <c r="F941" t="s">
        <v>58</v>
      </c>
      <c r="G941" t="s">
        <v>69</v>
      </c>
      <c r="H941">
        <v>1</v>
      </c>
      <c r="I941">
        <v>345</v>
      </c>
      <c r="J941">
        <v>0.05</v>
      </c>
      <c r="K941">
        <v>327.75</v>
      </c>
      <c r="L941">
        <v>33.61</v>
      </c>
    </row>
    <row r="942" spans="1:12" x14ac:dyDescent="0.3">
      <c r="A942" t="s">
        <v>1179</v>
      </c>
      <c r="B942" s="3">
        <v>45703</v>
      </c>
      <c r="C942" t="s">
        <v>389</v>
      </c>
      <c r="D942" t="s">
        <v>47</v>
      </c>
      <c r="E942" t="s">
        <v>26</v>
      </c>
      <c r="F942" t="s">
        <v>21</v>
      </c>
      <c r="G942" t="s">
        <v>55</v>
      </c>
      <c r="H942">
        <v>5</v>
      </c>
      <c r="I942">
        <v>17010</v>
      </c>
      <c r="J942">
        <v>0</v>
      </c>
      <c r="K942">
        <v>85050</v>
      </c>
      <c r="L942">
        <v>12359.84</v>
      </c>
    </row>
    <row r="943" spans="1:12" x14ac:dyDescent="0.3">
      <c r="A943" t="s">
        <v>1180</v>
      </c>
      <c r="B943" s="3">
        <v>45929</v>
      </c>
      <c r="C943" t="s">
        <v>172</v>
      </c>
      <c r="D943" t="s">
        <v>25</v>
      </c>
      <c r="E943" t="s">
        <v>26</v>
      </c>
      <c r="F943" t="s">
        <v>58</v>
      </c>
      <c r="G943" t="s">
        <v>126</v>
      </c>
      <c r="H943">
        <v>1</v>
      </c>
      <c r="I943">
        <v>10269</v>
      </c>
      <c r="J943">
        <v>0</v>
      </c>
      <c r="K943">
        <v>10269</v>
      </c>
      <c r="L943">
        <v>2374.12</v>
      </c>
    </row>
    <row r="944" spans="1:12" x14ac:dyDescent="0.3">
      <c r="A944" t="s">
        <v>1181</v>
      </c>
      <c r="B944" s="3">
        <v>45835</v>
      </c>
      <c r="C944" t="s">
        <v>328</v>
      </c>
      <c r="D944" t="s">
        <v>80</v>
      </c>
      <c r="E944" t="s">
        <v>51</v>
      </c>
      <c r="F944" t="s">
        <v>21</v>
      </c>
      <c r="G944" t="s">
        <v>55</v>
      </c>
      <c r="H944">
        <v>1</v>
      </c>
      <c r="I944">
        <v>47930</v>
      </c>
      <c r="J944">
        <v>0.15</v>
      </c>
      <c r="K944">
        <v>40740.5</v>
      </c>
      <c r="L944">
        <v>9389.9500000000007</v>
      </c>
    </row>
    <row r="945" spans="1:12" x14ac:dyDescent="0.3">
      <c r="A945" t="s">
        <v>1182</v>
      </c>
      <c r="B945" s="3">
        <v>45698</v>
      </c>
      <c r="C945" t="s">
        <v>251</v>
      </c>
      <c r="D945" t="s">
        <v>83</v>
      </c>
      <c r="E945" t="s">
        <v>73</v>
      </c>
      <c r="F945" t="s">
        <v>16</v>
      </c>
      <c r="G945" t="s">
        <v>52</v>
      </c>
      <c r="H945">
        <v>2</v>
      </c>
      <c r="I945">
        <v>275</v>
      </c>
      <c r="J945">
        <v>0.1</v>
      </c>
      <c r="K945">
        <v>495</v>
      </c>
      <c r="L945">
        <v>116.61</v>
      </c>
    </row>
    <row r="946" spans="1:12" x14ac:dyDescent="0.3">
      <c r="A946" t="s">
        <v>1183</v>
      </c>
      <c r="B946" s="3">
        <v>45865</v>
      </c>
      <c r="C946" t="s">
        <v>270</v>
      </c>
      <c r="D946" t="s">
        <v>34</v>
      </c>
      <c r="E946" t="s">
        <v>15</v>
      </c>
      <c r="F946" t="s">
        <v>58</v>
      </c>
      <c r="G946" t="s">
        <v>59</v>
      </c>
      <c r="H946">
        <v>3</v>
      </c>
      <c r="I946">
        <v>22044</v>
      </c>
      <c r="J946">
        <v>0.05</v>
      </c>
      <c r="K946">
        <v>62825.399999999994</v>
      </c>
      <c r="L946">
        <v>14636.8</v>
      </c>
    </row>
    <row r="947" spans="1:12" x14ac:dyDescent="0.3">
      <c r="A947" t="s">
        <v>1184</v>
      </c>
      <c r="B947" s="3">
        <v>45867</v>
      </c>
      <c r="C947" t="s">
        <v>485</v>
      </c>
      <c r="D947" t="s">
        <v>25</v>
      </c>
      <c r="E947" t="s">
        <v>26</v>
      </c>
      <c r="F947" t="s">
        <v>21</v>
      </c>
      <c r="G947" t="s">
        <v>22</v>
      </c>
      <c r="H947">
        <v>2</v>
      </c>
      <c r="I947">
        <v>12935</v>
      </c>
      <c r="J947">
        <v>0.15</v>
      </c>
      <c r="K947">
        <v>21989.5</v>
      </c>
      <c r="L947">
        <v>6001.77</v>
      </c>
    </row>
    <row r="948" spans="1:12" x14ac:dyDescent="0.3">
      <c r="A948" t="s">
        <v>1185</v>
      </c>
      <c r="B948" s="3">
        <v>45885</v>
      </c>
      <c r="C948" t="s">
        <v>201</v>
      </c>
      <c r="D948" t="s">
        <v>50</v>
      </c>
      <c r="E948" t="s">
        <v>51</v>
      </c>
      <c r="F948" t="s">
        <v>16</v>
      </c>
      <c r="G948" t="s">
        <v>17</v>
      </c>
      <c r="H948">
        <v>2</v>
      </c>
      <c r="I948">
        <v>2103</v>
      </c>
      <c r="J948">
        <v>0</v>
      </c>
      <c r="K948">
        <v>4206</v>
      </c>
      <c r="L948">
        <v>982.6</v>
      </c>
    </row>
    <row r="949" spans="1:12" x14ac:dyDescent="0.3">
      <c r="A949" t="s">
        <v>1186</v>
      </c>
      <c r="B949" s="3">
        <v>45987</v>
      </c>
      <c r="C949" t="s">
        <v>516</v>
      </c>
      <c r="D949" t="s">
        <v>120</v>
      </c>
      <c r="E949" t="s">
        <v>51</v>
      </c>
      <c r="F949" t="s">
        <v>27</v>
      </c>
      <c r="G949" t="s">
        <v>28</v>
      </c>
      <c r="H949">
        <v>3</v>
      </c>
      <c r="I949">
        <v>655</v>
      </c>
      <c r="J949">
        <v>0.2</v>
      </c>
      <c r="K949">
        <v>1572</v>
      </c>
      <c r="L949">
        <v>308.87</v>
      </c>
    </row>
    <row r="950" spans="1:12" x14ac:dyDescent="0.3">
      <c r="A950" t="s">
        <v>1187</v>
      </c>
      <c r="B950" s="3">
        <v>45741</v>
      </c>
      <c r="C950" t="s">
        <v>54</v>
      </c>
      <c r="D950" t="s">
        <v>47</v>
      </c>
      <c r="E950" t="s">
        <v>26</v>
      </c>
      <c r="F950" t="s">
        <v>27</v>
      </c>
      <c r="G950" t="s">
        <v>28</v>
      </c>
      <c r="H950">
        <v>3</v>
      </c>
      <c r="I950">
        <v>8500</v>
      </c>
      <c r="J950">
        <v>0</v>
      </c>
      <c r="K950">
        <v>25500</v>
      </c>
      <c r="L950">
        <v>4898.03</v>
      </c>
    </row>
    <row r="951" spans="1:12" x14ac:dyDescent="0.3">
      <c r="A951" t="s">
        <v>1188</v>
      </c>
      <c r="B951" s="3">
        <v>45711</v>
      </c>
      <c r="C951" t="s">
        <v>401</v>
      </c>
      <c r="D951" t="s">
        <v>120</v>
      </c>
      <c r="E951" t="s">
        <v>51</v>
      </c>
      <c r="F951" t="s">
        <v>16</v>
      </c>
      <c r="G951" t="s">
        <v>17</v>
      </c>
      <c r="H951">
        <v>3</v>
      </c>
      <c r="I951">
        <v>1367</v>
      </c>
      <c r="J951">
        <v>0.15</v>
      </c>
      <c r="K951">
        <v>3485.85</v>
      </c>
      <c r="L951">
        <v>302.17</v>
      </c>
    </row>
    <row r="952" spans="1:12" x14ac:dyDescent="0.3">
      <c r="A952" t="s">
        <v>1189</v>
      </c>
      <c r="B952" s="3">
        <v>45822</v>
      </c>
      <c r="C952" t="s">
        <v>238</v>
      </c>
      <c r="D952" t="s">
        <v>92</v>
      </c>
      <c r="E952" t="s">
        <v>51</v>
      </c>
      <c r="F952" t="s">
        <v>21</v>
      </c>
      <c r="G952" t="s">
        <v>22</v>
      </c>
      <c r="H952">
        <v>1</v>
      </c>
      <c r="I952">
        <v>20124</v>
      </c>
      <c r="J952">
        <v>0</v>
      </c>
      <c r="K952">
        <v>20124</v>
      </c>
      <c r="L952">
        <v>4184.8900000000003</v>
      </c>
    </row>
    <row r="953" spans="1:12" x14ac:dyDescent="0.3">
      <c r="A953" t="s">
        <v>1190</v>
      </c>
      <c r="B953" s="3">
        <v>45697</v>
      </c>
      <c r="C953" t="s">
        <v>403</v>
      </c>
      <c r="D953" t="s">
        <v>153</v>
      </c>
      <c r="E953" t="s">
        <v>26</v>
      </c>
      <c r="F953" t="s">
        <v>58</v>
      </c>
      <c r="G953" t="s">
        <v>69</v>
      </c>
      <c r="H953">
        <v>1</v>
      </c>
      <c r="I953">
        <v>5662</v>
      </c>
      <c r="J953">
        <v>0.1</v>
      </c>
      <c r="K953">
        <v>5095.8</v>
      </c>
      <c r="L953">
        <v>879.22</v>
      </c>
    </row>
    <row r="954" spans="1:12" x14ac:dyDescent="0.3">
      <c r="A954" t="s">
        <v>1191</v>
      </c>
      <c r="B954" s="3">
        <v>46003</v>
      </c>
      <c r="C954" t="s">
        <v>79</v>
      </c>
      <c r="D954" t="s">
        <v>50</v>
      </c>
      <c r="E954" t="s">
        <v>51</v>
      </c>
      <c r="F954" t="s">
        <v>21</v>
      </c>
      <c r="G954" t="s">
        <v>35</v>
      </c>
      <c r="H954">
        <v>1</v>
      </c>
      <c r="I954">
        <v>3161</v>
      </c>
      <c r="J954">
        <v>0.1</v>
      </c>
      <c r="K954">
        <v>2844.9</v>
      </c>
      <c r="L954">
        <v>521.44000000000005</v>
      </c>
    </row>
    <row r="955" spans="1:12" x14ac:dyDescent="0.3">
      <c r="A955" t="s">
        <v>1192</v>
      </c>
      <c r="B955" s="3">
        <v>45713</v>
      </c>
      <c r="C955" t="s">
        <v>194</v>
      </c>
      <c r="D955" t="s">
        <v>307</v>
      </c>
      <c r="E955" t="s">
        <v>73</v>
      </c>
      <c r="F955" t="s">
        <v>21</v>
      </c>
      <c r="G955" t="s">
        <v>35</v>
      </c>
      <c r="H955">
        <v>3</v>
      </c>
      <c r="I955">
        <v>191</v>
      </c>
      <c r="J955">
        <v>0.05</v>
      </c>
      <c r="K955">
        <v>544.35</v>
      </c>
      <c r="L955">
        <v>108.81</v>
      </c>
    </row>
    <row r="956" spans="1:12" x14ac:dyDescent="0.3">
      <c r="A956" t="s">
        <v>1193</v>
      </c>
      <c r="B956" s="3">
        <v>45906</v>
      </c>
      <c r="C956" t="s">
        <v>278</v>
      </c>
      <c r="D956" t="s">
        <v>103</v>
      </c>
      <c r="E956" t="s">
        <v>51</v>
      </c>
      <c r="F956" t="s">
        <v>27</v>
      </c>
      <c r="G956" t="s">
        <v>40</v>
      </c>
      <c r="H956">
        <v>2</v>
      </c>
      <c r="I956">
        <v>7560</v>
      </c>
      <c r="J956">
        <v>0.2</v>
      </c>
      <c r="K956">
        <v>12096</v>
      </c>
      <c r="L956">
        <v>2224.21</v>
      </c>
    </row>
    <row r="957" spans="1:12" x14ac:dyDescent="0.3">
      <c r="A957" t="s">
        <v>1194</v>
      </c>
      <c r="B957" s="3">
        <v>45675</v>
      </c>
      <c r="C957" t="s">
        <v>100</v>
      </c>
      <c r="D957" t="s">
        <v>307</v>
      </c>
      <c r="E957" t="s">
        <v>73</v>
      </c>
      <c r="F957" t="s">
        <v>58</v>
      </c>
      <c r="G957" t="s">
        <v>126</v>
      </c>
      <c r="H957">
        <v>4</v>
      </c>
      <c r="I957">
        <v>153</v>
      </c>
      <c r="J957">
        <v>0.1</v>
      </c>
      <c r="K957">
        <v>550.80000000000007</v>
      </c>
      <c r="L957">
        <v>53.73</v>
      </c>
    </row>
    <row r="958" spans="1:12" x14ac:dyDescent="0.3">
      <c r="A958" t="s">
        <v>1195</v>
      </c>
      <c r="B958" s="3">
        <v>45674</v>
      </c>
      <c r="C958" t="s">
        <v>535</v>
      </c>
      <c r="D958" t="s">
        <v>97</v>
      </c>
      <c r="E958" t="s">
        <v>44</v>
      </c>
      <c r="F958" t="s">
        <v>58</v>
      </c>
      <c r="G958" t="s">
        <v>59</v>
      </c>
      <c r="H958">
        <v>2</v>
      </c>
      <c r="I958">
        <v>999</v>
      </c>
      <c r="J958">
        <v>0.15</v>
      </c>
      <c r="K958">
        <v>1698.3</v>
      </c>
      <c r="L958">
        <v>355.97</v>
      </c>
    </row>
    <row r="959" spans="1:12" x14ac:dyDescent="0.3">
      <c r="A959" t="s">
        <v>1196</v>
      </c>
      <c r="B959" s="3">
        <v>45942</v>
      </c>
      <c r="C959" t="s">
        <v>719</v>
      </c>
      <c r="D959" t="s">
        <v>47</v>
      </c>
      <c r="E959" t="s">
        <v>26</v>
      </c>
      <c r="F959" t="s">
        <v>27</v>
      </c>
      <c r="G959" t="s">
        <v>28</v>
      </c>
      <c r="H959">
        <v>1</v>
      </c>
      <c r="I959">
        <v>12013</v>
      </c>
      <c r="J959">
        <v>0</v>
      </c>
      <c r="K959">
        <v>12013</v>
      </c>
      <c r="L959">
        <v>1780.44</v>
      </c>
    </row>
    <row r="960" spans="1:12" x14ac:dyDescent="0.3">
      <c r="A960" t="s">
        <v>1197</v>
      </c>
      <c r="B960" s="3">
        <v>45723</v>
      </c>
      <c r="C960" t="s">
        <v>191</v>
      </c>
      <c r="D960" t="s">
        <v>83</v>
      </c>
      <c r="E960" t="s">
        <v>73</v>
      </c>
      <c r="F960" t="s">
        <v>58</v>
      </c>
      <c r="G960" t="s">
        <v>69</v>
      </c>
      <c r="H960">
        <v>2</v>
      </c>
      <c r="I960">
        <v>437</v>
      </c>
      <c r="J960">
        <v>0.1</v>
      </c>
      <c r="K960">
        <v>786.6</v>
      </c>
      <c r="L960">
        <v>108.05</v>
      </c>
    </row>
    <row r="961" spans="1:12" x14ac:dyDescent="0.3">
      <c r="A961" t="s">
        <v>1198</v>
      </c>
      <c r="B961" s="3">
        <v>45910</v>
      </c>
      <c r="C961" t="s">
        <v>71</v>
      </c>
      <c r="D961" t="s">
        <v>153</v>
      </c>
      <c r="E961" t="s">
        <v>26</v>
      </c>
      <c r="F961" t="s">
        <v>27</v>
      </c>
      <c r="G961" t="s">
        <v>40</v>
      </c>
      <c r="H961">
        <v>2</v>
      </c>
      <c r="I961">
        <v>5440</v>
      </c>
      <c r="J961">
        <v>0.05</v>
      </c>
      <c r="K961">
        <v>10336</v>
      </c>
      <c r="L961">
        <v>2800.31</v>
      </c>
    </row>
    <row r="962" spans="1:12" x14ac:dyDescent="0.3">
      <c r="A962" t="s">
        <v>1199</v>
      </c>
      <c r="B962" s="3">
        <v>45970</v>
      </c>
      <c r="C962" t="s">
        <v>516</v>
      </c>
      <c r="D962" t="s">
        <v>97</v>
      </c>
      <c r="E962" t="s">
        <v>44</v>
      </c>
      <c r="F962" t="s">
        <v>16</v>
      </c>
      <c r="G962" t="s">
        <v>104</v>
      </c>
      <c r="H962">
        <v>1</v>
      </c>
      <c r="I962">
        <v>500</v>
      </c>
      <c r="J962">
        <v>0</v>
      </c>
      <c r="K962">
        <v>500</v>
      </c>
      <c r="L962">
        <v>52.31</v>
      </c>
    </row>
    <row r="963" spans="1:12" x14ac:dyDescent="0.3">
      <c r="A963" t="s">
        <v>1200</v>
      </c>
      <c r="B963" s="3">
        <v>46014</v>
      </c>
      <c r="C963" t="s">
        <v>215</v>
      </c>
      <c r="D963" t="s">
        <v>88</v>
      </c>
      <c r="E963" t="s">
        <v>73</v>
      </c>
      <c r="F963" t="s">
        <v>21</v>
      </c>
      <c r="G963" t="s">
        <v>35</v>
      </c>
      <c r="H963">
        <v>5</v>
      </c>
      <c r="I963">
        <v>224</v>
      </c>
      <c r="J963">
        <v>0.1</v>
      </c>
      <c r="K963">
        <v>1008</v>
      </c>
      <c r="L963">
        <v>250.87</v>
      </c>
    </row>
    <row r="964" spans="1:12" x14ac:dyDescent="0.3">
      <c r="A964" t="s">
        <v>1201</v>
      </c>
      <c r="B964" s="3">
        <v>45882</v>
      </c>
      <c r="C964" t="s">
        <v>147</v>
      </c>
      <c r="D964" t="s">
        <v>80</v>
      </c>
      <c r="E964" t="s">
        <v>51</v>
      </c>
      <c r="F964" t="s">
        <v>16</v>
      </c>
      <c r="G964" t="s">
        <v>104</v>
      </c>
      <c r="H964">
        <v>2</v>
      </c>
      <c r="I964">
        <v>59500</v>
      </c>
      <c r="J964">
        <v>0.1</v>
      </c>
      <c r="K964">
        <v>107100</v>
      </c>
      <c r="L964">
        <v>21942.06</v>
      </c>
    </row>
    <row r="965" spans="1:12" x14ac:dyDescent="0.3">
      <c r="A965" t="s">
        <v>1202</v>
      </c>
      <c r="B965" s="3">
        <v>45883</v>
      </c>
      <c r="C965" t="s">
        <v>136</v>
      </c>
      <c r="D965" t="s">
        <v>202</v>
      </c>
      <c r="E965" t="s">
        <v>44</v>
      </c>
      <c r="F965" t="s">
        <v>16</v>
      </c>
      <c r="G965" t="s">
        <v>104</v>
      </c>
      <c r="H965">
        <v>1</v>
      </c>
      <c r="I965">
        <v>2792</v>
      </c>
      <c r="J965">
        <v>0.05</v>
      </c>
      <c r="K965">
        <v>2652.4</v>
      </c>
      <c r="L965">
        <v>666.67</v>
      </c>
    </row>
    <row r="966" spans="1:12" x14ac:dyDescent="0.3">
      <c r="A966" t="s">
        <v>1203</v>
      </c>
      <c r="B966" s="3">
        <v>45817</v>
      </c>
      <c r="C966" t="s">
        <v>305</v>
      </c>
      <c r="D966" t="s">
        <v>120</v>
      </c>
      <c r="E966" t="s">
        <v>51</v>
      </c>
      <c r="F966" t="s">
        <v>58</v>
      </c>
      <c r="G966" t="s">
        <v>126</v>
      </c>
      <c r="H966">
        <v>1</v>
      </c>
      <c r="I966">
        <v>1865</v>
      </c>
      <c r="J966">
        <v>0</v>
      </c>
      <c r="K966">
        <v>1865</v>
      </c>
      <c r="L966">
        <v>346.23</v>
      </c>
    </row>
    <row r="967" spans="1:12" x14ac:dyDescent="0.3">
      <c r="A967" t="s">
        <v>1204</v>
      </c>
      <c r="B967" s="3">
        <v>45977</v>
      </c>
      <c r="C967" t="s">
        <v>382</v>
      </c>
      <c r="D967" t="s">
        <v>14</v>
      </c>
      <c r="E967" t="s">
        <v>15</v>
      </c>
      <c r="F967" t="s">
        <v>27</v>
      </c>
      <c r="G967" t="s">
        <v>40</v>
      </c>
      <c r="H967">
        <v>1</v>
      </c>
      <c r="I967">
        <v>16429</v>
      </c>
      <c r="J967">
        <v>0.1</v>
      </c>
      <c r="K967">
        <v>14786.1</v>
      </c>
      <c r="L967">
        <v>2482.61</v>
      </c>
    </row>
    <row r="968" spans="1:12" x14ac:dyDescent="0.3">
      <c r="A968" t="s">
        <v>1205</v>
      </c>
      <c r="B968" s="3">
        <v>45801</v>
      </c>
      <c r="C968" t="s">
        <v>113</v>
      </c>
      <c r="D968" t="s">
        <v>103</v>
      </c>
      <c r="E968" t="s">
        <v>51</v>
      </c>
      <c r="F968" t="s">
        <v>21</v>
      </c>
      <c r="G968" t="s">
        <v>22</v>
      </c>
      <c r="H968">
        <v>1</v>
      </c>
      <c r="I968">
        <v>8320</v>
      </c>
      <c r="J968">
        <v>0</v>
      </c>
      <c r="K968">
        <v>8320</v>
      </c>
      <c r="L968">
        <v>1740.14</v>
      </c>
    </row>
    <row r="969" spans="1:12" x14ac:dyDescent="0.3">
      <c r="A969" t="s">
        <v>1206</v>
      </c>
      <c r="B969" s="3">
        <v>45822</v>
      </c>
      <c r="C969" t="s">
        <v>187</v>
      </c>
      <c r="D969" t="s">
        <v>72</v>
      </c>
      <c r="E969" t="s">
        <v>73</v>
      </c>
      <c r="F969" t="s">
        <v>16</v>
      </c>
      <c r="G969" t="s">
        <v>17</v>
      </c>
      <c r="H969">
        <v>2</v>
      </c>
      <c r="I969">
        <v>640</v>
      </c>
      <c r="J969">
        <v>0.05</v>
      </c>
      <c r="K969">
        <v>1216</v>
      </c>
      <c r="L969">
        <v>130.44999999999999</v>
      </c>
    </row>
    <row r="970" spans="1:12" x14ac:dyDescent="0.3">
      <c r="A970" t="s">
        <v>1207</v>
      </c>
      <c r="B970" s="3">
        <v>45841</v>
      </c>
      <c r="C970" t="s">
        <v>705</v>
      </c>
      <c r="D970" t="s">
        <v>30</v>
      </c>
      <c r="E970" t="s">
        <v>15</v>
      </c>
      <c r="F970" t="s">
        <v>21</v>
      </c>
      <c r="G970" t="s">
        <v>55</v>
      </c>
      <c r="H970">
        <v>2</v>
      </c>
      <c r="I970">
        <v>7506</v>
      </c>
      <c r="J970">
        <v>0.25</v>
      </c>
      <c r="K970">
        <v>11259</v>
      </c>
      <c r="L970">
        <v>1336.93</v>
      </c>
    </row>
    <row r="971" spans="1:12" x14ac:dyDescent="0.3">
      <c r="A971" t="s">
        <v>1208</v>
      </c>
      <c r="B971" s="3">
        <v>45921</v>
      </c>
      <c r="C971" t="s">
        <v>170</v>
      </c>
      <c r="D971" t="s">
        <v>97</v>
      </c>
      <c r="E971" t="s">
        <v>44</v>
      </c>
      <c r="F971" t="s">
        <v>16</v>
      </c>
      <c r="G971" t="s">
        <v>104</v>
      </c>
      <c r="H971">
        <v>3</v>
      </c>
      <c r="I971">
        <v>962</v>
      </c>
      <c r="J971">
        <v>0.05</v>
      </c>
      <c r="K971">
        <v>2741.7</v>
      </c>
      <c r="L971">
        <v>554.29999999999995</v>
      </c>
    </row>
    <row r="972" spans="1:12" x14ac:dyDescent="0.3">
      <c r="A972" t="s">
        <v>1209</v>
      </c>
      <c r="B972" s="3">
        <v>45901</v>
      </c>
      <c r="C972" t="s">
        <v>436</v>
      </c>
      <c r="D972" t="s">
        <v>120</v>
      </c>
      <c r="E972" t="s">
        <v>51</v>
      </c>
      <c r="F972" t="s">
        <v>27</v>
      </c>
      <c r="G972" t="s">
        <v>28</v>
      </c>
      <c r="H972">
        <v>1</v>
      </c>
      <c r="I972">
        <v>1744</v>
      </c>
      <c r="J972">
        <v>0</v>
      </c>
      <c r="K972">
        <v>1744</v>
      </c>
      <c r="L972">
        <v>318.31</v>
      </c>
    </row>
    <row r="973" spans="1:12" x14ac:dyDescent="0.3">
      <c r="A973" t="s">
        <v>1210</v>
      </c>
      <c r="B973" s="3">
        <v>45764</v>
      </c>
      <c r="C973" t="s">
        <v>421</v>
      </c>
      <c r="D973" t="s">
        <v>153</v>
      </c>
      <c r="E973" t="s">
        <v>26</v>
      </c>
      <c r="F973" t="s">
        <v>21</v>
      </c>
      <c r="G973" t="s">
        <v>22</v>
      </c>
      <c r="H973">
        <v>4</v>
      </c>
      <c r="I973">
        <v>6114</v>
      </c>
      <c r="J973">
        <v>0.1</v>
      </c>
      <c r="K973">
        <v>22010.400000000001</v>
      </c>
      <c r="L973">
        <v>5394.88</v>
      </c>
    </row>
    <row r="974" spans="1:12" x14ac:dyDescent="0.3">
      <c r="A974" t="s">
        <v>1211</v>
      </c>
      <c r="B974" s="3">
        <v>45692</v>
      </c>
      <c r="C974" t="s">
        <v>61</v>
      </c>
      <c r="D974" t="s">
        <v>72</v>
      </c>
      <c r="E974" t="s">
        <v>73</v>
      </c>
      <c r="F974" t="s">
        <v>58</v>
      </c>
      <c r="G974" t="s">
        <v>69</v>
      </c>
      <c r="H974">
        <v>3</v>
      </c>
      <c r="I974">
        <v>921</v>
      </c>
      <c r="J974">
        <v>0.1</v>
      </c>
      <c r="K974">
        <v>2486.7000000000003</v>
      </c>
      <c r="L974">
        <v>327.10000000000002</v>
      </c>
    </row>
    <row r="975" spans="1:12" x14ac:dyDescent="0.3">
      <c r="A975" t="s">
        <v>1212</v>
      </c>
      <c r="B975" s="3">
        <v>45712</v>
      </c>
      <c r="C975" t="s">
        <v>156</v>
      </c>
      <c r="D975" t="s">
        <v>14</v>
      </c>
      <c r="E975" t="s">
        <v>15</v>
      </c>
      <c r="F975" t="s">
        <v>16</v>
      </c>
      <c r="G975" t="s">
        <v>17</v>
      </c>
      <c r="H975">
        <v>3</v>
      </c>
      <c r="I975">
        <v>11744</v>
      </c>
      <c r="J975">
        <v>0</v>
      </c>
      <c r="K975">
        <v>35232</v>
      </c>
      <c r="L975">
        <v>4999.84</v>
      </c>
    </row>
    <row r="976" spans="1:12" x14ac:dyDescent="0.3">
      <c r="A976" t="s">
        <v>1213</v>
      </c>
      <c r="B976" s="3">
        <v>45892</v>
      </c>
      <c r="C976" t="s">
        <v>427</v>
      </c>
      <c r="D976" t="s">
        <v>88</v>
      </c>
      <c r="E976" t="s">
        <v>73</v>
      </c>
      <c r="F976" t="s">
        <v>21</v>
      </c>
      <c r="G976" t="s">
        <v>22</v>
      </c>
      <c r="H976">
        <v>2</v>
      </c>
      <c r="I976">
        <v>466</v>
      </c>
      <c r="J976">
        <v>0.05</v>
      </c>
      <c r="K976">
        <v>885.4</v>
      </c>
      <c r="L976">
        <v>191.2</v>
      </c>
    </row>
    <row r="977" spans="1:12" x14ac:dyDescent="0.3">
      <c r="A977" t="s">
        <v>1214</v>
      </c>
      <c r="B977" s="3">
        <v>45892</v>
      </c>
      <c r="C977" t="s">
        <v>172</v>
      </c>
      <c r="D977" t="s">
        <v>103</v>
      </c>
      <c r="E977" t="s">
        <v>51</v>
      </c>
      <c r="F977" t="s">
        <v>27</v>
      </c>
      <c r="G977" t="s">
        <v>31</v>
      </c>
      <c r="H977">
        <v>2</v>
      </c>
      <c r="I977">
        <v>2043</v>
      </c>
      <c r="J977">
        <v>0.05</v>
      </c>
      <c r="K977">
        <v>3881.7</v>
      </c>
      <c r="L977">
        <v>1065.0999999999999</v>
      </c>
    </row>
    <row r="978" spans="1:12" x14ac:dyDescent="0.3">
      <c r="A978" t="s">
        <v>1215</v>
      </c>
      <c r="B978" s="3">
        <v>45786</v>
      </c>
      <c r="C978" t="s">
        <v>798</v>
      </c>
      <c r="D978" t="s">
        <v>50</v>
      </c>
      <c r="E978" t="s">
        <v>51</v>
      </c>
      <c r="F978" t="s">
        <v>58</v>
      </c>
      <c r="G978" t="s">
        <v>59</v>
      </c>
      <c r="H978">
        <v>1</v>
      </c>
      <c r="I978">
        <v>2497</v>
      </c>
      <c r="J978">
        <v>0</v>
      </c>
      <c r="K978">
        <v>2497</v>
      </c>
      <c r="L978">
        <v>247.18</v>
      </c>
    </row>
    <row r="979" spans="1:12" x14ac:dyDescent="0.3">
      <c r="A979" t="s">
        <v>1216</v>
      </c>
      <c r="B979" s="3">
        <v>45818</v>
      </c>
      <c r="C979" t="s">
        <v>570</v>
      </c>
      <c r="D979" t="s">
        <v>83</v>
      </c>
      <c r="E979" t="s">
        <v>73</v>
      </c>
      <c r="F979" t="s">
        <v>21</v>
      </c>
      <c r="G979" t="s">
        <v>22</v>
      </c>
      <c r="H979">
        <v>1</v>
      </c>
      <c r="I979">
        <v>581</v>
      </c>
      <c r="J979">
        <v>0.1</v>
      </c>
      <c r="K979">
        <v>522.9</v>
      </c>
      <c r="L979">
        <v>79.41</v>
      </c>
    </row>
    <row r="980" spans="1:12" x14ac:dyDescent="0.3">
      <c r="A980" t="s">
        <v>1217</v>
      </c>
      <c r="B980" s="3">
        <v>45893</v>
      </c>
      <c r="C980" t="s">
        <v>37</v>
      </c>
      <c r="D980" t="s">
        <v>34</v>
      </c>
      <c r="E980" t="s">
        <v>15</v>
      </c>
      <c r="F980" t="s">
        <v>27</v>
      </c>
      <c r="G980" t="s">
        <v>28</v>
      </c>
      <c r="H980">
        <v>5</v>
      </c>
      <c r="I980">
        <v>24854</v>
      </c>
      <c r="J980">
        <v>0.15</v>
      </c>
      <c r="K980">
        <v>105629.5</v>
      </c>
      <c r="L980">
        <v>22467.439999999999</v>
      </c>
    </row>
    <row r="981" spans="1:12" x14ac:dyDescent="0.3">
      <c r="A981" t="s">
        <v>1218</v>
      </c>
      <c r="B981" s="3">
        <v>45695</v>
      </c>
      <c r="C981" t="s">
        <v>228</v>
      </c>
      <c r="D981" t="s">
        <v>202</v>
      </c>
      <c r="E981" t="s">
        <v>44</v>
      </c>
      <c r="F981" t="s">
        <v>27</v>
      </c>
      <c r="G981" t="s">
        <v>31</v>
      </c>
      <c r="H981">
        <v>4</v>
      </c>
      <c r="I981">
        <v>2278</v>
      </c>
      <c r="J981">
        <v>0.1</v>
      </c>
      <c r="K981">
        <v>8200.8000000000011</v>
      </c>
      <c r="L981">
        <v>2019.98</v>
      </c>
    </row>
    <row r="982" spans="1:12" x14ac:dyDescent="0.3">
      <c r="A982" t="s">
        <v>1219</v>
      </c>
      <c r="B982" s="3">
        <v>45981</v>
      </c>
      <c r="C982" t="s">
        <v>248</v>
      </c>
      <c r="D982" t="s">
        <v>120</v>
      </c>
      <c r="E982" t="s">
        <v>51</v>
      </c>
      <c r="F982" t="s">
        <v>58</v>
      </c>
      <c r="G982" t="s">
        <v>59</v>
      </c>
      <c r="H982">
        <v>4</v>
      </c>
      <c r="I982">
        <v>631</v>
      </c>
      <c r="J982">
        <v>0</v>
      </c>
      <c r="K982">
        <v>2524</v>
      </c>
      <c r="L982">
        <v>549.39</v>
      </c>
    </row>
    <row r="983" spans="1:12" x14ac:dyDescent="0.3">
      <c r="A983" t="s">
        <v>1220</v>
      </c>
      <c r="B983" s="3">
        <v>45879</v>
      </c>
      <c r="C983" t="s">
        <v>217</v>
      </c>
      <c r="D983" t="s">
        <v>34</v>
      </c>
      <c r="E983" t="s">
        <v>15</v>
      </c>
      <c r="F983" t="s">
        <v>58</v>
      </c>
      <c r="G983" t="s">
        <v>59</v>
      </c>
      <c r="H983">
        <v>2</v>
      </c>
      <c r="I983">
        <v>9909</v>
      </c>
      <c r="J983">
        <v>0.2</v>
      </c>
      <c r="K983">
        <v>15854.400000000001</v>
      </c>
      <c r="L983">
        <v>2905.31</v>
      </c>
    </row>
    <row r="984" spans="1:12" x14ac:dyDescent="0.3">
      <c r="A984" t="s">
        <v>1221</v>
      </c>
      <c r="B984" s="3">
        <v>46019</v>
      </c>
      <c r="C984" t="s">
        <v>421</v>
      </c>
      <c r="D984" t="s">
        <v>14</v>
      </c>
      <c r="E984" t="s">
        <v>15</v>
      </c>
      <c r="F984" t="s">
        <v>58</v>
      </c>
      <c r="G984" t="s">
        <v>126</v>
      </c>
      <c r="H984">
        <v>1</v>
      </c>
      <c r="I984">
        <v>15657</v>
      </c>
      <c r="J984">
        <v>0.1</v>
      </c>
      <c r="K984">
        <v>14091.300000000001</v>
      </c>
      <c r="L984">
        <v>3251.65</v>
      </c>
    </row>
    <row r="985" spans="1:12" x14ac:dyDescent="0.3">
      <c r="A985" t="s">
        <v>1222</v>
      </c>
      <c r="B985" s="3">
        <v>45926</v>
      </c>
      <c r="C985" t="s">
        <v>451</v>
      </c>
      <c r="D985" t="s">
        <v>120</v>
      </c>
      <c r="E985" t="s">
        <v>51</v>
      </c>
      <c r="F985" t="s">
        <v>21</v>
      </c>
      <c r="G985" t="s">
        <v>55</v>
      </c>
      <c r="H985">
        <v>3</v>
      </c>
      <c r="I985">
        <v>1216</v>
      </c>
      <c r="J985">
        <v>0.15</v>
      </c>
      <c r="K985">
        <v>3100.7999999999997</v>
      </c>
      <c r="L985">
        <v>768.14</v>
      </c>
    </row>
    <row r="986" spans="1:12" x14ac:dyDescent="0.3">
      <c r="A986" t="s">
        <v>1223</v>
      </c>
      <c r="B986" s="3">
        <v>45659</v>
      </c>
      <c r="C986" t="s">
        <v>535</v>
      </c>
      <c r="D986" t="s">
        <v>83</v>
      </c>
      <c r="E986" t="s">
        <v>73</v>
      </c>
      <c r="F986" t="s">
        <v>21</v>
      </c>
      <c r="G986" t="s">
        <v>22</v>
      </c>
      <c r="H986">
        <v>2</v>
      </c>
      <c r="I986">
        <v>875</v>
      </c>
      <c r="J986">
        <v>0.1</v>
      </c>
      <c r="K986">
        <v>1575</v>
      </c>
      <c r="L986">
        <v>207.76</v>
      </c>
    </row>
    <row r="987" spans="1:12" x14ac:dyDescent="0.3">
      <c r="A987" t="s">
        <v>1224</v>
      </c>
      <c r="B987" s="3">
        <v>46019</v>
      </c>
      <c r="C987" t="s">
        <v>223</v>
      </c>
      <c r="D987" t="s">
        <v>43</v>
      </c>
      <c r="E987" t="s">
        <v>44</v>
      </c>
      <c r="F987" t="s">
        <v>58</v>
      </c>
      <c r="G987" t="s">
        <v>69</v>
      </c>
      <c r="H987">
        <v>1</v>
      </c>
      <c r="I987">
        <v>1489</v>
      </c>
      <c r="J987">
        <v>0</v>
      </c>
      <c r="K987">
        <v>1489</v>
      </c>
      <c r="L987">
        <v>239.62</v>
      </c>
    </row>
    <row r="988" spans="1:12" x14ac:dyDescent="0.3">
      <c r="A988" t="s">
        <v>1225</v>
      </c>
      <c r="B988" s="3">
        <v>45787</v>
      </c>
      <c r="C988" t="s">
        <v>67</v>
      </c>
      <c r="D988" t="s">
        <v>83</v>
      </c>
      <c r="E988" t="s">
        <v>73</v>
      </c>
      <c r="F988" t="s">
        <v>27</v>
      </c>
      <c r="G988" t="s">
        <v>31</v>
      </c>
      <c r="H988">
        <v>3</v>
      </c>
      <c r="I988">
        <v>541</v>
      </c>
      <c r="J988">
        <v>0.1</v>
      </c>
      <c r="K988">
        <v>1460.7</v>
      </c>
      <c r="L988">
        <v>181.49</v>
      </c>
    </row>
    <row r="989" spans="1:12" x14ac:dyDescent="0.3">
      <c r="A989" t="s">
        <v>1226</v>
      </c>
      <c r="B989" s="3">
        <v>45795</v>
      </c>
      <c r="C989" t="s">
        <v>248</v>
      </c>
      <c r="D989" t="s">
        <v>307</v>
      </c>
      <c r="E989" t="s">
        <v>73</v>
      </c>
      <c r="F989" t="s">
        <v>27</v>
      </c>
      <c r="G989" t="s">
        <v>31</v>
      </c>
      <c r="H989">
        <v>3</v>
      </c>
      <c r="I989">
        <v>156</v>
      </c>
      <c r="J989">
        <v>0.05</v>
      </c>
      <c r="K989">
        <v>444.59999999999997</v>
      </c>
      <c r="L989">
        <v>65.489999999999995</v>
      </c>
    </row>
    <row r="990" spans="1:12" x14ac:dyDescent="0.3">
      <c r="A990" t="s">
        <v>1227</v>
      </c>
      <c r="B990" s="3">
        <v>46014</v>
      </c>
      <c r="C990" t="s">
        <v>119</v>
      </c>
      <c r="D990" t="s">
        <v>30</v>
      </c>
      <c r="E990" t="s">
        <v>15</v>
      </c>
      <c r="F990" t="s">
        <v>27</v>
      </c>
      <c r="G990" t="s">
        <v>40</v>
      </c>
      <c r="H990">
        <v>1</v>
      </c>
      <c r="I990">
        <v>11877</v>
      </c>
      <c r="J990">
        <v>0.15</v>
      </c>
      <c r="K990">
        <v>10095.449999999999</v>
      </c>
      <c r="L990">
        <v>927.73</v>
      </c>
    </row>
    <row r="991" spans="1:12" x14ac:dyDescent="0.3">
      <c r="A991" t="s">
        <v>1228</v>
      </c>
      <c r="B991" s="3">
        <v>45678</v>
      </c>
      <c r="C991" t="s">
        <v>328</v>
      </c>
      <c r="D991" t="s">
        <v>25</v>
      </c>
      <c r="E991" t="s">
        <v>26</v>
      </c>
      <c r="F991" t="s">
        <v>58</v>
      </c>
      <c r="G991" t="s">
        <v>126</v>
      </c>
      <c r="H991">
        <v>1</v>
      </c>
      <c r="I991">
        <v>9257</v>
      </c>
      <c r="J991">
        <v>0.15</v>
      </c>
      <c r="K991">
        <v>7868.45</v>
      </c>
      <c r="L991">
        <v>1174.71</v>
      </c>
    </row>
    <row r="992" spans="1:12" x14ac:dyDescent="0.3">
      <c r="A992" t="s">
        <v>1229</v>
      </c>
      <c r="B992" s="3">
        <v>45771</v>
      </c>
      <c r="C992" t="s">
        <v>39</v>
      </c>
      <c r="D992" t="s">
        <v>80</v>
      </c>
      <c r="E992" t="s">
        <v>51</v>
      </c>
      <c r="F992" t="s">
        <v>21</v>
      </c>
      <c r="G992" t="s">
        <v>55</v>
      </c>
      <c r="H992">
        <v>4</v>
      </c>
      <c r="I992">
        <v>49091</v>
      </c>
      <c r="J992">
        <v>0.15</v>
      </c>
      <c r="K992">
        <v>166909.4</v>
      </c>
      <c r="L992">
        <v>40251.629999999997</v>
      </c>
    </row>
    <row r="993" spans="1:12" x14ac:dyDescent="0.3">
      <c r="A993" t="s">
        <v>1230</v>
      </c>
      <c r="B993" s="3">
        <v>45906</v>
      </c>
      <c r="C993" t="s">
        <v>33</v>
      </c>
      <c r="D993" t="s">
        <v>120</v>
      </c>
      <c r="E993" t="s">
        <v>51</v>
      </c>
      <c r="F993" t="s">
        <v>16</v>
      </c>
      <c r="G993" t="s">
        <v>104</v>
      </c>
      <c r="H993">
        <v>1</v>
      </c>
      <c r="I993">
        <v>1671</v>
      </c>
      <c r="J993">
        <v>0.2</v>
      </c>
      <c r="K993">
        <v>1336.8000000000002</v>
      </c>
      <c r="L993">
        <v>281.39</v>
      </c>
    </row>
    <row r="994" spans="1:12" x14ac:dyDescent="0.3">
      <c r="A994" t="s">
        <v>1231</v>
      </c>
      <c r="B994" s="3">
        <v>45743</v>
      </c>
      <c r="C994" t="s">
        <v>19</v>
      </c>
      <c r="D994" t="s">
        <v>34</v>
      </c>
      <c r="E994" t="s">
        <v>15</v>
      </c>
      <c r="F994" t="s">
        <v>21</v>
      </c>
      <c r="G994" t="s">
        <v>35</v>
      </c>
      <c r="H994">
        <v>2</v>
      </c>
      <c r="I994">
        <v>18372</v>
      </c>
      <c r="J994">
        <v>0.05</v>
      </c>
      <c r="K994">
        <v>34906.799999999996</v>
      </c>
      <c r="L994">
        <v>9415.44</v>
      </c>
    </row>
    <row r="995" spans="1:12" x14ac:dyDescent="0.3">
      <c r="A995" t="s">
        <v>1232</v>
      </c>
      <c r="B995" s="3">
        <v>45920</v>
      </c>
      <c r="C995" t="s">
        <v>131</v>
      </c>
      <c r="D995" t="s">
        <v>97</v>
      </c>
      <c r="E995" t="s">
        <v>44</v>
      </c>
      <c r="F995" t="s">
        <v>27</v>
      </c>
      <c r="G995" t="s">
        <v>31</v>
      </c>
      <c r="H995">
        <v>1</v>
      </c>
      <c r="I995">
        <v>677</v>
      </c>
      <c r="J995">
        <v>0.1</v>
      </c>
      <c r="K995">
        <v>609.30000000000007</v>
      </c>
      <c r="L995">
        <v>101.82</v>
      </c>
    </row>
    <row r="996" spans="1:12" x14ac:dyDescent="0.3">
      <c r="A996" t="s">
        <v>1233</v>
      </c>
      <c r="B996" s="3">
        <v>45744</v>
      </c>
      <c r="C996" t="s">
        <v>371</v>
      </c>
      <c r="D996" t="s">
        <v>307</v>
      </c>
      <c r="E996" t="s">
        <v>73</v>
      </c>
      <c r="F996" t="s">
        <v>58</v>
      </c>
      <c r="G996" t="s">
        <v>59</v>
      </c>
      <c r="H996">
        <v>1</v>
      </c>
      <c r="I996">
        <v>285</v>
      </c>
      <c r="J996">
        <v>0.15</v>
      </c>
      <c r="K996">
        <v>242.25</v>
      </c>
      <c r="L996">
        <v>45.2</v>
      </c>
    </row>
    <row r="997" spans="1:12" x14ac:dyDescent="0.3">
      <c r="A997" t="s">
        <v>1234</v>
      </c>
      <c r="B997" s="3">
        <v>45922</v>
      </c>
      <c r="C997" t="s">
        <v>100</v>
      </c>
      <c r="D997" t="s">
        <v>153</v>
      </c>
      <c r="E997" t="s">
        <v>26</v>
      </c>
      <c r="F997" t="s">
        <v>16</v>
      </c>
      <c r="G997" t="s">
        <v>52</v>
      </c>
      <c r="H997">
        <v>3</v>
      </c>
      <c r="I997">
        <v>9197</v>
      </c>
      <c r="J997">
        <v>0.05</v>
      </c>
      <c r="K997">
        <v>26211.449999999997</v>
      </c>
      <c r="L997">
        <v>4877.8100000000004</v>
      </c>
    </row>
    <row r="998" spans="1:12" x14ac:dyDescent="0.3">
      <c r="A998" t="s">
        <v>1235</v>
      </c>
      <c r="B998" s="3">
        <v>45734</v>
      </c>
      <c r="C998" t="s">
        <v>71</v>
      </c>
      <c r="D998" t="s">
        <v>307</v>
      </c>
      <c r="E998" t="s">
        <v>73</v>
      </c>
      <c r="F998" t="s">
        <v>21</v>
      </c>
      <c r="G998" t="s">
        <v>55</v>
      </c>
      <c r="H998">
        <v>2</v>
      </c>
      <c r="I998">
        <v>297</v>
      </c>
      <c r="J998">
        <v>0.25</v>
      </c>
      <c r="K998">
        <v>445.5</v>
      </c>
      <c r="L998">
        <v>83.07</v>
      </c>
    </row>
    <row r="999" spans="1:12" x14ac:dyDescent="0.3">
      <c r="A999" t="s">
        <v>1236</v>
      </c>
      <c r="B999" s="3">
        <v>45978</v>
      </c>
      <c r="C999" t="s">
        <v>503</v>
      </c>
      <c r="D999" t="s">
        <v>103</v>
      </c>
      <c r="E999" t="s">
        <v>51</v>
      </c>
      <c r="F999" t="s">
        <v>21</v>
      </c>
      <c r="G999" t="s">
        <v>55</v>
      </c>
      <c r="H999">
        <v>1</v>
      </c>
      <c r="I999">
        <v>7497</v>
      </c>
      <c r="J999">
        <v>0.15</v>
      </c>
      <c r="K999">
        <v>6372.45</v>
      </c>
      <c r="L999">
        <v>1001.95</v>
      </c>
    </row>
    <row r="1000" spans="1:12" x14ac:dyDescent="0.3">
      <c r="A1000" t="s">
        <v>1237</v>
      </c>
      <c r="B1000" s="3">
        <v>45885</v>
      </c>
      <c r="C1000" t="s">
        <v>228</v>
      </c>
      <c r="D1000" t="s">
        <v>68</v>
      </c>
      <c r="E1000" t="s">
        <v>44</v>
      </c>
      <c r="F1000" t="s">
        <v>16</v>
      </c>
      <c r="G1000" t="s">
        <v>52</v>
      </c>
      <c r="H1000">
        <v>3</v>
      </c>
      <c r="I1000">
        <v>6577</v>
      </c>
      <c r="J1000">
        <v>0.1</v>
      </c>
      <c r="K1000">
        <v>17757.900000000001</v>
      </c>
      <c r="L1000">
        <v>2504.63</v>
      </c>
    </row>
    <row r="1001" spans="1:12" x14ac:dyDescent="0.3">
      <c r="A1001" t="s">
        <v>1238</v>
      </c>
      <c r="B1001" s="3">
        <v>45824</v>
      </c>
      <c r="C1001" t="s">
        <v>389</v>
      </c>
      <c r="D1001" t="s">
        <v>120</v>
      </c>
      <c r="E1001" t="s">
        <v>51</v>
      </c>
      <c r="F1001" t="s">
        <v>16</v>
      </c>
      <c r="G1001" t="s">
        <v>104</v>
      </c>
      <c r="H1001">
        <v>1</v>
      </c>
      <c r="I1001">
        <v>1888</v>
      </c>
      <c r="J1001">
        <v>0.1</v>
      </c>
      <c r="K1001">
        <v>1699.2</v>
      </c>
      <c r="L1001">
        <v>405.73</v>
      </c>
    </row>
    <row r="1002" spans="1:12" x14ac:dyDescent="0.3">
      <c r="A1002" t="s">
        <v>1239</v>
      </c>
      <c r="B1002" s="3">
        <v>45981</v>
      </c>
      <c r="C1002" t="s">
        <v>102</v>
      </c>
      <c r="D1002" t="s">
        <v>153</v>
      </c>
      <c r="E1002" t="s">
        <v>26</v>
      </c>
      <c r="F1002" t="s">
        <v>16</v>
      </c>
      <c r="G1002" t="s">
        <v>52</v>
      </c>
      <c r="H1002">
        <v>1</v>
      </c>
      <c r="I1002">
        <v>2502</v>
      </c>
      <c r="J1002">
        <v>0</v>
      </c>
      <c r="K1002">
        <v>2502</v>
      </c>
      <c r="L1002">
        <v>667.34</v>
      </c>
    </row>
    <row r="1003" spans="1:12" x14ac:dyDescent="0.3">
      <c r="A1003" t="s">
        <v>1240</v>
      </c>
      <c r="B1003" s="3">
        <v>45662</v>
      </c>
      <c r="C1003" t="s">
        <v>792</v>
      </c>
      <c r="D1003" t="s">
        <v>92</v>
      </c>
      <c r="E1003" t="s">
        <v>51</v>
      </c>
      <c r="F1003" t="s">
        <v>58</v>
      </c>
      <c r="G1003" t="s">
        <v>69</v>
      </c>
      <c r="H1003">
        <v>2</v>
      </c>
      <c r="I1003">
        <v>21650</v>
      </c>
      <c r="J1003">
        <v>0</v>
      </c>
      <c r="K1003">
        <v>43300</v>
      </c>
      <c r="L1003">
        <v>6153.6</v>
      </c>
    </row>
    <row r="1004" spans="1:12" x14ac:dyDescent="0.3">
      <c r="A1004" t="s">
        <v>1241</v>
      </c>
      <c r="B1004" s="3">
        <v>45782</v>
      </c>
      <c r="C1004" t="s">
        <v>580</v>
      </c>
      <c r="D1004" t="s">
        <v>88</v>
      </c>
      <c r="E1004" t="s">
        <v>73</v>
      </c>
      <c r="F1004" t="s">
        <v>27</v>
      </c>
      <c r="G1004" t="s">
        <v>40</v>
      </c>
      <c r="H1004">
        <v>3</v>
      </c>
      <c r="I1004">
        <v>422</v>
      </c>
      <c r="J1004">
        <v>0.05</v>
      </c>
      <c r="K1004">
        <v>1202.7</v>
      </c>
      <c r="L1004">
        <v>324.95999999999998</v>
      </c>
    </row>
    <row r="1005" spans="1:12" x14ac:dyDescent="0.3">
      <c r="A1005" t="s">
        <v>1242</v>
      </c>
      <c r="B1005" s="3">
        <v>45976</v>
      </c>
      <c r="C1005" t="s">
        <v>805</v>
      </c>
      <c r="D1005" t="s">
        <v>50</v>
      </c>
      <c r="E1005" t="s">
        <v>51</v>
      </c>
      <c r="F1005" t="s">
        <v>21</v>
      </c>
      <c r="G1005" t="s">
        <v>22</v>
      </c>
      <c r="H1005">
        <v>1</v>
      </c>
      <c r="I1005">
        <v>1452</v>
      </c>
      <c r="J1005">
        <v>0.1</v>
      </c>
      <c r="K1005">
        <v>1306.8</v>
      </c>
      <c r="L1005">
        <v>155.97</v>
      </c>
    </row>
    <row r="1006" spans="1:12" x14ac:dyDescent="0.3">
      <c r="A1006" t="s">
        <v>1243</v>
      </c>
      <c r="B1006" s="3">
        <v>45987</v>
      </c>
      <c r="C1006" t="s">
        <v>143</v>
      </c>
      <c r="D1006" t="s">
        <v>43</v>
      </c>
      <c r="E1006" t="s">
        <v>44</v>
      </c>
      <c r="F1006" t="s">
        <v>16</v>
      </c>
      <c r="G1006" t="s">
        <v>17</v>
      </c>
      <c r="H1006">
        <v>4</v>
      </c>
      <c r="I1006">
        <v>451</v>
      </c>
      <c r="J1006">
        <v>0.1</v>
      </c>
      <c r="K1006">
        <v>1623.6000000000001</v>
      </c>
      <c r="L1006">
        <v>315.64999999999998</v>
      </c>
    </row>
    <row r="1007" spans="1:12" x14ac:dyDescent="0.3">
      <c r="A1007" t="s">
        <v>1244</v>
      </c>
      <c r="B1007" s="3">
        <v>45832</v>
      </c>
      <c r="C1007" t="s">
        <v>96</v>
      </c>
      <c r="D1007" t="s">
        <v>80</v>
      </c>
      <c r="E1007" t="s">
        <v>51</v>
      </c>
      <c r="F1007" t="s">
        <v>58</v>
      </c>
      <c r="G1007" t="s">
        <v>126</v>
      </c>
      <c r="H1007">
        <v>1</v>
      </c>
      <c r="I1007">
        <v>45780</v>
      </c>
      <c r="J1007">
        <v>0.15</v>
      </c>
      <c r="K1007">
        <v>38913</v>
      </c>
      <c r="L1007">
        <v>3954.88</v>
      </c>
    </row>
    <row r="1008" spans="1:12" x14ac:dyDescent="0.3">
      <c r="A1008" t="s">
        <v>1245</v>
      </c>
      <c r="B1008" s="3">
        <v>45939</v>
      </c>
      <c r="C1008" t="s">
        <v>403</v>
      </c>
      <c r="D1008" t="s">
        <v>120</v>
      </c>
      <c r="E1008" t="s">
        <v>51</v>
      </c>
      <c r="F1008" t="s">
        <v>21</v>
      </c>
      <c r="G1008" t="s">
        <v>55</v>
      </c>
      <c r="H1008">
        <v>2</v>
      </c>
      <c r="I1008">
        <v>937</v>
      </c>
      <c r="J1008">
        <v>0.1</v>
      </c>
      <c r="K1008">
        <v>1686.6000000000001</v>
      </c>
      <c r="L1008">
        <v>232.13</v>
      </c>
    </row>
    <row r="1009" spans="1:12" x14ac:dyDescent="0.3">
      <c r="A1009" t="s">
        <v>1246</v>
      </c>
      <c r="B1009" s="3">
        <v>45832</v>
      </c>
      <c r="C1009" t="s">
        <v>640</v>
      </c>
      <c r="D1009" t="s">
        <v>50</v>
      </c>
      <c r="E1009" t="s">
        <v>51</v>
      </c>
      <c r="F1009" t="s">
        <v>58</v>
      </c>
      <c r="G1009" t="s">
        <v>126</v>
      </c>
      <c r="H1009">
        <v>1</v>
      </c>
      <c r="I1009">
        <v>1213</v>
      </c>
      <c r="J1009">
        <v>0</v>
      </c>
      <c r="K1009">
        <v>1213</v>
      </c>
      <c r="L1009">
        <v>338.62</v>
      </c>
    </row>
    <row r="1010" spans="1:12" x14ac:dyDescent="0.3">
      <c r="A1010" t="s">
        <v>1247</v>
      </c>
      <c r="B1010" s="3">
        <v>45910</v>
      </c>
      <c r="C1010" t="s">
        <v>176</v>
      </c>
      <c r="D1010" t="s">
        <v>43</v>
      </c>
      <c r="E1010" t="s">
        <v>44</v>
      </c>
      <c r="F1010" t="s">
        <v>16</v>
      </c>
      <c r="G1010" t="s">
        <v>52</v>
      </c>
      <c r="H1010">
        <v>1</v>
      </c>
      <c r="I1010">
        <v>696</v>
      </c>
      <c r="J1010">
        <v>0</v>
      </c>
      <c r="K1010">
        <v>696</v>
      </c>
      <c r="L1010">
        <v>74.5</v>
      </c>
    </row>
    <row r="1011" spans="1:12" x14ac:dyDescent="0.3">
      <c r="A1011" t="s">
        <v>1248</v>
      </c>
      <c r="B1011" s="3">
        <v>45857</v>
      </c>
      <c r="C1011" t="s">
        <v>208</v>
      </c>
      <c r="D1011" t="s">
        <v>34</v>
      </c>
      <c r="E1011" t="s">
        <v>15</v>
      </c>
      <c r="F1011" t="s">
        <v>27</v>
      </c>
      <c r="G1011" t="s">
        <v>28</v>
      </c>
      <c r="H1011">
        <v>2</v>
      </c>
      <c r="I1011">
        <v>12212</v>
      </c>
      <c r="J1011">
        <v>0.1</v>
      </c>
      <c r="K1011">
        <v>21981.600000000002</v>
      </c>
      <c r="L1011">
        <v>2048.21</v>
      </c>
    </row>
    <row r="1012" spans="1:12" x14ac:dyDescent="0.3">
      <c r="A1012" t="s">
        <v>1249</v>
      </c>
      <c r="B1012" s="3">
        <v>45670</v>
      </c>
      <c r="C1012" t="s">
        <v>131</v>
      </c>
      <c r="D1012" t="s">
        <v>80</v>
      </c>
      <c r="E1012" t="s">
        <v>51</v>
      </c>
      <c r="F1012" t="s">
        <v>27</v>
      </c>
      <c r="G1012" t="s">
        <v>28</v>
      </c>
      <c r="H1012">
        <v>1</v>
      </c>
      <c r="I1012">
        <v>75842</v>
      </c>
      <c r="J1012">
        <v>0.05</v>
      </c>
      <c r="K1012">
        <v>72049.899999999994</v>
      </c>
      <c r="L1012">
        <v>19407.97</v>
      </c>
    </row>
    <row r="1013" spans="1:12" x14ac:dyDescent="0.3">
      <c r="A1013" t="s">
        <v>1250</v>
      </c>
      <c r="B1013" s="3">
        <v>45969</v>
      </c>
      <c r="C1013" t="s">
        <v>448</v>
      </c>
      <c r="D1013" t="s">
        <v>43</v>
      </c>
      <c r="E1013" t="s">
        <v>44</v>
      </c>
      <c r="F1013" t="s">
        <v>21</v>
      </c>
      <c r="G1013" t="s">
        <v>22</v>
      </c>
      <c r="H1013">
        <v>4</v>
      </c>
      <c r="I1013">
        <v>1378</v>
      </c>
      <c r="J1013">
        <v>0.15</v>
      </c>
      <c r="K1013">
        <v>4685.2</v>
      </c>
      <c r="L1013">
        <v>718.71</v>
      </c>
    </row>
    <row r="1014" spans="1:12" x14ac:dyDescent="0.3">
      <c r="A1014" t="s">
        <v>1251</v>
      </c>
      <c r="B1014" s="3">
        <v>45955</v>
      </c>
      <c r="C1014" t="s">
        <v>24</v>
      </c>
      <c r="D1014" t="s">
        <v>25</v>
      </c>
      <c r="E1014" t="s">
        <v>26</v>
      </c>
      <c r="F1014" t="s">
        <v>16</v>
      </c>
      <c r="G1014" t="s">
        <v>52</v>
      </c>
      <c r="H1014">
        <v>4</v>
      </c>
      <c r="I1014">
        <v>15652</v>
      </c>
      <c r="J1014">
        <v>0</v>
      </c>
      <c r="K1014">
        <v>62608</v>
      </c>
      <c r="L1014">
        <v>8129.07</v>
      </c>
    </row>
    <row r="1015" spans="1:12" x14ac:dyDescent="0.3">
      <c r="A1015" t="s">
        <v>1252</v>
      </c>
      <c r="B1015" s="3">
        <v>45716</v>
      </c>
      <c r="C1015" t="s">
        <v>415</v>
      </c>
      <c r="D1015" t="s">
        <v>30</v>
      </c>
      <c r="E1015" t="s">
        <v>15</v>
      </c>
      <c r="F1015" t="s">
        <v>58</v>
      </c>
      <c r="G1015" t="s">
        <v>69</v>
      </c>
      <c r="H1015">
        <v>1</v>
      </c>
      <c r="I1015">
        <v>10099</v>
      </c>
      <c r="J1015">
        <v>0.1</v>
      </c>
      <c r="K1015">
        <v>9089.1</v>
      </c>
      <c r="L1015">
        <v>1096.1300000000001</v>
      </c>
    </row>
    <row r="1016" spans="1:12" x14ac:dyDescent="0.3">
      <c r="A1016" t="s">
        <v>1253</v>
      </c>
      <c r="B1016" s="3">
        <v>46009</v>
      </c>
      <c r="C1016" t="s">
        <v>501</v>
      </c>
      <c r="D1016" t="s">
        <v>47</v>
      </c>
      <c r="E1016" t="s">
        <v>26</v>
      </c>
      <c r="F1016" t="s">
        <v>58</v>
      </c>
      <c r="G1016" t="s">
        <v>69</v>
      </c>
      <c r="H1016">
        <v>2</v>
      </c>
      <c r="I1016">
        <v>17541</v>
      </c>
      <c r="J1016">
        <v>0.15</v>
      </c>
      <c r="K1016">
        <v>29819.7</v>
      </c>
      <c r="L1016">
        <v>6137.6</v>
      </c>
    </row>
    <row r="1017" spans="1:12" x14ac:dyDescent="0.3">
      <c r="A1017" t="s">
        <v>1254</v>
      </c>
      <c r="B1017" s="3">
        <v>45975</v>
      </c>
      <c r="C1017" t="s">
        <v>136</v>
      </c>
      <c r="D1017" t="s">
        <v>92</v>
      </c>
      <c r="E1017" t="s">
        <v>51</v>
      </c>
      <c r="F1017" t="s">
        <v>27</v>
      </c>
      <c r="G1017" t="s">
        <v>40</v>
      </c>
      <c r="H1017">
        <v>1</v>
      </c>
      <c r="I1017">
        <v>19711</v>
      </c>
      <c r="J1017">
        <v>0</v>
      </c>
      <c r="K1017">
        <v>19711</v>
      </c>
      <c r="L1017">
        <v>3906.22</v>
      </c>
    </row>
    <row r="1018" spans="1:12" x14ac:dyDescent="0.3">
      <c r="A1018" t="s">
        <v>1255</v>
      </c>
      <c r="B1018" s="3">
        <v>45931</v>
      </c>
      <c r="C1018" t="s">
        <v>234</v>
      </c>
      <c r="D1018" t="s">
        <v>72</v>
      </c>
      <c r="E1018" t="s">
        <v>73</v>
      </c>
      <c r="F1018" t="s">
        <v>21</v>
      </c>
      <c r="G1018" t="s">
        <v>55</v>
      </c>
      <c r="H1018">
        <v>1</v>
      </c>
      <c r="I1018">
        <v>485</v>
      </c>
      <c r="J1018">
        <v>0.25</v>
      </c>
      <c r="K1018">
        <v>363.75</v>
      </c>
      <c r="L1018">
        <v>36.619999999999997</v>
      </c>
    </row>
    <row r="1019" spans="1:12" x14ac:dyDescent="0.3">
      <c r="A1019" t="s">
        <v>1256</v>
      </c>
      <c r="B1019" s="3">
        <v>45713</v>
      </c>
      <c r="C1019" t="s">
        <v>363</v>
      </c>
      <c r="D1019" t="s">
        <v>97</v>
      </c>
      <c r="E1019" t="s">
        <v>44</v>
      </c>
      <c r="F1019" t="s">
        <v>21</v>
      </c>
      <c r="G1019" t="s">
        <v>35</v>
      </c>
      <c r="H1019">
        <v>2</v>
      </c>
      <c r="I1019">
        <v>702</v>
      </c>
      <c r="J1019">
        <v>0.2</v>
      </c>
      <c r="K1019">
        <v>1123.2</v>
      </c>
      <c r="L1019">
        <v>97.66</v>
      </c>
    </row>
    <row r="1020" spans="1:12" x14ac:dyDescent="0.3">
      <c r="A1020" t="s">
        <v>1257</v>
      </c>
      <c r="B1020" s="3">
        <v>45984</v>
      </c>
      <c r="C1020" t="s">
        <v>96</v>
      </c>
      <c r="D1020" t="s">
        <v>65</v>
      </c>
      <c r="E1020" t="s">
        <v>26</v>
      </c>
      <c r="F1020" t="s">
        <v>58</v>
      </c>
      <c r="G1020" t="s">
        <v>126</v>
      </c>
      <c r="H1020">
        <v>1</v>
      </c>
      <c r="I1020">
        <v>3891</v>
      </c>
      <c r="J1020">
        <v>0.1</v>
      </c>
      <c r="K1020">
        <v>3501.9</v>
      </c>
      <c r="L1020">
        <v>373.84</v>
      </c>
    </row>
    <row r="1021" spans="1:12" x14ac:dyDescent="0.3">
      <c r="A1021" t="s">
        <v>1258</v>
      </c>
      <c r="B1021" s="3">
        <v>45841</v>
      </c>
      <c r="C1021" t="s">
        <v>792</v>
      </c>
      <c r="D1021" t="s">
        <v>65</v>
      </c>
      <c r="E1021" t="s">
        <v>26</v>
      </c>
      <c r="F1021" t="s">
        <v>27</v>
      </c>
      <c r="G1021" t="s">
        <v>31</v>
      </c>
      <c r="H1021">
        <v>2</v>
      </c>
      <c r="I1021">
        <v>2514</v>
      </c>
      <c r="J1021">
        <v>0</v>
      </c>
      <c r="K1021">
        <v>5028</v>
      </c>
      <c r="L1021">
        <v>739.68</v>
      </c>
    </row>
    <row r="1022" spans="1:12" x14ac:dyDescent="0.3">
      <c r="A1022" t="s">
        <v>1259</v>
      </c>
      <c r="B1022" s="3">
        <v>45771</v>
      </c>
      <c r="C1022" t="s">
        <v>206</v>
      </c>
      <c r="D1022" t="s">
        <v>50</v>
      </c>
      <c r="E1022" t="s">
        <v>51</v>
      </c>
      <c r="F1022" t="s">
        <v>16</v>
      </c>
      <c r="G1022" t="s">
        <v>104</v>
      </c>
      <c r="H1022">
        <v>3</v>
      </c>
      <c r="I1022">
        <v>1144</v>
      </c>
      <c r="J1022">
        <v>0.2</v>
      </c>
      <c r="K1022">
        <v>2745.6000000000004</v>
      </c>
      <c r="L1022">
        <v>588.80999999999995</v>
      </c>
    </row>
    <row r="1023" spans="1:12" x14ac:dyDescent="0.3">
      <c r="A1023" t="s">
        <v>1260</v>
      </c>
      <c r="B1023" s="3">
        <v>45821</v>
      </c>
      <c r="C1023" t="s">
        <v>90</v>
      </c>
      <c r="D1023" t="s">
        <v>25</v>
      </c>
      <c r="E1023" t="s">
        <v>26</v>
      </c>
      <c r="F1023" t="s">
        <v>21</v>
      </c>
      <c r="G1023" t="s">
        <v>55</v>
      </c>
      <c r="H1023">
        <v>1</v>
      </c>
      <c r="I1023">
        <v>8272</v>
      </c>
      <c r="J1023">
        <v>0.15</v>
      </c>
      <c r="K1023">
        <v>7031.2</v>
      </c>
      <c r="L1023">
        <v>1745.76</v>
      </c>
    </row>
    <row r="1024" spans="1:12" x14ac:dyDescent="0.3">
      <c r="A1024" t="s">
        <v>1261</v>
      </c>
      <c r="B1024" s="3">
        <v>45954</v>
      </c>
      <c r="C1024" t="s">
        <v>1262</v>
      </c>
      <c r="D1024" t="s">
        <v>68</v>
      </c>
      <c r="E1024" t="s">
        <v>44</v>
      </c>
      <c r="F1024" t="s">
        <v>27</v>
      </c>
      <c r="G1024" t="s">
        <v>40</v>
      </c>
      <c r="H1024">
        <v>1</v>
      </c>
      <c r="I1024">
        <v>4772</v>
      </c>
      <c r="J1024">
        <v>0.1</v>
      </c>
      <c r="K1024">
        <v>4294.8</v>
      </c>
      <c r="L1024">
        <v>549.96</v>
      </c>
    </row>
    <row r="1025" spans="1:12" x14ac:dyDescent="0.3">
      <c r="A1025" t="s">
        <v>1263</v>
      </c>
      <c r="B1025" s="3">
        <v>45900</v>
      </c>
      <c r="C1025" t="s">
        <v>507</v>
      </c>
      <c r="D1025" t="s">
        <v>120</v>
      </c>
      <c r="E1025" t="s">
        <v>51</v>
      </c>
      <c r="F1025" t="s">
        <v>27</v>
      </c>
      <c r="G1025" t="s">
        <v>40</v>
      </c>
      <c r="H1025">
        <v>1</v>
      </c>
      <c r="I1025">
        <v>1153</v>
      </c>
      <c r="J1025">
        <v>0.1</v>
      </c>
      <c r="K1025">
        <v>1037.7</v>
      </c>
      <c r="L1025">
        <v>181.96</v>
      </c>
    </row>
    <row r="1026" spans="1:12" x14ac:dyDescent="0.3">
      <c r="A1026" t="s">
        <v>1264</v>
      </c>
      <c r="B1026" s="3">
        <v>45779</v>
      </c>
      <c r="C1026" t="s">
        <v>313</v>
      </c>
      <c r="D1026" t="s">
        <v>25</v>
      </c>
      <c r="E1026" t="s">
        <v>26</v>
      </c>
      <c r="F1026" t="s">
        <v>27</v>
      </c>
      <c r="G1026" t="s">
        <v>31</v>
      </c>
      <c r="H1026">
        <v>4</v>
      </c>
      <c r="I1026">
        <v>10577</v>
      </c>
      <c r="J1026">
        <v>0</v>
      </c>
      <c r="K1026">
        <v>42308</v>
      </c>
      <c r="L1026">
        <v>4838.97</v>
      </c>
    </row>
    <row r="1027" spans="1:12" x14ac:dyDescent="0.3">
      <c r="A1027" t="s">
        <v>1265</v>
      </c>
      <c r="B1027" s="3">
        <v>45937</v>
      </c>
      <c r="C1027" t="s">
        <v>156</v>
      </c>
      <c r="D1027" t="s">
        <v>153</v>
      </c>
      <c r="E1027" t="s">
        <v>26</v>
      </c>
      <c r="F1027" t="s">
        <v>58</v>
      </c>
      <c r="G1027" t="s">
        <v>69</v>
      </c>
      <c r="H1027">
        <v>1</v>
      </c>
      <c r="I1027">
        <v>5809</v>
      </c>
      <c r="J1027">
        <v>0</v>
      </c>
      <c r="K1027">
        <v>5809</v>
      </c>
      <c r="L1027">
        <v>1423.56</v>
      </c>
    </row>
    <row r="1028" spans="1:12" x14ac:dyDescent="0.3">
      <c r="A1028" t="s">
        <v>1266</v>
      </c>
      <c r="B1028" s="3">
        <v>45719</v>
      </c>
      <c r="C1028" t="s">
        <v>546</v>
      </c>
      <c r="D1028" t="s">
        <v>83</v>
      </c>
      <c r="E1028" t="s">
        <v>73</v>
      </c>
      <c r="F1028" t="s">
        <v>21</v>
      </c>
      <c r="G1028" t="s">
        <v>22</v>
      </c>
      <c r="H1028">
        <v>1</v>
      </c>
      <c r="I1028">
        <v>529</v>
      </c>
      <c r="J1028">
        <v>0</v>
      </c>
      <c r="K1028">
        <v>529</v>
      </c>
      <c r="L1028">
        <v>102.23</v>
      </c>
    </row>
    <row r="1029" spans="1:12" x14ac:dyDescent="0.3">
      <c r="A1029" t="s">
        <v>1267</v>
      </c>
      <c r="B1029" s="3">
        <v>45998</v>
      </c>
      <c r="C1029" t="s">
        <v>1109</v>
      </c>
      <c r="D1029" t="s">
        <v>202</v>
      </c>
      <c r="E1029" t="s">
        <v>44</v>
      </c>
      <c r="F1029" t="s">
        <v>58</v>
      </c>
      <c r="G1029" t="s">
        <v>69</v>
      </c>
      <c r="H1029">
        <v>3</v>
      </c>
      <c r="I1029">
        <v>3036</v>
      </c>
      <c r="J1029">
        <v>0.1</v>
      </c>
      <c r="K1029">
        <v>8197.2000000000007</v>
      </c>
      <c r="L1029">
        <v>950.54</v>
      </c>
    </row>
    <row r="1030" spans="1:12" x14ac:dyDescent="0.3">
      <c r="A1030" t="s">
        <v>1268</v>
      </c>
      <c r="B1030" s="3">
        <v>45765</v>
      </c>
      <c r="C1030" t="s">
        <v>321</v>
      </c>
      <c r="D1030" t="s">
        <v>43</v>
      </c>
      <c r="E1030" t="s">
        <v>44</v>
      </c>
      <c r="F1030" t="s">
        <v>16</v>
      </c>
      <c r="G1030" t="s">
        <v>104</v>
      </c>
      <c r="H1030">
        <v>4</v>
      </c>
      <c r="I1030">
        <v>418</v>
      </c>
      <c r="J1030">
        <v>0.05</v>
      </c>
      <c r="K1030">
        <v>1588.3999999999999</v>
      </c>
      <c r="L1030">
        <v>432.78</v>
      </c>
    </row>
    <row r="1031" spans="1:12" x14ac:dyDescent="0.3">
      <c r="A1031" t="s">
        <v>1269</v>
      </c>
      <c r="B1031" s="3">
        <v>45892</v>
      </c>
      <c r="C1031" t="s">
        <v>570</v>
      </c>
      <c r="D1031" t="s">
        <v>43</v>
      </c>
      <c r="E1031" t="s">
        <v>44</v>
      </c>
      <c r="F1031" t="s">
        <v>58</v>
      </c>
      <c r="G1031" t="s">
        <v>69</v>
      </c>
      <c r="H1031">
        <v>4</v>
      </c>
      <c r="I1031">
        <v>865</v>
      </c>
      <c r="J1031">
        <v>0.1</v>
      </c>
      <c r="K1031">
        <v>3114</v>
      </c>
      <c r="L1031">
        <v>871.74</v>
      </c>
    </row>
    <row r="1032" spans="1:12" x14ac:dyDescent="0.3">
      <c r="A1032" t="s">
        <v>1270</v>
      </c>
      <c r="B1032" s="3">
        <v>45870</v>
      </c>
      <c r="C1032" t="s">
        <v>719</v>
      </c>
      <c r="D1032" t="s">
        <v>120</v>
      </c>
      <c r="E1032" t="s">
        <v>51</v>
      </c>
      <c r="F1032" t="s">
        <v>21</v>
      </c>
      <c r="G1032" t="s">
        <v>55</v>
      </c>
      <c r="H1032">
        <v>3</v>
      </c>
      <c r="I1032">
        <v>1571</v>
      </c>
      <c r="J1032">
        <v>0.2</v>
      </c>
      <c r="K1032">
        <v>3770.4</v>
      </c>
      <c r="L1032">
        <v>952.38</v>
      </c>
    </row>
    <row r="1033" spans="1:12" x14ac:dyDescent="0.3">
      <c r="A1033" t="s">
        <v>1271</v>
      </c>
      <c r="B1033" s="3">
        <v>45943</v>
      </c>
      <c r="C1033" t="s">
        <v>398</v>
      </c>
      <c r="D1033" t="s">
        <v>80</v>
      </c>
      <c r="E1033" t="s">
        <v>51</v>
      </c>
      <c r="F1033" t="s">
        <v>58</v>
      </c>
      <c r="G1033" t="s">
        <v>59</v>
      </c>
      <c r="H1033">
        <v>2</v>
      </c>
      <c r="I1033">
        <v>66525</v>
      </c>
      <c r="J1033">
        <v>0.05</v>
      </c>
      <c r="K1033">
        <v>126397.5</v>
      </c>
      <c r="L1033">
        <v>17537.95</v>
      </c>
    </row>
    <row r="1034" spans="1:12" x14ac:dyDescent="0.3">
      <c r="A1034" t="s">
        <v>1272</v>
      </c>
      <c r="B1034" s="3">
        <v>45675</v>
      </c>
      <c r="C1034" t="s">
        <v>878</v>
      </c>
      <c r="D1034" t="s">
        <v>50</v>
      </c>
      <c r="E1034" t="s">
        <v>51</v>
      </c>
      <c r="F1034" t="s">
        <v>16</v>
      </c>
      <c r="G1034" t="s">
        <v>17</v>
      </c>
      <c r="H1034">
        <v>1</v>
      </c>
      <c r="I1034">
        <v>2385</v>
      </c>
      <c r="J1034">
        <v>0</v>
      </c>
      <c r="K1034">
        <v>2385</v>
      </c>
      <c r="L1034">
        <v>586.54999999999995</v>
      </c>
    </row>
    <row r="1035" spans="1:12" x14ac:dyDescent="0.3">
      <c r="A1035" t="s">
        <v>1273</v>
      </c>
      <c r="B1035" s="3">
        <v>45938</v>
      </c>
      <c r="C1035" t="s">
        <v>391</v>
      </c>
      <c r="D1035" t="s">
        <v>65</v>
      </c>
      <c r="E1035" t="s">
        <v>26</v>
      </c>
      <c r="F1035" t="s">
        <v>21</v>
      </c>
      <c r="G1035" t="s">
        <v>35</v>
      </c>
      <c r="H1035">
        <v>2</v>
      </c>
      <c r="I1035">
        <v>4356</v>
      </c>
      <c r="J1035">
        <v>0.15</v>
      </c>
      <c r="K1035">
        <v>7405.2</v>
      </c>
      <c r="L1035">
        <v>2028.37</v>
      </c>
    </row>
    <row r="1036" spans="1:12" x14ac:dyDescent="0.3">
      <c r="A1036" t="s">
        <v>1274</v>
      </c>
      <c r="B1036" s="3">
        <v>45821</v>
      </c>
      <c r="C1036" t="s">
        <v>278</v>
      </c>
      <c r="D1036" t="s">
        <v>83</v>
      </c>
      <c r="E1036" t="s">
        <v>73</v>
      </c>
      <c r="F1036" t="s">
        <v>21</v>
      </c>
      <c r="G1036" t="s">
        <v>22</v>
      </c>
      <c r="H1036">
        <v>2</v>
      </c>
      <c r="I1036">
        <v>542</v>
      </c>
      <c r="J1036">
        <v>0.15</v>
      </c>
      <c r="K1036">
        <v>921.4</v>
      </c>
      <c r="L1036">
        <v>250.04</v>
      </c>
    </row>
    <row r="1037" spans="1:12" x14ac:dyDescent="0.3">
      <c r="A1037" t="s">
        <v>1275</v>
      </c>
      <c r="B1037" s="3">
        <v>45888</v>
      </c>
      <c r="C1037" t="s">
        <v>346</v>
      </c>
      <c r="D1037" t="s">
        <v>97</v>
      </c>
      <c r="E1037" t="s">
        <v>44</v>
      </c>
      <c r="F1037" t="s">
        <v>27</v>
      </c>
      <c r="G1037" t="s">
        <v>40</v>
      </c>
      <c r="H1037">
        <v>3</v>
      </c>
      <c r="I1037">
        <v>1058</v>
      </c>
      <c r="J1037">
        <v>0.05</v>
      </c>
      <c r="K1037">
        <v>3015.2999999999997</v>
      </c>
      <c r="L1037">
        <v>281.31</v>
      </c>
    </row>
    <row r="1038" spans="1:12" x14ac:dyDescent="0.3">
      <c r="A1038" t="s">
        <v>1276</v>
      </c>
      <c r="B1038" s="3">
        <v>45692</v>
      </c>
      <c r="C1038" t="s">
        <v>187</v>
      </c>
      <c r="D1038" t="s">
        <v>65</v>
      </c>
      <c r="E1038" t="s">
        <v>26</v>
      </c>
      <c r="F1038" t="s">
        <v>16</v>
      </c>
      <c r="G1038" t="s">
        <v>17</v>
      </c>
      <c r="H1038">
        <v>2</v>
      </c>
      <c r="I1038">
        <v>1641</v>
      </c>
      <c r="J1038">
        <v>0</v>
      </c>
      <c r="K1038">
        <v>3282</v>
      </c>
      <c r="L1038">
        <v>771.54</v>
      </c>
    </row>
    <row r="1039" spans="1:12" x14ac:dyDescent="0.3">
      <c r="A1039" t="s">
        <v>1277</v>
      </c>
      <c r="B1039" s="3">
        <v>45799</v>
      </c>
      <c r="C1039" t="s">
        <v>339</v>
      </c>
      <c r="D1039" t="s">
        <v>88</v>
      </c>
      <c r="E1039" t="s">
        <v>73</v>
      </c>
      <c r="F1039" t="s">
        <v>21</v>
      </c>
      <c r="G1039" t="s">
        <v>35</v>
      </c>
      <c r="H1039">
        <v>2</v>
      </c>
      <c r="I1039">
        <v>554</v>
      </c>
      <c r="J1039">
        <v>0.05</v>
      </c>
      <c r="K1039">
        <v>1052.5999999999999</v>
      </c>
      <c r="L1039">
        <v>249.11</v>
      </c>
    </row>
    <row r="1040" spans="1:12" x14ac:dyDescent="0.3">
      <c r="A1040" t="s">
        <v>1278</v>
      </c>
      <c r="B1040" s="3">
        <v>45862</v>
      </c>
      <c r="C1040" t="s">
        <v>49</v>
      </c>
      <c r="D1040" t="s">
        <v>103</v>
      </c>
      <c r="E1040" t="s">
        <v>51</v>
      </c>
      <c r="F1040" t="s">
        <v>58</v>
      </c>
      <c r="G1040" t="s">
        <v>126</v>
      </c>
      <c r="H1040">
        <v>1</v>
      </c>
      <c r="I1040">
        <v>5784</v>
      </c>
      <c r="J1040">
        <v>0</v>
      </c>
      <c r="K1040">
        <v>5784</v>
      </c>
      <c r="L1040">
        <v>1460.38</v>
      </c>
    </row>
    <row r="1041" spans="1:12" x14ac:dyDescent="0.3">
      <c r="A1041" t="s">
        <v>1279</v>
      </c>
      <c r="B1041" s="3">
        <v>45869</v>
      </c>
      <c r="C1041" t="s">
        <v>194</v>
      </c>
      <c r="D1041" t="s">
        <v>50</v>
      </c>
      <c r="E1041" t="s">
        <v>51</v>
      </c>
      <c r="F1041" t="s">
        <v>21</v>
      </c>
      <c r="G1041" t="s">
        <v>22</v>
      </c>
      <c r="H1041">
        <v>1</v>
      </c>
      <c r="I1041">
        <v>1529</v>
      </c>
      <c r="J1041">
        <v>0</v>
      </c>
      <c r="K1041">
        <v>1529</v>
      </c>
      <c r="L1041">
        <v>322.32</v>
      </c>
    </row>
    <row r="1042" spans="1:12" x14ac:dyDescent="0.3">
      <c r="A1042" t="s">
        <v>1280</v>
      </c>
      <c r="B1042" s="3">
        <v>45799</v>
      </c>
      <c r="C1042" t="s">
        <v>13</v>
      </c>
      <c r="D1042" t="s">
        <v>120</v>
      </c>
      <c r="E1042" t="s">
        <v>51</v>
      </c>
      <c r="F1042" t="s">
        <v>27</v>
      </c>
      <c r="G1042" t="s">
        <v>28</v>
      </c>
      <c r="H1042">
        <v>3</v>
      </c>
      <c r="I1042">
        <v>611</v>
      </c>
      <c r="J1042">
        <v>0.15</v>
      </c>
      <c r="K1042">
        <v>1558.05</v>
      </c>
      <c r="L1042">
        <v>334.52</v>
      </c>
    </row>
    <row r="1043" spans="1:12" x14ac:dyDescent="0.3">
      <c r="A1043" t="s">
        <v>1281</v>
      </c>
      <c r="B1043" s="3">
        <v>45713</v>
      </c>
      <c r="C1043" t="s">
        <v>636</v>
      </c>
      <c r="D1043" t="s">
        <v>153</v>
      </c>
      <c r="E1043" t="s">
        <v>26</v>
      </c>
      <c r="F1043" t="s">
        <v>16</v>
      </c>
      <c r="G1043" t="s">
        <v>52</v>
      </c>
      <c r="H1043">
        <v>3</v>
      </c>
      <c r="I1043">
        <v>3984</v>
      </c>
      <c r="J1043">
        <v>0.15</v>
      </c>
      <c r="K1043">
        <v>10159.199999999999</v>
      </c>
      <c r="L1043">
        <v>1226.78</v>
      </c>
    </row>
    <row r="1044" spans="1:12" x14ac:dyDescent="0.3">
      <c r="A1044" t="s">
        <v>1282</v>
      </c>
      <c r="B1044" s="3">
        <v>45927</v>
      </c>
      <c r="C1044" t="s">
        <v>156</v>
      </c>
      <c r="D1044" t="s">
        <v>97</v>
      </c>
      <c r="E1044" t="s">
        <v>44</v>
      </c>
      <c r="F1044" t="s">
        <v>27</v>
      </c>
      <c r="G1044" t="s">
        <v>31</v>
      </c>
      <c r="H1044">
        <v>5</v>
      </c>
      <c r="I1044">
        <v>490</v>
      </c>
      <c r="J1044">
        <v>0.05</v>
      </c>
      <c r="K1044">
        <v>2327.5</v>
      </c>
      <c r="L1044">
        <v>428.34</v>
      </c>
    </row>
    <row r="1045" spans="1:12" x14ac:dyDescent="0.3">
      <c r="A1045" t="s">
        <v>1283</v>
      </c>
      <c r="B1045" s="3">
        <v>45929</v>
      </c>
      <c r="C1045" t="s">
        <v>300</v>
      </c>
      <c r="D1045" t="s">
        <v>202</v>
      </c>
      <c r="E1045" t="s">
        <v>44</v>
      </c>
      <c r="F1045" t="s">
        <v>58</v>
      </c>
      <c r="G1045" t="s">
        <v>69</v>
      </c>
      <c r="H1045">
        <v>2</v>
      </c>
      <c r="I1045">
        <v>1345</v>
      </c>
      <c r="J1045">
        <v>0.15</v>
      </c>
      <c r="K1045">
        <v>2286.5</v>
      </c>
      <c r="L1045">
        <v>505.28</v>
      </c>
    </row>
    <row r="1046" spans="1:12" x14ac:dyDescent="0.3">
      <c r="A1046" t="s">
        <v>1284</v>
      </c>
      <c r="B1046" s="3">
        <v>45686</v>
      </c>
      <c r="C1046" t="s">
        <v>141</v>
      </c>
      <c r="D1046" t="s">
        <v>47</v>
      </c>
      <c r="E1046" t="s">
        <v>26</v>
      </c>
      <c r="F1046" t="s">
        <v>16</v>
      </c>
      <c r="G1046" t="s">
        <v>17</v>
      </c>
      <c r="H1046">
        <v>1</v>
      </c>
      <c r="I1046">
        <v>10719</v>
      </c>
      <c r="J1046">
        <v>0.2</v>
      </c>
      <c r="K1046">
        <v>8575.2000000000007</v>
      </c>
      <c r="L1046">
        <v>2284.66</v>
      </c>
    </row>
    <row r="1047" spans="1:12" x14ac:dyDescent="0.3">
      <c r="A1047" t="s">
        <v>1285</v>
      </c>
      <c r="B1047" s="3">
        <v>45733</v>
      </c>
      <c r="C1047" t="s">
        <v>542</v>
      </c>
      <c r="D1047" t="s">
        <v>103</v>
      </c>
      <c r="E1047" t="s">
        <v>51</v>
      </c>
      <c r="F1047" t="s">
        <v>16</v>
      </c>
      <c r="G1047" t="s">
        <v>52</v>
      </c>
      <c r="H1047">
        <v>1</v>
      </c>
      <c r="I1047">
        <v>7434</v>
      </c>
      <c r="J1047">
        <v>0.2</v>
      </c>
      <c r="K1047">
        <v>5947.2000000000007</v>
      </c>
      <c r="L1047">
        <v>1595.2</v>
      </c>
    </row>
    <row r="1048" spans="1:12" x14ac:dyDescent="0.3">
      <c r="A1048" t="s">
        <v>1286</v>
      </c>
      <c r="B1048" s="3">
        <v>45818</v>
      </c>
      <c r="C1048" t="s">
        <v>805</v>
      </c>
      <c r="D1048" t="s">
        <v>120</v>
      </c>
      <c r="E1048" t="s">
        <v>51</v>
      </c>
      <c r="F1048" t="s">
        <v>27</v>
      </c>
      <c r="G1048" t="s">
        <v>28</v>
      </c>
      <c r="H1048">
        <v>1</v>
      </c>
      <c r="I1048">
        <v>969</v>
      </c>
      <c r="J1048">
        <v>0.05</v>
      </c>
      <c r="K1048">
        <v>920.55</v>
      </c>
      <c r="L1048">
        <v>130.59</v>
      </c>
    </row>
    <row r="1049" spans="1:12" x14ac:dyDescent="0.3">
      <c r="A1049" t="s">
        <v>1287</v>
      </c>
      <c r="B1049" s="3">
        <v>45717</v>
      </c>
      <c r="C1049" t="s">
        <v>719</v>
      </c>
      <c r="D1049" t="s">
        <v>83</v>
      </c>
      <c r="E1049" t="s">
        <v>73</v>
      </c>
      <c r="F1049" t="s">
        <v>58</v>
      </c>
      <c r="G1049" t="s">
        <v>126</v>
      </c>
      <c r="H1049">
        <v>4</v>
      </c>
      <c r="I1049">
        <v>437</v>
      </c>
      <c r="J1049">
        <v>0</v>
      </c>
      <c r="K1049">
        <v>1748</v>
      </c>
      <c r="L1049">
        <v>367.67</v>
      </c>
    </row>
    <row r="1050" spans="1:12" x14ac:dyDescent="0.3">
      <c r="A1050" t="s">
        <v>1288</v>
      </c>
      <c r="B1050" s="3">
        <v>45714</v>
      </c>
      <c r="C1050" t="s">
        <v>665</v>
      </c>
      <c r="D1050" t="s">
        <v>83</v>
      </c>
      <c r="E1050" t="s">
        <v>73</v>
      </c>
      <c r="F1050" t="s">
        <v>21</v>
      </c>
      <c r="G1050" t="s">
        <v>35</v>
      </c>
      <c r="H1050">
        <v>2</v>
      </c>
      <c r="I1050">
        <v>421</v>
      </c>
      <c r="J1050">
        <v>0.05</v>
      </c>
      <c r="K1050">
        <v>799.9</v>
      </c>
      <c r="L1050">
        <v>90.03</v>
      </c>
    </row>
    <row r="1051" spans="1:12" x14ac:dyDescent="0.3">
      <c r="A1051" t="s">
        <v>1289</v>
      </c>
      <c r="B1051" s="3">
        <v>45683</v>
      </c>
      <c r="C1051" t="s">
        <v>415</v>
      </c>
      <c r="D1051" t="s">
        <v>14</v>
      </c>
      <c r="E1051" t="s">
        <v>15</v>
      </c>
      <c r="F1051" t="s">
        <v>58</v>
      </c>
      <c r="G1051" t="s">
        <v>69</v>
      </c>
      <c r="H1051">
        <v>2</v>
      </c>
      <c r="I1051">
        <v>14372</v>
      </c>
      <c r="J1051">
        <v>0.1</v>
      </c>
      <c r="K1051">
        <v>25869.600000000002</v>
      </c>
      <c r="L1051">
        <v>4096.07</v>
      </c>
    </row>
    <row r="1052" spans="1:12" x14ac:dyDescent="0.3">
      <c r="A1052" t="s">
        <v>1290</v>
      </c>
      <c r="B1052" s="3">
        <v>45700</v>
      </c>
      <c r="C1052" t="s">
        <v>503</v>
      </c>
      <c r="D1052" t="s">
        <v>153</v>
      </c>
      <c r="E1052" t="s">
        <v>26</v>
      </c>
      <c r="F1052" t="s">
        <v>16</v>
      </c>
      <c r="G1052" t="s">
        <v>52</v>
      </c>
      <c r="H1052">
        <v>3</v>
      </c>
      <c r="I1052">
        <v>6560</v>
      </c>
      <c r="J1052">
        <v>0.05</v>
      </c>
      <c r="K1052">
        <v>18696</v>
      </c>
      <c r="L1052">
        <v>2005.15</v>
      </c>
    </row>
    <row r="1053" spans="1:12" x14ac:dyDescent="0.3">
      <c r="A1053" t="s">
        <v>1291</v>
      </c>
      <c r="B1053" s="3">
        <v>45854</v>
      </c>
      <c r="C1053" t="s">
        <v>61</v>
      </c>
      <c r="D1053" t="s">
        <v>68</v>
      </c>
      <c r="E1053" t="s">
        <v>44</v>
      </c>
      <c r="F1053" t="s">
        <v>21</v>
      </c>
      <c r="G1053" t="s">
        <v>35</v>
      </c>
      <c r="H1053">
        <v>1</v>
      </c>
      <c r="I1053">
        <v>7128</v>
      </c>
      <c r="J1053">
        <v>0.1</v>
      </c>
      <c r="K1053">
        <v>6415.2</v>
      </c>
      <c r="L1053">
        <v>943.46</v>
      </c>
    </row>
    <row r="1054" spans="1:12" x14ac:dyDescent="0.3">
      <c r="A1054" t="s">
        <v>1292</v>
      </c>
      <c r="B1054" s="3">
        <v>45897</v>
      </c>
      <c r="C1054" t="s">
        <v>159</v>
      </c>
      <c r="D1054" t="s">
        <v>88</v>
      </c>
      <c r="E1054" t="s">
        <v>73</v>
      </c>
      <c r="F1054" t="s">
        <v>21</v>
      </c>
      <c r="G1054" t="s">
        <v>35</v>
      </c>
      <c r="H1054">
        <v>4</v>
      </c>
      <c r="I1054">
        <v>146</v>
      </c>
      <c r="J1054">
        <v>0.1</v>
      </c>
      <c r="K1054">
        <v>525.6</v>
      </c>
      <c r="L1054">
        <v>85.48</v>
      </c>
    </row>
    <row r="1055" spans="1:12" x14ac:dyDescent="0.3">
      <c r="A1055" t="s">
        <v>1293</v>
      </c>
      <c r="B1055" s="3">
        <v>45720</v>
      </c>
      <c r="C1055" t="s">
        <v>231</v>
      </c>
      <c r="D1055" t="s">
        <v>43</v>
      </c>
      <c r="E1055" t="s">
        <v>44</v>
      </c>
      <c r="F1055" t="s">
        <v>16</v>
      </c>
      <c r="G1055" t="s">
        <v>104</v>
      </c>
      <c r="H1055">
        <v>1</v>
      </c>
      <c r="I1055">
        <v>608</v>
      </c>
      <c r="J1055">
        <v>0.1</v>
      </c>
      <c r="K1055">
        <v>547.20000000000005</v>
      </c>
      <c r="L1055">
        <v>89.67</v>
      </c>
    </row>
    <row r="1056" spans="1:12" x14ac:dyDescent="0.3">
      <c r="A1056" t="s">
        <v>1294</v>
      </c>
      <c r="B1056" s="3">
        <v>45917</v>
      </c>
      <c r="C1056" t="s">
        <v>326</v>
      </c>
      <c r="D1056" t="s">
        <v>202</v>
      </c>
      <c r="E1056" t="s">
        <v>44</v>
      </c>
      <c r="F1056" t="s">
        <v>16</v>
      </c>
      <c r="G1056" t="s">
        <v>17</v>
      </c>
      <c r="H1056">
        <v>4</v>
      </c>
      <c r="I1056">
        <v>2065</v>
      </c>
      <c r="J1056">
        <v>0.05</v>
      </c>
      <c r="K1056">
        <v>7847</v>
      </c>
      <c r="L1056">
        <v>1244.8</v>
      </c>
    </row>
    <row r="1057" spans="1:12" x14ac:dyDescent="0.3">
      <c r="A1057" t="s">
        <v>1295</v>
      </c>
      <c r="B1057" s="3">
        <v>45855</v>
      </c>
      <c r="C1057" t="s">
        <v>448</v>
      </c>
      <c r="D1057" t="s">
        <v>50</v>
      </c>
      <c r="E1057" t="s">
        <v>51</v>
      </c>
      <c r="F1057" t="s">
        <v>27</v>
      </c>
      <c r="G1057" t="s">
        <v>28</v>
      </c>
      <c r="H1057">
        <v>2</v>
      </c>
      <c r="I1057">
        <v>1267</v>
      </c>
      <c r="J1057">
        <v>0.05</v>
      </c>
      <c r="K1057">
        <v>2407.2999999999997</v>
      </c>
      <c r="L1057">
        <v>222.21</v>
      </c>
    </row>
    <row r="1058" spans="1:12" x14ac:dyDescent="0.3">
      <c r="A1058" t="s">
        <v>1296</v>
      </c>
      <c r="B1058" s="3">
        <v>45706</v>
      </c>
      <c r="C1058" t="s">
        <v>24</v>
      </c>
      <c r="D1058" t="s">
        <v>50</v>
      </c>
      <c r="E1058" t="s">
        <v>51</v>
      </c>
      <c r="F1058" t="s">
        <v>58</v>
      </c>
      <c r="G1058" t="s">
        <v>59</v>
      </c>
      <c r="H1058">
        <v>3</v>
      </c>
      <c r="I1058">
        <v>1172</v>
      </c>
      <c r="J1058">
        <v>0.15</v>
      </c>
      <c r="K1058">
        <v>2988.6</v>
      </c>
      <c r="L1058">
        <v>715.8</v>
      </c>
    </row>
    <row r="1059" spans="1:12" x14ac:dyDescent="0.3">
      <c r="A1059" t="s">
        <v>1297</v>
      </c>
      <c r="B1059" s="3">
        <v>45759</v>
      </c>
      <c r="C1059" t="s">
        <v>246</v>
      </c>
      <c r="D1059" t="s">
        <v>88</v>
      </c>
      <c r="E1059" t="s">
        <v>73</v>
      </c>
      <c r="F1059" t="s">
        <v>21</v>
      </c>
      <c r="G1059" t="s">
        <v>22</v>
      </c>
      <c r="H1059">
        <v>1</v>
      </c>
      <c r="I1059">
        <v>554</v>
      </c>
      <c r="J1059">
        <v>0.15</v>
      </c>
      <c r="K1059">
        <v>470.9</v>
      </c>
      <c r="L1059">
        <v>88.8</v>
      </c>
    </row>
    <row r="1060" spans="1:12" x14ac:dyDescent="0.3">
      <c r="A1060" t="s">
        <v>1298</v>
      </c>
      <c r="B1060" s="3">
        <v>45939</v>
      </c>
      <c r="C1060" t="s">
        <v>315</v>
      </c>
      <c r="D1060" t="s">
        <v>80</v>
      </c>
      <c r="E1060" t="s">
        <v>51</v>
      </c>
      <c r="F1060" t="s">
        <v>27</v>
      </c>
      <c r="G1060" t="s">
        <v>28</v>
      </c>
      <c r="H1060">
        <v>2</v>
      </c>
      <c r="I1060">
        <v>75112</v>
      </c>
      <c r="J1060">
        <v>0.15</v>
      </c>
      <c r="K1060">
        <v>127690.4</v>
      </c>
      <c r="L1060">
        <v>32673.34</v>
      </c>
    </row>
    <row r="1061" spans="1:12" x14ac:dyDescent="0.3">
      <c r="A1061" t="s">
        <v>1299</v>
      </c>
      <c r="B1061" s="3">
        <v>45987</v>
      </c>
      <c r="C1061" t="s">
        <v>116</v>
      </c>
      <c r="D1061" t="s">
        <v>153</v>
      </c>
      <c r="E1061" t="s">
        <v>26</v>
      </c>
      <c r="F1061" t="s">
        <v>58</v>
      </c>
      <c r="G1061" t="s">
        <v>126</v>
      </c>
      <c r="H1061">
        <v>4</v>
      </c>
      <c r="I1061">
        <v>5636</v>
      </c>
      <c r="J1061">
        <v>0.2</v>
      </c>
      <c r="K1061">
        <v>18035.2</v>
      </c>
      <c r="L1061">
        <v>5025.2</v>
      </c>
    </row>
    <row r="1062" spans="1:12" x14ac:dyDescent="0.3">
      <c r="A1062" t="s">
        <v>1300</v>
      </c>
      <c r="B1062" s="3">
        <v>45797</v>
      </c>
      <c r="C1062" t="s">
        <v>401</v>
      </c>
      <c r="D1062" t="s">
        <v>68</v>
      </c>
      <c r="E1062" t="s">
        <v>44</v>
      </c>
      <c r="F1062" t="s">
        <v>21</v>
      </c>
      <c r="G1062" t="s">
        <v>55</v>
      </c>
      <c r="H1062">
        <v>3</v>
      </c>
      <c r="I1062">
        <v>4971</v>
      </c>
      <c r="J1062">
        <v>0.1</v>
      </c>
      <c r="K1062">
        <v>13421.7</v>
      </c>
      <c r="L1062">
        <v>1348.14</v>
      </c>
    </row>
    <row r="1063" spans="1:12" x14ac:dyDescent="0.3">
      <c r="A1063" t="s">
        <v>1301</v>
      </c>
      <c r="B1063" s="3">
        <v>45803</v>
      </c>
      <c r="C1063" t="s">
        <v>143</v>
      </c>
      <c r="D1063" t="s">
        <v>80</v>
      </c>
      <c r="E1063" t="s">
        <v>51</v>
      </c>
      <c r="F1063" t="s">
        <v>16</v>
      </c>
      <c r="G1063" t="s">
        <v>17</v>
      </c>
      <c r="H1063">
        <v>1</v>
      </c>
      <c r="I1063">
        <v>69180</v>
      </c>
      <c r="J1063">
        <v>0.05</v>
      </c>
      <c r="K1063">
        <v>65721</v>
      </c>
      <c r="L1063">
        <v>16592.38</v>
      </c>
    </row>
    <row r="1064" spans="1:12" x14ac:dyDescent="0.3">
      <c r="A1064" t="s">
        <v>1302</v>
      </c>
      <c r="B1064" s="3">
        <v>45823</v>
      </c>
      <c r="C1064" t="s">
        <v>295</v>
      </c>
      <c r="D1064" t="s">
        <v>25</v>
      </c>
      <c r="E1064" t="s">
        <v>26</v>
      </c>
      <c r="F1064" t="s">
        <v>27</v>
      </c>
      <c r="G1064" t="s">
        <v>28</v>
      </c>
      <c r="H1064">
        <v>1</v>
      </c>
      <c r="I1064">
        <v>9470</v>
      </c>
      <c r="J1064">
        <v>0.15</v>
      </c>
      <c r="K1064">
        <v>8049.5</v>
      </c>
      <c r="L1064">
        <v>1932.47</v>
      </c>
    </row>
    <row r="1065" spans="1:12" x14ac:dyDescent="0.3">
      <c r="A1065" t="s">
        <v>1303</v>
      </c>
      <c r="B1065" s="3">
        <v>45908</v>
      </c>
      <c r="C1065" t="s">
        <v>255</v>
      </c>
      <c r="D1065" t="s">
        <v>153</v>
      </c>
      <c r="E1065" t="s">
        <v>26</v>
      </c>
      <c r="F1065" t="s">
        <v>16</v>
      </c>
      <c r="G1065" t="s">
        <v>104</v>
      </c>
      <c r="H1065">
        <v>1</v>
      </c>
      <c r="I1065">
        <v>5636</v>
      </c>
      <c r="J1065">
        <v>0.1</v>
      </c>
      <c r="K1065">
        <v>5072.4000000000005</v>
      </c>
      <c r="L1065">
        <v>967.3</v>
      </c>
    </row>
    <row r="1066" spans="1:12" x14ac:dyDescent="0.3">
      <c r="A1066" t="s">
        <v>1304</v>
      </c>
      <c r="B1066" s="3">
        <v>45717</v>
      </c>
      <c r="C1066" t="s">
        <v>358</v>
      </c>
      <c r="D1066" t="s">
        <v>20</v>
      </c>
      <c r="E1066" t="s">
        <v>15</v>
      </c>
      <c r="F1066" t="s">
        <v>16</v>
      </c>
      <c r="G1066" t="s">
        <v>52</v>
      </c>
      <c r="H1066">
        <v>1</v>
      </c>
      <c r="I1066">
        <v>12163</v>
      </c>
      <c r="J1066">
        <v>0.15</v>
      </c>
      <c r="K1066">
        <v>10338.549999999999</v>
      </c>
      <c r="L1066">
        <v>2813.59</v>
      </c>
    </row>
    <row r="1067" spans="1:12" x14ac:dyDescent="0.3">
      <c r="A1067" t="s">
        <v>1305</v>
      </c>
      <c r="B1067" s="3">
        <v>45789</v>
      </c>
      <c r="C1067" t="s">
        <v>136</v>
      </c>
      <c r="D1067" t="s">
        <v>25</v>
      </c>
      <c r="E1067" t="s">
        <v>26</v>
      </c>
      <c r="F1067" t="s">
        <v>58</v>
      </c>
      <c r="G1067" t="s">
        <v>126</v>
      </c>
      <c r="H1067">
        <v>2</v>
      </c>
      <c r="I1067">
        <v>8442</v>
      </c>
      <c r="J1067">
        <v>0</v>
      </c>
      <c r="K1067">
        <v>16884</v>
      </c>
      <c r="L1067">
        <v>4323.7299999999996</v>
      </c>
    </row>
    <row r="1068" spans="1:12" x14ac:dyDescent="0.3">
      <c r="A1068" t="s">
        <v>1306</v>
      </c>
      <c r="B1068" s="3">
        <v>45900</v>
      </c>
      <c r="C1068" t="s">
        <v>123</v>
      </c>
      <c r="D1068" t="s">
        <v>202</v>
      </c>
      <c r="E1068" t="s">
        <v>44</v>
      </c>
      <c r="F1068" t="s">
        <v>16</v>
      </c>
      <c r="G1068" t="s">
        <v>52</v>
      </c>
      <c r="H1068">
        <v>2</v>
      </c>
      <c r="I1068">
        <v>2353</v>
      </c>
      <c r="J1068">
        <v>0.1</v>
      </c>
      <c r="K1068">
        <v>4235.4000000000005</v>
      </c>
      <c r="L1068">
        <v>489.17</v>
      </c>
    </row>
    <row r="1069" spans="1:12" x14ac:dyDescent="0.3">
      <c r="A1069" t="s">
        <v>1307</v>
      </c>
      <c r="B1069" s="3">
        <v>45923</v>
      </c>
      <c r="C1069" t="s">
        <v>436</v>
      </c>
      <c r="D1069" t="s">
        <v>50</v>
      </c>
      <c r="E1069" t="s">
        <v>51</v>
      </c>
      <c r="F1069" t="s">
        <v>21</v>
      </c>
      <c r="G1069" t="s">
        <v>55</v>
      </c>
      <c r="H1069">
        <v>2</v>
      </c>
      <c r="I1069">
        <v>2274</v>
      </c>
      <c r="J1069">
        <v>0</v>
      </c>
      <c r="K1069">
        <v>4548</v>
      </c>
      <c r="L1069">
        <v>518.80999999999995</v>
      </c>
    </row>
    <row r="1070" spans="1:12" x14ac:dyDescent="0.3">
      <c r="A1070" t="s">
        <v>1308</v>
      </c>
      <c r="B1070" s="3">
        <v>45744</v>
      </c>
      <c r="C1070" t="s">
        <v>176</v>
      </c>
      <c r="D1070" t="s">
        <v>120</v>
      </c>
      <c r="E1070" t="s">
        <v>51</v>
      </c>
      <c r="F1070" t="s">
        <v>58</v>
      </c>
      <c r="G1070" t="s">
        <v>59</v>
      </c>
      <c r="H1070">
        <v>1</v>
      </c>
      <c r="I1070">
        <v>1855</v>
      </c>
      <c r="J1070">
        <v>0</v>
      </c>
      <c r="K1070">
        <v>1855</v>
      </c>
      <c r="L1070">
        <v>373.31</v>
      </c>
    </row>
    <row r="1071" spans="1:12" x14ac:dyDescent="0.3">
      <c r="A1071" t="s">
        <v>1309</v>
      </c>
      <c r="B1071" s="3">
        <v>45758</v>
      </c>
      <c r="C1071" t="s">
        <v>260</v>
      </c>
      <c r="D1071" t="s">
        <v>65</v>
      </c>
      <c r="E1071" t="s">
        <v>26</v>
      </c>
      <c r="F1071" t="s">
        <v>27</v>
      </c>
      <c r="G1071" t="s">
        <v>40</v>
      </c>
      <c r="H1071">
        <v>2</v>
      </c>
      <c r="I1071">
        <v>2928</v>
      </c>
      <c r="J1071">
        <v>0</v>
      </c>
      <c r="K1071">
        <v>5856</v>
      </c>
      <c r="L1071">
        <v>1394.55</v>
      </c>
    </row>
    <row r="1072" spans="1:12" x14ac:dyDescent="0.3">
      <c r="A1072" t="s">
        <v>1310</v>
      </c>
      <c r="B1072" s="3">
        <v>45747</v>
      </c>
      <c r="C1072" t="s">
        <v>33</v>
      </c>
      <c r="D1072" t="s">
        <v>92</v>
      </c>
      <c r="E1072" t="s">
        <v>51</v>
      </c>
      <c r="F1072" t="s">
        <v>27</v>
      </c>
      <c r="G1072" t="s">
        <v>28</v>
      </c>
      <c r="H1072">
        <v>5</v>
      </c>
      <c r="I1072">
        <v>18432</v>
      </c>
      <c r="J1072">
        <v>0.1</v>
      </c>
      <c r="K1072">
        <v>82944</v>
      </c>
      <c r="L1072">
        <v>16147.56</v>
      </c>
    </row>
    <row r="1073" spans="1:12" x14ac:dyDescent="0.3">
      <c r="A1073" t="s">
        <v>1311</v>
      </c>
      <c r="B1073" s="3">
        <v>45871</v>
      </c>
      <c r="C1073" t="s">
        <v>187</v>
      </c>
      <c r="D1073" t="s">
        <v>34</v>
      </c>
      <c r="E1073" t="s">
        <v>15</v>
      </c>
      <c r="F1073" t="s">
        <v>21</v>
      </c>
      <c r="G1073" t="s">
        <v>55</v>
      </c>
      <c r="H1073">
        <v>3</v>
      </c>
      <c r="I1073">
        <v>23308</v>
      </c>
      <c r="J1073">
        <v>0.15</v>
      </c>
      <c r="K1073">
        <v>59435.4</v>
      </c>
      <c r="L1073">
        <v>12767.42</v>
      </c>
    </row>
    <row r="1074" spans="1:12" x14ac:dyDescent="0.3">
      <c r="A1074" t="s">
        <v>1312</v>
      </c>
      <c r="B1074" s="3">
        <v>45907</v>
      </c>
      <c r="C1074" t="s">
        <v>358</v>
      </c>
      <c r="D1074" t="s">
        <v>307</v>
      </c>
      <c r="E1074" t="s">
        <v>73</v>
      </c>
      <c r="F1074" t="s">
        <v>21</v>
      </c>
      <c r="G1074" t="s">
        <v>55</v>
      </c>
      <c r="H1074">
        <v>3</v>
      </c>
      <c r="I1074">
        <v>355</v>
      </c>
      <c r="J1074">
        <v>0.15</v>
      </c>
      <c r="K1074">
        <v>905.25</v>
      </c>
      <c r="L1074">
        <v>83.98</v>
      </c>
    </row>
    <row r="1075" spans="1:12" x14ac:dyDescent="0.3">
      <c r="A1075" t="s">
        <v>1313</v>
      </c>
      <c r="B1075" s="3">
        <v>45949</v>
      </c>
      <c r="C1075" t="s">
        <v>323</v>
      </c>
      <c r="D1075" t="s">
        <v>83</v>
      </c>
      <c r="E1075" t="s">
        <v>73</v>
      </c>
      <c r="F1075" t="s">
        <v>21</v>
      </c>
      <c r="G1075" t="s">
        <v>35</v>
      </c>
      <c r="H1075">
        <v>1</v>
      </c>
      <c r="I1075">
        <v>740</v>
      </c>
      <c r="J1075">
        <v>0.05</v>
      </c>
      <c r="K1075">
        <v>703</v>
      </c>
      <c r="L1075">
        <v>110.87</v>
      </c>
    </row>
    <row r="1076" spans="1:12" x14ac:dyDescent="0.3">
      <c r="A1076" t="s">
        <v>1314</v>
      </c>
      <c r="B1076" s="3">
        <v>45845</v>
      </c>
      <c r="C1076" t="s">
        <v>287</v>
      </c>
      <c r="D1076" t="s">
        <v>83</v>
      </c>
      <c r="E1076" t="s">
        <v>73</v>
      </c>
      <c r="F1076" t="s">
        <v>58</v>
      </c>
      <c r="G1076" t="s">
        <v>69</v>
      </c>
      <c r="H1076">
        <v>2</v>
      </c>
      <c r="I1076">
        <v>349</v>
      </c>
      <c r="J1076">
        <v>0.15</v>
      </c>
      <c r="K1076">
        <v>593.29999999999995</v>
      </c>
      <c r="L1076">
        <v>108.01</v>
      </c>
    </row>
    <row r="1077" spans="1:12" x14ac:dyDescent="0.3">
      <c r="A1077" t="s">
        <v>1315</v>
      </c>
      <c r="B1077" s="3">
        <v>45700</v>
      </c>
      <c r="C1077" t="s">
        <v>24</v>
      </c>
      <c r="D1077" t="s">
        <v>30</v>
      </c>
      <c r="E1077" t="s">
        <v>15</v>
      </c>
      <c r="F1077" t="s">
        <v>27</v>
      </c>
      <c r="G1077" t="s">
        <v>40</v>
      </c>
      <c r="H1077">
        <v>1</v>
      </c>
      <c r="I1077">
        <v>10112</v>
      </c>
      <c r="J1077">
        <v>0.1</v>
      </c>
      <c r="K1077">
        <v>9100.8000000000011</v>
      </c>
      <c r="L1077">
        <v>1490.27</v>
      </c>
    </row>
    <row r="1078" spans="1:12" x14ac:dyDescent="0.3">
      <c r="A1078" t="s">
        <v>1316</v>
      </c>
      <c r="B1078" s="3">
        <v>45965</v>
      </c>
      <c r="C1078" t="s">
        <v>323</v>
      </c>
      <c r="D1078" t="s">
        <v>50</v>
      </c>
      <c r="E1078" t="s">
        <v>51</v>
      </c>
      <c r="F1078" t="s">
        <v>21</v>
      </c>
      <c r="G1078" t="s">
        <v>35</v>
      </c>
      <c r="H1078">
        <v>3</v>
      </c>
      <c r="I1078">
        <v>2098</v>
      </c>
      <c r="J1078">
        <v>0.2</v>
      </c>
      <c r="K1078">
        <v>5035.2000000000007</v>
      </c>
      <c r="L1078">
        <v>1115.68</v>
      </c>
    </row>
    <row r="1079" spans="1:12" x14ac:dyDescent="0.3">
      <c r="A1079" t="s">
        <v>1317</v>
      </c>
      <c r="B1079" s="3">
        <v>45711</v>
      </c>
      <c r="C1079" t="s">
        <v>555</v>
      </c>
      <c r="D1079" t="s">
        <v>80</v>
      </c>
      <c r="E1079" t="s">
        <v>51</v>
      </c>
      <c r="F1079" t="s">
        <v>27</v>
      </c>
      <c r="G1079" t="s">
        <v>31</v>
      </c>
      <c r="H1079">
        <v>3</v>
      </c>
      <c r="I1079">
        <v>54220</v>
      </c>
      <c r="J1079">
        <v>0.05</v>
      </c>
      <c r="K1079">
        <v>154527</v>
      </c>
      <c r="L1079">
        <v>18848.98</v>
      </c>
    </row>
    <row r="1080" spans="1:12" x14ac:dyDescent="0.3">
      <c r="A1080" t="s">
        <v>1318</v>
      </c>
      <c r="B1080" s="3">
        <v>46005</v>
      </c>
      <c r="C1080" t="s">
        <v>246</v>
      </c>
      <c r="D1080" t="s">
        <v>307</v>
      </c>
      <c r="E1080" t="s">
        <v>73</v>
      </c>
      <c r="F1080" t="s">
        <v>58</v>
      </c>
      <c r="G1080" t="s">
        <v>69</v>
      </c>
      <c r="H1080">
        <v>1</v>
      </c>
      <c r="I1080">
        <v>172</v>
      </c>
      <c r="J1080">
        <v>0.1</v>
      </c>
      <c r="K1080">
        <v>154.80000000000001</v>
      </c>
      <c r="L1080">
        <v>14.55</v>
      </c>
    </row>
    <row r="1081" spans="1:12" x14ac:dyDescent="0.3">
      <c r="A1081" t="s">
        <v>1319</v>
      </c>
      <c r="B1081" s="3">
        <v>45870</v>
      </c>
      <c r="C1081" t="s">
        <v>180</v>
      </c>
      <c r="D1081" t="s">
        <v>80</v>
      </c>
      <c r="E1081" t="s">
        <v>51</v>
      </c>
      <c r="F1081" t="s">
        <v>58</v>
      </c>
      <c r="G1081" t="s">
        <v>59</v>
      </c>
      <c r="H1081">
        <v>3</v>
      </c>
      <c r="I1081">
        <v>64618</v>
      </c>
      <c r="J1081">
        <v>0</v>
      </c>
      <c r="K1081">
        <v>193854</v>
      </c>
      <c r="L1081">
        <v>36260.5</v>
      </c>
    </row>
    <row r="1082" spans="1:12" x14ac:dyDescent="0.3">
      <c r="A1082" t="s">
        <v>1320</v>
      </c>
      <c r="B1082" s="3">
        <v>45831</v>
      </c>
      <c r="C1082" t="s">
        <v>448</v>
      </c>
      <c r="D1082" t="s">
        <v>92</v>
      </c>
      <c r="E1082" t="s">
        <v>51</v>
      </c>
      <c r="F1082" t="s">
        <v>58</v>
      </c>
      <c r="G1082" t="s">
        <v>126</v>
      </c>
      <c r="H1082">
        <v>3</v>
      </c>
      <c r="I1082">
        <v>14424</v>
      </c>
      <c r="J1082">
        <v>0</v>
      </c>
      <c r="K1082">
        <v>43272</v>
      </c>
      <c r="L1082">
        <v>10886.28</v>
      </c>
    </row>
    <row r="1083" spans="1:12" x14ac:dyDescent="0.3">
      <c r="A1083" t="s">
        <v>1321</v>
      </c>
      <c r="B1083" s="3">
        <v>45936</v>
      </c>
      <c r="C1083" t="s">
        <v>1262</v>
      </c>
      <c r="D1083" t="s">
        <v>103</v>
      </c>
      <c r="E1083" t="s">
        <v>51</v>
      </c>
      <c r="F1083" t="s">
        <v>16</v>
      </c>
      <c r="G1083" t="s">
        <v>17</v>
      </c>
      <c r="H1083">
        <v>2</v>
      </c>
      <c r="I1083">
        <v>6911</v>
      </c>
      <c r="J1083">
        <v>0</v>
      </c>
      <c r="K1083">
        <v>13822</v>
      </c>
      <c r="L1083">
        <v>2952.88</v>
      </c>
    </row>
    <row r="1084" spans="1:12" x14ac:dyDescent="0.3">
      <c r="A1084" t="s">
        <v>1322</v>
      </c>
      <c r="B1084" s="3">
        <v>45881</v>
      </c>
      <c r="C1084" t="s">
        <v>240</v>
      </c>
      <c r="D1084" t="s">
        <v>43</v>
      </c>
      <c r="E1084" t="s">
        <v>44</v>
      </c>
      <c r="F1084" t="s">
        <v>27</v>
      </c>
      <c r="G1084" t="s">
        <v>40</v>
      </c>
      <c r="H1084">
        <v>1</v>
      </c>
      <c r="I1084">
        <v>688</v>
      </c>
      <c r="J1084">
        <v>0</v>
      </c>
      <c r="K1084">
        <v>688</v>
      </c>
      <c r="L1084">
        <v>123.89</v>
      </c>
    </row>
    <row r="1085" spans="1:12" x14ac:dyDescent="0.3">
      <c r="A1085" t="s">
        <v>1323</v>
      </c>
      <c r="B1085" s="3">
        <v>46021</v>
      </c>
      <c r="C1085" t="s">
        <v>159</v>
      </c>
      <c r="D1085" t="s">
        <v>103</v>
      </c>
      <c r="E1085" t="s">
        <v>51</v>
      </c>
      <c r="F1085" t="s">
        <v>16</v>
      </c>
      <c r="G1085" t="s">
        <v>104</v>
      </c>
      <c r="H1085">
        <v>1</v>
      </c>
      <c r="I1085">
        <v>5507</v>
      </c>
      <c r="J1085">
        <v>0.15</v>
      </c>
      <c r="K1085">
        <v>4680.95</v>
      </c>
      <c r="L1085">
        <v>638.48</v>
      </c>
    </row>
    <row r="1086" spans="1:12" x14ac:dyDescent="0.3">
      <c r="A1086" t="s">
        <v>1324</v>
      </c>
      <c r="B1086" s="3">
        <v>45856</v>
      </c>
      <c r="C1086" t="s">
        <v>358</v>
      </c>
      <c r="D1086" t="s">
        <v>72</v>
      </c>
      <c r="E1086" t="s">
        <v>73</v>
      </c>
      <c r="F1086" t="s">
        <v>27</v>
      </c>
      <c r="G1086" t="s">
        <v>28</v>
      </c>
      <c r="H1086">
        <v>1</v>
      </c>
      <c r="I1086">
        <v>1053</v>
      </c>
      <c r="J1086">
        <v>0.05</v>
      </c>
      <c r="K1086">
        <v>1000.3499999999999</v>
      </c>
      <c r="L1086">
        <v>211</v>
      </c>
    </row>
    <row r="1087" spans="1:12" x14ac:dyDescent="0.3">
      <c r="A1087" t="s">
        <v>1325</v>
      </c>
      <c r="B1087" s="3">
        <v>45681</v>
      </c>
      <c r="C1087" t="s">
        <v>363</v>
      </c>
      <c r="D1087" t="s">
        <v>120</v>
      </c>
      <c r="E1087" t="s">
        <v>51</v>
      </c>
      <c r="F1087" t="s">
        <v>16</v>
      </c>
      <c r="G1087" t="s">
        <v>17</v>
      </c>
      <c r="H1087">
        <v>5</v>
      </c>
      <c r="I1087">
        <v>629</v>
      </c>
      <c r="J1087">
        <v>0</v>
      </c>
      <c r="K1087">
        <v>3145</v>
      </c>
      <c r="L1087">
        <v>804.2</v>
      </c>
    </row>
    <row r="1088" spans="1:12" x14ac:dyDescent="0.3">
      <c r="A1088" t="s">
        <v>1326</v>
      </c>
      <c r="B1088" s="3">
        <v>45855</v>
      </c>
      <c r="C1088" t="s">
        <v>551</v>
      </c>
      <c r="D1088" t="s">
        <v>20</v>
      </c>
      <c r="E1088" t="s">
        <v>15</v>
      </c>
      <c r="F1088" t="s">
        <v>58</v>
      </c>
      <c r="G1088" t="s">
        <v>126</v>
      </c>
      <c r="H1088">
        <v>3</v>
      </c>
      <c r="I1088">
        <v>11418</v>
      </c>
      <c r="J1088">
        <v>0</v>
      </c>
      <c r="K1088">
        <v>34254</v>
      </c>
      <c r="L1088">
        <v>7230.44</v>
      </c>
    </row>
    <row r="1089" spans="1:12" x14ac:dyDescent="0.3">
      <c r="A1089" t="s">
        <v>1327</v>
      </c>
      <c r="B1089" s="3">
        <v>45990</v>
      </c>
      <c r="C1089" t="s">
        <v>458</v>
      </c>
      <c r="D1089" t="s">
        <v>153</v>
      </c>
      <c r="E1089" t="s">
        <v>26</v>
      </c>
      <c r="F1089" t="s">
        <v>58</v>
      </c>
      <c r="G1089" t="s">
        <v>59</v>
      </c>
      <c r="H1089">
        <v>2</v>
      </c>
      <c r="I1089">
        <v>9401</v>
      </c>
      <c r="J1089">
        <v>0</v>
      </c>
      <c r="K1089">
        <v>18802</v>
      </c>
      <c r="L1089">
        <v>3660.75</v>
      </c>
    </row>
    <row r="1090" spans="1:12" x14ac:dyDescent="0.3">
      <c r="A1090" t="s">
        <v>1328</v>
      </c>
      <c r="B1090" s="3">
        <v>45757</v>
      </c>
      <c r="C1090" t="s">
        <v>415</v>
      </c>
      <c r="D1090" t="s">
        <v>47</v>
      </c>
      <c r="E1090" t="s">
        <v>26</v>
      </c>
      <c r="F1090" t="s">
        <v>58</v>
      </c>
      <c r="G1090" t="s">
        <v>69</v>
      </c>
      <c r="H1090">
        <v>3</v>
      </c>
      <c r="I1090">
        <v>20997</v>
      </c>
      <c r="J1090">
        <v>0.1</v>
      </c>
      <c r="K1090">
        <v>56691.9</v>
      </c>
      <c r="L1090">
        <v>9513.23</v>
      </c>
    </row>
    <row r="1091" spans="1:12" x14ac:dyDescent="0.3">
      <c r="A1091" t="s">
        <v>1329</v>
      </c>
      <c r="B1091" s="3">
        <v>45840</v>
      </c>
      <c r="C1091" t="s">
        <v>246</v>
      </c>
      <c r="D1091" t="s">
        <v>80</v>
      </c>
      <c r="E1091" t="s">
        <v>51</v>
      </c>
      <c r="F1091" t="s">
        <v>27</v>
      </c>
      <c r="G1091" t="s">
        <v>28</v>
      </c>
      <c r="H1091">
        <v>1</v>
      </c>
      <c r="I1091">
        <v>81811</v>
      </c>
      <c r="J1091">
        <v>0.05</v>
      </c>
      <c r="K1091">
        <v>77720.45</v>
      </c>
      <c r="L1091">
        <v>21677.15</v>
      </c>
    </row>
    <row r="1092" spans="1:12" x14ac:dyDescent="0.3">
      <c r="A1092" t="s">
        <v>1330</v>
      </c>
      <c r="B1092" s="3">
        <v>45751</v>
      </c>
      <c r="C1092" t="s">
        <v>185</v>
      </c>
      <c r="D1092" t="s">
        <v>120</v>
      </c>
      <c r="E1092" t="s">
        <v>51</v>
      </c>
      <c r="F1092" t="s">
        <v>27</v>
      </c>
      <c r="G1092" t="s">
        <v>28</v>
      </c>
      <c r="H1092">
        <v>2</v>
      </c>
      <c r="I1092">
        <v>1871</v>
      </c>
      <c r="J1092">
        <v>0.15</v>
      </c>
      <c r="K1092">
        <v>3180.7</v>
      </c>
      <c r="L1092">
        <v>646.08000000000004</v>
      </c>
    </row>
    <row r="1093" spans="1:12" x14ac:dyDescent="0.3">
      <c r="A1093" t="s">
        <v>1331</v>
      </c>
      <c r="B1093" s="3">
        <v>45685</v>
      </c>
      <c r="C1093" t="s">
        <v>305</v>
      </c>
      <c r="D1093" t="s">
        <v>83</v>
      </c>
      <c r="E1093" t="s">
        <v>73</v>
      </c>
      <c r="F1093" t="s">
        <v>16</v>
      </c>
      <c r="G1093" t="s">
        <v>17</v>
      </c>
      <c r="H1093">
        <v>2</v>
      </c>
      <c r="I1093">
        <v>478</v>
      </c>
      <c r="J1093">
        <v>0.2</v>
      </c>
      <c r="K1093">
        <v>764.80000000000007</v>
      </c>
      <c r="L1093">
        <v>81.680000000000007</v>
      </c>
    </row>
    <row r="1094" spans="1:12" x14ac:dyDescent="0.3">
      <c r="A1094" t="s">
        <v>1332</v>
      </c>
      <c r="B1094" s="3">
        <v>45860</v>
      </c>
      <c r="C1094" t="s">
        <v>77</v>
      </c>
      <c r="D1094" t="s">
        <v>50</v>
      </c>
      <c r="E1094" t="s">
        <v>51</v>
      </c>
      <c r="F1094" t="s">
        <v>27</v>
      </c>
      <c r="G1094" t="s">
        <v>31</v>
      </c>
      <c r="H1094">
        <v>1</v>
      </c>
      <c r="I1094">
        <v>1699</v>
      </c>
      <c r="J1094">
        <v>0.05</v>
      </c>
      <c r="K1094">
        <v>1614.05</v>
      </c>
      <c r="L1094">
        <v>198.3</v>
      </c>
    </row>
    <row r="1095" spans="1:12" x14ac:dyDescent="0.3">
      <c r="A1095" t="s">
        <v>1333</v>
      </c>
      <c r="B1095" s="3">
        <v>45992</v>
      </c>
      <c r="C1095" t="s">
        <v>440</v>
      </c>
      <c r="D1095" t="s">
        <v>97</v>
      </c>
      <c r="E1095" t="s">
        <v>44</v>
      </c>
      <c r="F1095" t="s">
        <v>58</v>
      </c>
      <c r="G1095" t="s">
        <v>126</v>
      </c>
      <c r="H1095">
        <v>3</v>
      </c>
      <c r="I1095">
        <v>905</v>
      </c>
      <c r="J1095">
        <v>0.15</v>
      </c>
      <c r="K1095">
        <v>2307.75</v>
      </c>
      <c r="L1095">
        <v>506.84</v>
      </c>
    </row>
    <row r="1096" spans="1:12" x14ac:dyDescent="0.3">
      <c r="A1096" t="s">
        <v>1334</v>
      </c>
      <c r="B1096" s="3">
        <v>45752</v>
      </c>
      <c r="C1096" t="s">
        <v>468</v>
      </c>
      <c r="D1096" t="s">
        <v>20</v>
      </c>
      <c r="E1096" t="s">
        <v>15</v>
      </c>
      <c r="F1096" t="s">
        <v>21</v>
      </c>
      <c r="G1096" t="s">
        <v>55</v>
      </c>
      <c r="H1096">
        <v>3</v>
      </c>
      <c r="I1096">
        <v>8280</v>
      </c>
      <c r="J1096">
        <v>0.1</v>
      </c>
      <c r="K1096">
        <v>22356</v>
      </c>
      <c r="L1096">
        <v>4036.79</v>
      </c>
    </row>
    <row r="1097" spans="1:12" x14ac:dyDescent="0.3">
      <c r="A1097" t="s">
        <v>1335</v>
      </c>
      <c r="B1097" s="3">
        <v>45798</v>
      </c>
      <c r="C1097" t="s">
        <v>468</v>
      </c>
      <c r="D1097" t="s">
        <v>97</v>
      </c>
      <c r="E1097" t="s">
        <v>44</v>
      </c>
      <c r="F1097" t="s">
        <v>16</v>
      </c>
      <c r="G1097" t="s">
        <v>52</v>
      </c>
      <c r="H1097">
        <v>1</v>
      </c>
      <c r="I1097">
        <v>269</v>
      </c>
      <c r="J1097">
        <v>0.05</v>
      </c>
      <c r="K1097">
        <v>255.54999999999998</v>
      </c>
      <c r="L1097">
        <v>47.61</v>
      </c>
    </row>
    <row r="1098" spans="1:12" x14ac:dyDescent="0.3">
      <c r="A1098" t="s">
        <v>1336</v>
      </c>
      <c r="B1098" s="3">
        <v>45939</v>
      </c>
      <c r="C1098" t="s">
        <v>67</v>
      </c>
      <c r="D1098" t="s">
        <v>65</v>
      </c>
      <c r="E1098" t="s">
        <v>26</v>
      </c>
      <c r="F1098" t="s">
        <v>21</v>
      </c>
      <c r="G1098" t="s">
        <v>35</v>
      </c>
      <c r="H1098">
        <v>2</v>
      </c>
      <c r="I1098">
        <v>1846</v>
      </c>
      <c r="J1098">
        <v>0</v>
      </c>
      <c r="K1098">
        <v>3692</v>
      </c>
      <c r="L1098">
        <v>889.78</v>
      </c>
    </row>
    <row r="1099" spans="1:12" x14ac:dyDescent="0.3">
      <c r="A1099" t="s">
        <v>1337</v>
      </c>
      <c r="B1099" s="3">
        <v>45925</v>
      </c>
      <c r="C1099" t="s">
        <v>282</v>
      </c>
      <c r="D1099" t="s">
        <v>80</v>
      </c>
      <c r="E1099" t="s">
        <v>51</v>
      </c>
      <c r="F1099" t="s">
        <v>58</v>
      </c>
      <c r="G1099" t="s">
        <v>126</v>
      </c>
      <c r="H1099">
        <v>2</v>
      </c>
      <c r="I1099">
        <v>67834</v>
      </c>
      <c r="J1099">
        <v>0.1</v>
      </c>
      <c r="K1099">
        <v>122101.2</v>
      </c>
      <c r="L1099">
        <v>10701.02</v>
      </c>
    </row>
    <row r="1100" spans="1:12" x14ac:dyDescent="0.3">
      <c r="A1100" t="s">
        <v>1338</v>
      </c>
      <c r="B1100" s="3">
        <v>45907</v>
      </c>
      <c r="C1100" t="s">
        <v>206</v>
      </c>
      <c r="D1100" t="s">
        <v>47</v>
      </c>
      <c r="E1100" t="s">
        <v>26</v>
      </c>
      <c r="F1100" t="s">
        <v>27</v>
      </c>
      <c r="G1100" t="s">
        <v>31</v>
      </c>
      <c r="H1100">
        <v>2</v>
      </c>
      <c r="I1100">
        <v>9463</v>
      </c>
      <c r="J1100">
        <v>0</v>
      </c>
      <c r="K1100">
        <v>18926</v>
      </c>
      <c r="L1100">
        <v>5223.7700000000004</v>
      </c>
    </row>
    <row r="1101" spans="1:12" x14ac:dyDescent="0.3">
      <c r="A1101" t="s">
        <v>1339</v>
      </c>
      <c r="B1101" s="3">
        <v>45720</v>
      </c>
      <c r="C1101" t="s">
        <v>403</v>
      </c>
      <c r="D1101" t="s">
        <v>30</v>
      </c>
      <c r="E1101" t="s">
        <v>15</v>
      </c>
      <c r="F1101" t="s">
        <v>27</v>
      </c>
      <c r="G1101" t="s">
        <v>40</v>
      </c>
      <c r="H1101">
        <v>1</v>
      </c>
      <c r="I1101">
        <v>5902</v>
      </c>
      <c r="J1101">
        <v>0.15</v>
      </c>
      <c r="K1101">
        <v>5016.7</v>
      </c>
      <c r="L1101">
        <v>464.44</v>
      </c>
    </row>
    <row r="1102" spans="1:12" x14ac:dyDescent="0.3">
      <c r="A1102" t="s">
        <v>1340</v>
      </c>
      <c r="B1102" s="3">
        <v>45885</v>
      </c>
      <c r="C1102" t="s">
        <v>238</v>
      </c>
      <c r="D1102" t="s">
        <v>34</v>
      </c>
      <c r="E1102" t="s">
        <v>15</v>
      </c>
      <c r="F1102" t="s">
        <v>21</v>
      </c>
      <c r="G1102" t="s">
        <v>22</v>
      </c>
      <c r="H1102">
        <v>1</v>
      </c>
      <c r="I1102">
        <v>22544</v>
      </c>
      <c r="J1102">
        <v>0.2</v>
      </c>
      <c r="K1102">
        <v>18035.2</v>
      </c>
      <c r="L1102">
        <v>2537.38</v>
      </c>
    </row>
    <row r="1103" spans="1:12" x14ac:dyDescent="0.3">
      <c r="A1103" t="s">
        <v>1341</v>
      </c>
      <c r="B1103" s="3">
        <v>45741</v>
      </c>
      <c r="C1103" t="s">
        <v>551</v>
      </c>
      <c r="D1103" t="s">
        <v>88</v>
      </c>
      <c r="E1103" t="s">
        <v>73</v>
      </c>
      <c r="F1103" t="s">
        <v>58</v>
      </c>
      <c r="G1103" t="s">
        <v>69</v>
      </c>
      <c r="H1103">
        <v>1</v>
      </c>
      <c r="I1103">
        <v>299</v>
      </c>
      <c r="J1103">
        <v>0</v>
      </c>
      <c r="K1103">
        <v>299</v>
      </c>
      <c r="L1103">
        <v>69.48</v>
      </c>
    </row>
    <row r="1104" spans="1:12" x14ac:dyDescent="0.3">
      <c r="A1104" t="s">
        <v>1342</v>
      </c>
      <c r="B1104" s="3">
        <v>45743</v>
      </c>
      <c r="C1104" t="s">
        <v>805</v>
      </c>
      <c r="D1104" t="s">
        <v>20</v>
      </c>
      <c r="E1104" t="s">
        <v>15</v>
      </c>
      <c r="F1104" t="s">
        <v>27</v>
      </c>
      <c r="G1104" t="s">
        <v>40</v>
      </c>
      <c r="H1104">
        <v>3</v>
      </c>
      <c r="I1104">
        <v>11701</v>
      </c>
      <c r="J1104">
        <v>0.15</v>
      </c>
      <c r="K1104">
        <v>29837.55</v>
      </c>
      <c r="L1104">
        <v>3965.99</v>
      </c>
    </row>
    <row r="1105" spans="1:12" x14ac:dyDescent="0.3">
      <c r="A1105" t="s">
        <v>1343</v>
      </c>
      <c r="B1105" s="3">
        <v>45746</v>
      </c>
      <c r="C1105" t="s">
        <v>187</v>
      </c>
      <c r="D1105" t="s">
        <v>34</v>
      </c>
      <c r="E1105" t="s">
        <v>15</v>
      </c>
      <c r="F1105" t="s">
        <v>58</v>
      </c>
      <c r="G1105" t="s">
        <v>126</v>
      </c>
      <c r="H1105">
        <v>2</v>
      </c>
      <c r="I1105">
        <v>17654</v>
      </c>
      <c r="J1105">
        <v>0.15</v>
      </c>
      <c r="K1105">
        <v>30011.8</v>
      </c>
      <c r="L1105">
        <v>5830.33</v>
      </c>
    </row>
    <row r="1106" spans="1:12" x14ac:dyDescent="0.3">
      <c r="A1106" t="s">
        <v>1344</v>
      </c>
      <c r="B1106" s="3">
        <v>45978</v>
      </c>
      <c r="C1106" t="s">
        <v>485</v>
      </c>
      <c r="D1106" t="s">
        <v>65</v>
      </c>
      <c r="E1106" t="s">
        <v>26</v>
      </c>
      <c r="F1106" t="s">
        <v>58</v>
      </c>
      <c r="G1106" t="s">
        <v>59</v>
      </c>
      <c r="H1106">
        <v>1</v>
      </c>
      <c r="I1106">
        <v>2076</v>
      </c>
      <c r="J1106">
        <v>0</v>
      </c>
      <c r="K1106">
        <v>2076</v>
      </c>
      <c r="L1106">
        <v>454.16</v>
      </c>
    </row>
    <row r="1107" spans="1:12" x14ac:dyDescent="0.3">
      <c r="A1107" t="s">
        <v>1345</v>
      </c>
      <c r="B1107" s="3">
        <v>45858</v>
      </c>
      <c r="C1107" t="s">
        <v>106</v>
      </c>
      <c r="D1107" t="s">
        <v>65</v>
      </c>
      <c r="E1107" t="s">
        <v>26</v>
      </c>
      <c r="F1107" t="s">
        <v>58</v>
      </c>
      <c r="G1107" t="s">
        <v>59</v>
      </c>
      <c r="H1107">
        <v>2</v>
      </c>
      <c r="I1107">
        <v>3304</v>
      </c>
      <c r="J1107">
        <v>0.1</v>
      </c>
      <c r="K1107">
        <v>5947.2</v>
      </c>
      <c r="L1107">
        <v>489.32</v>
      </c>
    </row>
    <row r="1108" spans="1:12" x14ac:dyDescent="0.3">
      <c r="A1108" t="s">
        <v>1346</v>
      </c>
      <c r="B1108" s="3">
        <v>45930</v>
      </c>
      <c r="C1108" t="s">
        <v>456</v>
      </c>
      <c r="D1108" t="s">
        <v>88</v>
      </c>
      <c r="E1108" t="s">
        <v>73</v>
      </c>
      <c r="F1108" t="s">
        <v>21</v>
      </c>
      <c r="G1108" t="s">
        <v>55</v>
      </c>
      <c r="H1108">
        <v>2</v>
      </c>
      <c r="I1108">
        <v>421</v>
      </c>
      <c r="J1108">
        <v>0.1</v>
      </c>
      <c r="K1108">
        <v>757.80000000000007</v>
      </c>
      <c r="L1108">
        <v>145.31</v>
      </c>
    </row>
    <row r="1109" spans="1:12" x14ac:dyDescent="0.3">
      <c r="A1109" t="s">
        <v>1347</v>
      </c>
      <c r="B1109" s="3">
        <v>45766</v>
      </c>
      <c r="C1109" t="s">
        <v>597</v>
      </c>
      <c r="D1109" t="s">
        <v>20</v>
      </c>
      <c r="E1109" t="s">
        <v>15</v>
      </c>
      <c r="F1109" t="s">
        <v>58</v>
      </c>
      <c r="G1109" t="s">
        <v>126</v>
      </c>
      <c r="H1109">
        <v>5</v>
      </c>
      <c r="I1109">
        <v>6187</v>
      </c>
      <c r="J1109">
        <v>0.2</v>
      </c>
      <c r="K1109">
        <v>24748</v>
      </c>
      <c r="L1109">
        <v>6501.69</v>
      </c>
    </row>
    <row r="1110" spans="1:12" x14ac:dyDescent="0.3">
      <c r="A1110" t="s">
        <v>1348</v>
      </c>
      <c r="B1110" s="3">
        <v>45691</v>
      </c>
      <c r="C1110" t="s">
        <v>368</v>
      </c>
      <c r="D1110" t="s">
        <v>80</v>
      </c>
      <c r="E1110" t="s">
        <v>51</v>
      </c>
      <c r="F1110" t="s">
        <v>58</v>
      </c>
      <c r="G1110" t="s">
        <v>59</v>
      </c>
      <c r="H1110">
        <v>2</v>
      </c>
      <c r="I1110">
        <v>66285</v>
      </c>
      <c r="J1110">
        <v>0.05</v>
      </c>
      <c r="K1110">
        <v>125941.5</v>
      </c>
      <c r="L1110">
        <v>14145.7</v>
      </c>
    </row>
    <row r="1111" spans="1:12" x14ac:dyDescent="0.3">
      <c r="A1111" t="s">
        <v>1349</v>
      </c>
      <c r="B1111" s="3">
        <v>45802</v>
      </c>
      <c r="C1111" t="s">
        <v>180</v>
      </c>
      <c r="D1111" t="s">
        <v>25</v>
      </c>
      <c r="E1111" t="s">
        <v>26</v>
      </c>
      <c r="F1111" t="s">
        <v>21</v>
      </c>
      <c r="G1111" t="s">
        <v>55</v>
      </c>
      <c r="H1111">
        <v>1</v>
      </c>
      <c r="I1111">
        <v>6627</v>
      </c>
      <c r="J1111">
        <v>0.05</v>
      </c>
      <c r="K1111">
        <v>6295.65</v>
      </c>
      <c r="L1111">
        <v>597.14</v>
      </c>
    </row>
    <row r="1112" spans="1:12" x14ac:dyDescent="0.3">
      <c r="A1112" t="s">
        <v>1350</v>
      </c>
      <c r="B1112" s="3">
        <v>45795</v>
      </c>
      <c r="C1112" t="s">
        <v>371</v>
      </c>
      <c r="D1112" t="s">
        <v>307</v>
      </c>
      <c r="E1112" t="s">
        <v>73</v>
      </c>
      <c r="F1112" t="s">
        <v>16</v>
      </c>
      <c r="G1112" t="s">
        <v>17</v>
      </c>
      <c r="H1112">
        <v>1</v>
      </c>
      <c r="I1112">
        <v>402</v>
      </c>
      <c r="J1112">
        <v>0.1</v>
      </c>
      <c r="K1112">
        <v>361.8</v>
      </c>
      <c r="L1112">
        <v>51.06</v>
      </c>
    </row>
    <row r="1113" spans="1:12" x14ac:dyDescent="0.3">
      <c r="A1113" t="s">
        <v>1351</v>
      </c>
      <c r="B1113" s="3">
        <v>45719</v>
      </c>
      <c r="C1113" t="s">
        <v>143</v>
      </c>
      <c r="D1113" t="s">
        <v>68</v>
      </c>
      <c r="E1113" t="s">
        <v>44</v>
      </c>
      <c r="F1113" t="s">
        <v>21</v>
      </c>
      <c r="G1113" t="s">
        <v>55</v>
      </c>
      <c r="H1113">
        <v>5</v>
      </c>
      <c r="I1113">
        <v>4438</v>
      </c>
      <c r="J1113">
        <v>0.05</v>
      </c>
      <c r="K1113">
        <v>21080.5</v>
      </c>
      <c r="L1113">
        <v>4680.76</v>
      </c>
    </row>
    <row r="1114" spans="1:12" x14ac:dyDescent="0.3">
      <c r="A1114" t="s">
        <v>1352</v>
      </c>
      <c r="B1114" s="3">
        <v>45963</v>
      </c>
      <c r="C1114" t="s">
        <v>900</v>
      </c>
      <c r="D1114" t="s">
        <v>43</v>
      </c>
      <c r="E1114" t="s">
        <v>44</v>
      </c>
      <c r="F1114" t="s">
        <v>27</v>
      </c>
      <c r="G1114" t="s">
        <v>28</v>
      </c>
      <c r="H1114">
        <v>1</v>
      </c>
      <c r="I1114">
        <v>1315</v>
      </c>
      <c r="J1114">
        <v>0.15</v>
      </c>
      <c r="K1114">
        <v>1117.75</v>
      </c>
      <c r="L1114">
        <v>136.75</v>
      </c>
    </row>
    <row r="1115" spans="1:12" x14ac:dyDescent="0.3">
      <c r="A1115" t="s">
        <v>1353</v>
      </c>
      <c r="B1115" s="3">
        <v>45829</v>
      </c>
      <c r="C1115" t="s">
        <v>448</v>
      </c>
      <c r="D1115" t="s">
        <v>34</v>
      </c>
      <c r="E1115" t="s">
        <v>15</v>
      </c>
      <c r="F1115" t="s">
        <v>27</v>
      </c>
      <c r="G1115" t="s">
        <v>40</v>
      </c>
      <c r="H1115">
        <v>2</v>
      </c>
      <c r="I1115">
        <v>15817</v>
      </c>
      <c r="J1115">
        <v>0.1</v>
      </c>
      <c r="K1115">
        <v>28470.600000000002</v>
      </c>
      <c r="L1115">
        <v>4739.53</v>
      </c>
    </row>
    <row r="1116" spans="1:12" x14ac:dyDescent="0.3">
      <c r="A1116" t="s">
        <v>1354</v>
      </c>
      <c r="B1116" s="3">
        <v>46020</v>
      </c>
      <c r="C1116" t="s">
        <v>705</v>
      </c>
      <c r="D1116" t="s">
        <v>25</v>
      </c>
      <c r="E1116" t="s">
        <v>26</v>
      </c>
      <c r="F1116" t="s">
        <v>21</v>
      </c>
      <c r="G1116" t="s">
        <v>22</v>
      </c>
      <c r="H1116">
        <v>1</v>
      </c>
      <c r="I1116">
        <v>9780</v>
      </c>
      <c r="J1116">
        <v>0.1</v>
      </c>
      <c r="K1116">
        <v>8802</v>
      </c>
      <c r="L1116">
        <v>2377.59</v>
      </c>
    </row>
    <row r="1117" spans="1:12" x14ac:dyDescent="0.3">
      <c r="A1117" t="s">
        <v>1355</v>
      </c>
      <c r="B1117" s="3">
        <v>45744</v>
      </c>
      <c r="C1117" t="s">
        <v>156</v>
      </c>
      <c r="D1117" t="s">
        <v>202</v>
      </c>
      <c r="E1117" t="s">
        <v>44</v>
      </c>
      <c r="F1117" t="s">
        <v>27</v>
      </c>
      <c r="G1117" t="s">
        <v>40</v>
      </c>
      <c r="H1117">
        <v>2</v>
      </c>
      <c r="I1117">
        <v>3355</v>
      </c>
      <c r="J1117">
        <v>0.15</v>
      </c>
      <c r="K1117">
        <v>5703.5</v>
      </c>
      <c r="L1117">
        <v>1302.49</v>
      </c>
    </row>
    <row r="1118" spans="1:12" x14ac:dyDescent="0.3">
      <c r="A1118" t="s">
        <v>1356</v>
      </c>
      <c r="B1118" s="3">
        <v>45798</v>
      </c>
      <c r="C1118" t="s">
        <v>220</v>
      </c>
      <c r="D1118" t="s">
        <v>153</v>
      </c>
      <c r="E1118" t="s">
        <v>26</v>
      </c>
      <c r="F1118" t="s">
        <v>27</v>
      </c>
      <c r="G1118" t="s">
        <v>40</v>
      </c>
      <c r="H1118">
        <v>4</v>
      </c>
      <c r="I1118">
        <v>5235</v>
      </c>
      <c r="J1118">
        <v>0.15</v>
      </c>
      <c r="K1118">
        <v>17799</v>
      </c>
      <c r="L1118">
        <v>2371.66</v>
      </c>
    </row>
    <row r="1119" spans="1:12" x14ac:dyDescent="0.3">
      <c r="A1119" t="s">
        <v>1357</v>
      </c>
      <c r="B1119" s="3">
        <v>45947</v>
      </c>
      <c r="C1119" t="s">
        <v>535</v>
      </c>
      <c r="D1119" t="s">
        <v>34</v>
      </c>
      <c r="E1119" t="s">
        <v>15</v>
      </c>
      <c r="F1119" t="s">
        <v>16</v>
      </c>
      <c r="G1119" t="s">
        <v>17</v>
      </c>
      <c r="H1119">
        <v>3</v>
      </c>
      <c r="I1119">
        <v>20739</v>
      </c>
      <c r="J1119">
        <v>0.15</v>
      </c>
      <c r="K1119">
        <v>52884.45</v>
      </c>
      <c r="L1119">
        <v>6393.78</v>
      </c>
    </row>
    <row r="1120" spans="1:12" x14ac:dyDescent="0.3">
      <c r="A1120" t="s">
        <v>1358</v>
      </c>
      <c r="B1120" s="3">
        <v>45850</v>
      </c>
      <c r="C1120" t="s">
        <v>595</v>
      </c>
      <c r="D1120" t="s">
        <v>83</v>
      </c>
      <c r="E1120" t="s">
        <v>73</v>
      </c>
      <c r="F1120" t="s">
        <v>27</v>
      </c>
      <c r="G1120" t="s">
        <v>31</v>
      </c>
      <c r="H1120">
        <v>2</v>
      </c>
      <c r="I1120">
        <v>727</v>
      </c>
      <c r="J1120">
        <v>0.1</v>
      </c>
      <c r="K1120">
        <v>1308.6000000000001</v>
      </c>
      <c r="L1120">
        <v>328.2</v>
      </c>
    </row>
    <row r="1121" spans="1:12" x14ac:dyDescent="0.3">
      <c r="A1121" t="s">
        <v>1359</v>
      </c>
      <c r="B1121" s="3">
        <v>45967</v>
      </c>
      <c r="C1121" t="s">
        <v>231</v>
      </c>
      <c r="D1121" t="s">
        <v>120</v>
      </c>
      <c r="E1121" t="s">
        <v>51</v>
      </c>
      <c r="F1121" t="s">
        <v>27</v>
      </c>
      <c r="G1121" t="s">
        <v>28</v>
      </c>
      <c r="H1121">
        <v>2</v>
      </c>
      <c r="I1121">
        <v>1973</v>
      </c>
      <c r="J1121">
        <v>0</v>
      </c>
      <c r="K1121">
        <v>3946</v>
      </c>
      <c r="L1121">
        <v>671.68</v>
      </c>
    </row>
    <row r="1122" spans="1:12" x14ac:dyDescent="0.3">
      <c r="A1122" t="s">
        <v>1360</v>
      </c>
      <c r="B1122" s="3">
        <v>46008</v>
      </c>
      <c r="C1122" t="s">
        <v>82</v>
      </c>
      <c r="D1122" t="s">
        <v>120</v>
      </c>
      <c r="E1122" t="s">
        <v>51</v>
      </c>
      <c r="F1122" t="s">
        <v>27</v>
      </c>
      <c r="G1122" t="s">
        <v>40</v>
      </c>
      <c r="H1122">
        <v>1</v>
      </c>
      <c r="I1122">
        <v>1689</v>
      </c>
      <c r="J1122">
        <v>0</v>
      </c>
      <c r="K1122">
        <v>1689</v>
      </c>
      <c r="L1122">
        <v>233.52</v>
      </c>
    </row>
    <row r="1123" spans="1:12" x14ac:dyDescent="0.3">
      <c r="A1123" t="s">
        <v>1361</v>
      </c>
      <c r="B1123" s="3">
        <v>45766</v>
      </c>
      <c r="C1123" t="s">
        <v>897</v>
      </c>
      <c r="D1123" t="s">
        <v>307</v>
      </c>
      <c r="E1123" t="s">
        <v>73</v>
      </c>
      <c r="F1123" t="s">
        <v>58</v>
      </c>
      <c r="G1123" t="s">
        <v>126</v>
      </c>
      <c r="H1123">
        <v>1</v>
      </c>
      <c r="I1123">
        <v>341</v>
      </c>
      <c r="J1123">
        <v>0.15</v>
      </c>
      <c r="K1123">
        <v>289.84999999999997</v>
      </c>
      <c r="L1123">
        <v>37.04</v>
      </c>
    </row>
    <row r="1124" spans="1:12" x14ac:dyDescent="0.3">
      <c r="A1124" t="s">
        <v>1362</v>
      </c>
      <c r="B1124" s="3">
        <v>45957</v>
      </c>
      <c r="C1124" t="s">
        <v>77</v>
      </c>
      <c r="D1124" t="s">
        <v>20</v>
      </c>
      <c r="E1124" t="s">
        <v>15</v>
      </c>
      <c r="F1124" t="s">
        <v>21</v>
      </c>
      <c r="G1124" t="s">
        <v>55</v>
      </c>
      <c r="H1124">
        <v>5</v>
      </c>
      <c r="I1124">
        <v>15315</v>
      </c>
      <c r="J1124">
        <v>0.15</v>
      </c>
      <c r="K1124">
        <v>65088.75</v>
      </c>
      <c r="L1124">
        <v>16781.580000000002</v>
      </c>
    </row>
    <row r="1125" spans="1:12" x14ac:dyDescent="0.3">
      <c r="A1125" t="s">
        <v>1363</v>
      </c>
      <c r="B1125" s="3">
        <v>45862</v>
      </c>
      <c r="C1125" t="s">
        <v>234</v>
      </c>
      <c r="D1125" t="s">
        <v>43</v>
      </c>
      <c r="E1125" t="s">
        <v>44</v>
      </c>
      <c r="F1125" t="s">
        <v>58</v>
      </c>
      <c r="G1125" t="s">
        <v>69</v>
      </c>
      <c r="H1125">
        <v>3</v>
      </c>
      <c r="I1125">
        <v>1002</v>
      </c>
      <c r="J1125">
        <v>0.1</v>
      </c>
      <c r="K1125">
        <v>2705.4</v>
      </c>
      <c r="L1125">
        <v>724.57</v>
      </c>
    </row>
    <row r="1126" spans="1:12" x14ac:dyDescent="0.3">
      <c r="A1126" t="s">
        <v>1364</v>
      </c>
      <c r="B1126" s="3">
        <v>45965</v>
      </c>
      <c r="C1126" t="s">
        <v>555</v>
      </c>
      <c r="D1126" t="s">
        <v>65</v>
      </c>
      <c r="E1126" t="s">
        <v>26</v>
      </c>
      <c r="F1126" t="s">
        <v>16</v>
      </c>
      <c r="G1126" t="s">
        <v>104</v>
      </c>
      <c r="H1126">
        <v>1</v>
      </c>
      <c r="I1126">
        <v>3136</v>
      </c>
      <c r="J1126">
        <v>0.15</v>
      </c>
      <c r="K1126">
        <v>2665.6</v>
      </c>
      <c r="L1126">
        <v>466.52</v>
      </c>
    </row>
    <row r="1127" spans="1:12" x14ac:dyDescent="0.3">
      <c r="A1127" t="s">
        <v>1365</v>
      </c>
      <c r="B1127" s="3">
        <v>45907</v>
      </c>
      <c r="C1127" t="s">
        <v>39</v>
      </c>
      <c r="D1127" t="s">
        <v>25</v>
      </c>
      <c r="E1127" t="s">
        <v>26</v>
      </c>
      <c r="F1127" t="s">
        <v>21</v>
      </c>
      <c r="G1127" t="s">
        <v>55</v>
      </c>
      <c r="H1127">
        <v>2</v>
      </c>
      <c r="I1127">
        <v>6376</v>
      </c>
      <c r="J1127">
        <v>0</v>
      </c>
      <c r="K1127">
        <v>12752</v>
      </c>
      <c r="L1127">
        <v>2634.39</v>
      </c>
    </row>
    <row r="1128" spans="1:12" x14ac:dyDescent="0.3">
      <c r="A1128" t="s">
        <v>1366</v>
      </c>
      <c r="B1128" s="3">
        <v>45979</v>
      </c>
      <c r="C1128" t="s">
        <v>503</v>
      </c>
      <c r="D1128" t="s">
        <v>47</v>
      </c>
      <c r="E1128" t="s">
        <v>26</v>
      </c>
      <c r="F1128" t="s">
        <v>58</v>
      </c>
      <c r="G1128" t="s">
        <v>69</v>
      </c>
      <c r="H1128">
        <v>3</v>
      </c>
      <c r="I1128">
        <v>9780</v>
      </c>
      <c r="J1128">
        <v>0.1</v>
      </c>
      <c r="K1128">
        <v>26406</v>
      </c>
      <c r="L1128">
        <v>6434.17</v>
      </c>
    </row>
    <row r="1129" spans="1:12" x14ac:dyDescent="0.3">
      <c r="A1129" t="s">
        <v>1367</v>
      </c>
      <c r="B1129" s="3">
        <v>45704</v>
      </c>
      <c r="C1129" t="s">
        <v>705</v>
      </c>
      <c r="D1129" t="s">
        <v>50</v>
      </c>
      <c r="E1129" t="s">
        <v>51</v>
      </c>
      <c r="F1129" t="s">
        <v>58</v>
      </c>
      <c r="G1129" t="s">
        <v>69</v>
      </c>
      <c r="H1129">
        <v>2</v>
      </c>
      <c r="I1129">
        <v>2581</v>
      </c>
      <c r="J1129">
        <v>0.05</v>
      </c>
      <c r="K1129">
        <v>4903.8999999999996</v>
      </c>
      <c r="L1129">
        <v>1283.82</v>
      </c>
    </row>
    <row r="1130" spans="1:12" x14ac:dyDescent="0.3">
      <c r="A1130" t="s">
        <v>1368</v>
      </c>
      <c r="B1130" s="3">
        <v>45845</v>
      </c>
      <c r="C1130" t="s">
        <v>150</v>
      </c>
      <c r="D1130" t="s">
        <v>68</v>
      </c>
      <c r="E1130" t="s">
        <v>44</v>
      </c>
      <c r="F1130" t="s">
        <v>21</v>
      </c>
      <c r="G1130" t="s">
        <v>35</v>
      </c>
      <c r="H1130">
        <v>2</v>
      </c>
      <c r="I1130">
        <v>3517</v>
      </c>
      <c r="J1130">
        <v>0.1</v>
      </c>
      <c r="K1130">
        <v>6330.6</v>
      </c>
      <c r="L1130">
        <v>947.7</v>
      </c>
    </row>
    <row r="1131" spans="1:12" x14ac:dyDescent="0.3">
      <c r="A1131" t="s">
        <v>1369</v>
      </c>
      <c r="B1131" s="3">
        <v>45681</v>
      </c>
      <c r="C1131" t="s">
        <v>440</v>
      </c>
      <c r="D1131" t="s">
        <v>30</v>
      </c>
      <c r="E1131" t="s">
        <v>15</v>
      </c>
      <c r="F1131" t="s">
        <v>27</v>
      </c>
      <c r="G1131" t="s">
        <v>28</v>
      </c>
      <c r="H1131">
        <v>1</v>
      </c>
      <c r="I1131">
        <v>5223</v>
      </c>
      <c r="J1131">
        <v>0.05</v>
      </c>
      <c r="K1131">
        <v>4961.8499999999995</v>
      </c>
      <c r="L1131">
        <v>595.29999999999995</v>
      </c>
    </row>
    <row r="1132" spans="1:12" x14ac:dyDescent="0.3">
      <c r="A1132" t="s">
        <v>1370</v>
      </c>
      <c r="B1132" s="3">
        <v>45850</v>
      </c>
      <c r="C1132" t="s">
        <v>272</v>
      </c>
      <c r="D1132" t="s">
        <v>72</v>
      </c>
      <c r="E1132" t="s">
        <v>73</v>
      </c>
      <c r="F1132" t="s">
        <v>58</v>
      </c>
      <c r="G1132" t="s">
        <v>59</v>
      </c>
      <c r="H1132">
        <v>1</v>
      </c>
      <c r="I1132">
        <v>409</v>
      </c>
      <c r="J1132">
        <v>0</v>
      </c>
      <c r="K1132">
        <v>409</v>
      </c>
      <c r="L1132">
        <v>87.69</v>
      </c>
    </row>
    <row r="1133" spans="1:12" x14ac:dyDescent="0.3">
      <c r="A1133" t="s">
        <v>1371</v>
      </c>
      <c r="B1133" s="3">
        <v>45990</v>
      </c>
      <c r="C1133" t="s">
        <v>731</v>
      </c>
      <c r="D1133" t="s">
        <v>88</v>
      </c>
      <c r="E1133" t="s">
        <v>73</v>
      </c>
      <c r="F1133" t="s">
        <v>58</v>
      </c>
      <c r="G1133" t="s">
        <v>126</v>
      </c>
      <c r="H1133">
        <v>5</v>
      </c>
      <c r="I1133">
        <v>516</v>
      </c>
      <c r="J1133">
        <v>0.05</v>
      </c>
      <c r="K1133">
        <v>2451</v>
      </c>
      <c r="L1133">
        <v>467.94</v>
      </c>
    </row>
    <row r="1134" spans="1:12" x14ac:dyDescent="0.3">
      <c r="A1134" t="s">
        <v>1372</v>
      </c>
      <c r="B1134" s="3">
        <v>45905</v>
      </c>
      <c r="C1134" t="s">
        <v>39</v>
      </c>
      <c r="D1134" t="s">
        <v>307</v>
      </c>
      <c r="E1134" t="s">
        <v>73</v>
      </c>
      <c r="F1134" t="s">
        <v>27</v>
      </c>
      <c r="G1134" t="s">
        <v>31</v>
      </c>
      <c r="H1134">
        <v>3</v>
      </c>
      <c r="I1134">
        <v>435</v>
      </c>
      <c r="J1134">
        <v>0.1</v>
      </c>
      <c r="K1134">
        <v>1174.5</v>
      </c>
      <c r="L1134">
        <v>227.98</v>
      </c>
    </row>
    <row r="1135" spans="1:12" x14ac:dyDescent="0.3">
      <c r="A1135" t="s">
        <v>1373</v>
      </c>
      <c r="B1135" s="3">
        <v>45788</v>
      </c>
      <c r="C1135" t="s">
        <v>368</v>
      </c>
      <c r="D1135" t="s">
        <v>43</v>
      </c>
      <c r="E1135" t="s">
        <v>44</v>
      </c>
      <c r="F1135" t="s">
        <v>27</v>
      </c>
      <c r="G1135" t="s">
        <v>40</v>
      </c>
      <c r="H1135">
        <v>1</v>
      </c>
      <c r="I1135">
        <v>494</v>
      </c>
      <c r="J1135">
        <v>0.1</v>
      </c>
      <c r="K1135">
        <v>444.6</v>
      </c>
      <c r="L1135">
        <v>117.98</v>
      </c>
    </row>
    <row r="1136" spans="1:12" x14ac:dyDescent="0.3">
      <c r="A1136" t="s">
        <v>1374</v>
      </c>
      <c r="B1136" s="3">
        <v>45945</v>
      </c>
      <c r="C1136" t="s">
        <v>150</v>
      </c>
      <c r="D1136" t="s">
        <v>47</v>
      </c>
      <c r="E1136" t="s">
        <v>26</v>
      </c>
      <c r="F1136" t="s">
        <v>58</v>
      </c>
      <c r="G1136" t="s">
        <v>59</v>
      </c>
      <c r="H1136">
        <v>2</v>
      </c>
      <c r="I1136">
        <v>11772</v>
      </c>
      <c r="J1136">
        <v>0.05</v>
      </c>
      <c r="K1136">
        <v>22366.799999999999</v>
      </c>
      <c r="L1136">
        <v>2894.1</v>
      </c>
    </row>
    <row r="1137" spans="1:12" x14ac:dyDescent="0.3">
      <c r="A1137" t="s">
        <v>1375</v>
      </c>
      <c r="B1137" s="3">
        <v>45862</v>
      </c>
      <c r="C1137" t="s">
        <v>85</v>
      </c>
      <c r="D1137" t="s">
        <v>25</v>
      </c>
      <c r="E1137" t="s">
        <v>26</v>
      </c>
      <c r="F1137" t="s">
        <v>16</v>
      </c>
      <c r="G1137" t="s">
        <v>52</v>
      </c>
      <c r="H1137">
        <v>1</v>
      </c>
      <c r="I1137">
        <v>16793</v>
      </c>
      <c r="J1137">
        <v>0.2</v>
      </c>
      <c r="K1137">
        <v>13434.400000000001</v>
      </c>
      <c r="L1137">
        <v>2156.52</v>
      </c>
    </row>
    <row r="1138" spans="1:12" x14ac:dyDescent="0.3">
      <c r="A1138" t="s">
        <v>1376</v>
      </c>
      <c r="B1138" s="3">
        <v>46019</v>
      </c>
      <c r="C1138" t="s">
        <v>187</v>
      </c>
      <c r="D1138" t="s">
        <v>30</v>
      </c>
      <c r="E1138" t="s">
        <v>15</v>
      </c>
      <c r="F1138" t="s">
        <v>58</v>
      </c>
      <c r="G1138" t="s">
        <v>126</v>
      </c>
      <c r="H1138">
        <v>1</v>
      </c>
      <c r="I1138">
        <v>11696</v>
      </c>
      <c r="J1138">
        <v>0.05</v>
      </c>
      <c r="K1138">
        <v>11111.199999999999</v>
      </c>
      <c r="L1138">
        <v>1012.61</v>
      </c>
    </row>
    <row r="1139" spans="1:12" x14ac:dyDescent="0.3">
      <c r="A1139" t="s">
        <v>1377</v>
      </c>
      <c r="B1139" s="3">
        <v>45934</v>
      </c>
      <c r="C1139" t="s">
        <v>456</v>
      </c>
      <c r="D1139" t="s">
        <v>120</v>
      </c>
      <c r="E1139" t="s">
        <v>51</v>
      </c>
      <c r="F1139" t="s">
        <v>16</v>
      </c>
      <c r="G1139" t="s">
        <v>17</v>
      </c>
      <c r="H1139">
        <v>1</v>
      </c>
      <c r="I1139">
        <v>427</v>
      </c>
      <c r="J1139">
        <v>0.15</v>
      </c>
      <c r="K1139">
        <v>362.95</v>
      </c>
      <c r="L1139">
        <v>66.31</v>
      </c>
    </row>
    <row r="1140" spans="1:12" x14ac:dyDescent="0.3">
      <c r="A1140" t="s">
        <v>1378</v>
      </c>
      <c r="B1140" s="3">
        <v>45767</v>
      </c>
      <c r="C1140" t="s">
        <v>123</v>
      </c>
      <c r="D1140" t="s">
        <v>25</v>
      </c>
      <c r="E1140" t="s">
        <v>26</v>
      </c>
      <c r="F1140" t="s">
        <v>16</v>
      </c>
      <c r="G1140" t="s">
        <v>52</v>
      </c>
      <c r="H1140">
        <v>1</v>
      </c>
      <c r="I1140">
        <v>12413</v>
      </c>
      <c r="J1140">
        <v>0.15</v>
      </c>
      <c r="K1140">
        <v>10551.05</v>
      </c>
      <c r="L1140">
        <v>1692.05</v>
      </c>
    </row>
    <row r="1141" spans="1:12" x14ac:dyDescent="0.3">
      <c r="A1141" t="s">
        <v>1379</v>
      </c>
      <c r="B1141" s="3">
        <v>45687</v>
      </c>
      <c r="C1141" t="s">
        <v>321</v>
      </c>
      <c r="D1141" t="s">
        <v>120</v>
      </c>
      <c r="E1141" t="s">
        <v>51</v>
      </c>
      <c r="F1141" t="s">
        <v>58</v>
      </c>
      <c r="G1141" t="s">
        <v>59</v>
      </c>
      <c r="H1141">
        <v>1</v>
      </c>
      <c r="I1141">
        <v>836</v>
      </c>
      <c r="J1141">
        <v>0</v>
      </c>
      <c r="K1141">
        <v>836</v>
      </c>
      <c r="L1141">
        <v>196.44</v>
      </c>
    </row>
    <row r="1142" spans="1:12" x14ac:dyDescent="0.3">
      <c r="A1142" t="s">
        <v>1380</v>
      </c>
      <c r="B1142" s="3">
        <v>45923</v>
      </c>
      <c r="C1142" t="s">
        <v>807</v>
      </c>
      <c r="D1142" t="s">
        <v>30</v>
      </c>
      <c r="E1142" t="s">
        <v>15</v>
      </c>
      <c r="F1142" t="s">
        <v>16</v>
      </c>
      <c r="G1142" t="s">
        <v>17</v>
      </c>
      <c r="H1142">
        <v>2</v>
      </c>
      <c r="I1142">
        <v>12202</v>
      </c>
      <c r="J1142">
        <v>0</v>
      </c>
      <c r="K1142">
        <v>24404</v>
      </c>
      <c r="L1142">
        <v>3399.19</v>
      </c>
    </row>
    <row r="1143" spans="1:12" x14ac:dyDescent="0.3">
      <c r="A1143" t="s">
        <v>1381</v>
      </c>
      <c r="B1143" s="3">
        <v>45729</v>
      </c>
      <c r="C1143" t="s">
        <v>473</v>
      </c>
      <c r="D1143" t="s">
        <v>68</v>
      </c>
      <c r="E1143" t="s">
        <v>44</v>
      </c>
      <c r="F1143" t="s">
        <v>27</v>
      </c>
      <c r="G1143" t="s">
        <v>40</v>
      </c>
      <c r="H1143">
        <v>2</v>
      </c>
      <c r="I1143">
        <v>5915</v>
      </c>
      <c r="J1143">
        <v>0.05</v>
      </c>
      <c r="K1143">
        <v>11238.5</v>
      </c>
      <c r="L1143">
        <v>2516.23</v>
      </c>
    </row>
    <row r="1144" spans="1:12" x14ac:dyDescent="0.3">
      <c r="A1144" t="s">
        <v>1382</v>
      </c>
      <c r="B1144" s="3">
        <v>45768</v>
      </c>
      <c r="C1144" t="s">
        <v>394</v>
      </c>
      <c r="D1144" t="s">
        <v>43</v>
      </c>
      <c r="E1144" t="s">
        <v>44</v>
      </c>
      <c r="F1144" t="s">
        <v>21</v>
      </c>
      <c r="G1144" t="s">
        <v>35</v>
      </c>
      <c r="H1144">
        <v>5</v>
      </c>
      <c r="I1144">
        <v>1372</v>
      </c>
      <c r="J1144">
        <v>0.1</v>
      </c>
      <c r="K1144">
        <v>6174</v>
      </c>
      <c r="L1144">
        <v>1513.03</v>
      </c>
    </row>
    <row r="1145" spans="1:12" x14ac:dyDescent="0.3">
      <c r="A1145" t="s">
        <v>1383</v>
      </c>
      <c r="B1145" s="3">
        <v>45661</v>
      </c>
      <c r="C1145" t="s">
        <v>303</v>
      </c>
      <c r="D1145" t="s">
        <v>92</v>
      </c>
      <c r="E1145" t="s">
        <v>51</v>
      </c>
      <c r="F1145" t="s">
        <v>58</v>
      </c>
      <c r="G1145" t="s">
        <v>126</v>
      </c>
      <c r="H1145">
        <v>3</v>
      </c>
      <c r="I1145">
        <v>15466</v>
      </c>
      <c r="J1145">
        <v>0.05</v>
      </c>
      <c r="K1145">
        <v>44078.1</v>
      </c>
      <c r="L1145">
        <v>8040.05</v>
      </c>
    </row>
    <row r="1146" spans="1:12" x14ac:dyDescent="0.3">
      <c r="A1146" t="s">
        <v>1384</v>
      </c>
      <c r="B1146" s="3">
        <v>45726</v>
      </c>
      <c r="C1146" t="s">
        <v>578</v>
      </c>
      <c r="D1146" t="s">
        <v>47</v>
      </c>
      <c r="E1146" t="s">
        <v>26</v>
      </c>
      <c r="F1146" t="s">
        <v>58</v>
      </c>
      <c r="G1146" t="s">
        <v>59</v>
      </c>
      <c r="H1146">
        <v>4</v>
      </c>
      <c r="I1146">
        <v>19021</v>
      </c>
      <c r="J1146">
        <v>0.2</v>
      </c>
      <c r="K1146">
        <v>60867.200000000004</v>
      </c>
      <c r="L1146">
        <v>6068.39</v>
      </c>
    </row>
    <row r="1147" spans="1:12" x14ac:dyDescent="0.3">
      <c r="A1147" t="s">
        <v>1385</v>
      </c>
      <c r="B1147" s="3">
        <v>45729</v>
      </c>
      <c r="C1147" t="s">
        <v>300</v>
      </c>
      <c r="D1147" t="s">
        <v>83</v>
      </c>
      <c r="E1147" t="s">
        <v>73</v>
      </c>
      <c r="F1147" t="s">
        <v>16</v>
      </c>
      <c r="G1147" t="s">
        <v>17</v>
      </c>
      <c r="H1147">
        <v>1</v>
      </c>
      <c r="I1147">
        <v>367</v>
      </c>
      <c r="J1147">
        <v>0.15</v>
      </c>
      <c r="K1147">
        <v>311.95</v>
      </c>
      <c r="L1147">
        <v>55.75</v>
      </c>
    </row>
    <row r="1148" spans="1:12" x14ac:dyDescent="0.3">
      <c r="A1148" t="s">
        <v>1386</v>
      </c>
      <c r="B1148" s="3">
        <v>45951</v>
      </c>
      <c r="C1148" t="s">
        <v>313</v>
      </c>
      <c r="D1148" t="s">
        <v>50</v>
      </c>
      <c r="E1148" t="s">
        <v>51</v>
      </c>
      <c r="F1148" t="s">
        <v>21</v>
      </c>
      <c r="G1148" t="s">
        <v>35</v>
      </c>
      <c r="H1148">
        <v>3</v>
      </c>
      <c r="I1148">
        <v>2299</v>
      </c>
      <c r="J1148">
        <v>0.2</v>
      </c>
      <c r="K1148">
        <v>5517.6</v>
      </c>
      <c r="L1148">
        <v>1105.9100000000001</v>
      </c>
    </row>
    <row r="1149" spans="1:12" x14ac:dyDescent="0.3">
      <c r="A1149" t="s">
        <v>1387</v>
      </c>
      <c r="B1149" s="3">
        <v>45965</v>
      </c>
      <c r="C1149" t="s">
        <v>172</v>
      </c>
      <c r="D1149" t="s">
        <v>30</v>
      </c>
      <c r="E1149" t="s">
        <v>15</v>
      </c>
      <c r="F1149" t="s">
        <v>58</v>
      </c>
      <c r="G1149" t="s">
        <v>59</v>
      </c>
      <c r="H1149">
        <v>1</v>
      </c>
      <c r="I1149">
        <v>12904</v>
      </c>
      <c r="J1149">
        <v>0.1</v>
      </c>
      <c r="K1149">
        <v>11613.6</v>
      </c>
      <c r="L1149">
        <v>1924.9</v>
      </c>
    </row>
    <row r="1150" spans="1:12" x14ac:dyDescent="0.3">
      <c r="A1150" t="s">
        <v>1388</v>
      </c>
      <c r="B1150" s="3">
        <v>45963</v>
      </c>
      <c r="C1150" t="s">
        <v>111</v>
      </c>
      <c r="D1150" t="s">
        <v>68</v>
      </c>
      <c r="E1150" t="s">
        <v>44</v>
      </c>
      <c r="F1150" t="s">
        <v>16</v>
      </c>
      <c r="G1150" t="s">
        <v>17</v>
      </c>
      <c r="H1150">
        <v>1</v>
      </c>
      <c r="I1150">
        <v>6820</v>
      </c>
      <c r="J1150">
        <v>0.1</v>
      </c>
      <c r="K1150">
        <v>6138</v>
      </c>
      <c r="L1150">
        <v>1431.12</v>
      </c>
    </row>
    <row r="1151" spans="1:12" x14ac:dyDescent="0.3">
      <c r="A1151" t="s">
        <v>1389</v>
      </c>
      <c r="B1151" s="3">
        <v>45878</v>
      </c>
      <c r="C1151" t="s">
        <v>326</v>
      </c>
      <c r="D1151" t="s">
        <v>65</v>
      </c>
      <c r="E1151" t="s">
        <v>26</v>
      </c>
      <c r="F1151" t="s">
        <v>58</v>
      </c>
      <c r="G1151" t="s">
        <v>126</v>
      </c>
      <c r="H1151">
        <v>2</v>
      </c>
      <c r="I1151">
        <v>4421</v>
      </c>
      <c r="J1151">
        <v>0.05</v>
      </c>
      <c r="K1151">
        <v>8399.9</v>
      </c>
      <c r="L1151">
        <v>1446.41</v>
      </c>
    </row>
    <row r="1152" spans="1:12" x14ac:dyDescent="0.3">
      <c r="A1152" t="s">
        <v>1390</v>
      </c>
      <c r="B1152" s="3">
        <v>45788</v>
      </c>
      <c r="C1152" t="s">
        <v>128</v>
      </c>
      <c r="D1152" t="s">
        <v>88</v>
      </c>
      <c r="E1152" t="s">
        <v>73</v>
      </c>
      <c r="F1152" t="s">
        <v>58</v>
      </c>
      <c r="G1152" t="s">
        <v>126</v>
      </c>
      <c r="H1152">
        <v>1</v>
      </c>
      <c r="I1152">
        <v>599</v>
      </c>
      <c r="J1152">
        <v>0.15</v>
      </c>
      <c r="K1152">
        <v>509.15</v>
      </c>
      <c r="L1152">
        <v>128.69999999999999</v>
      </c>
    </row>
    <row r="1153" spans="1:12" x14ac:dyDescent="0.3">
      <c r="A1153" t="s">
        <v>1391</v>
      </c>
      <c r="B1153" s="3">
        <v>45712</v>
      </c>
      <c r="C1153" t="s">
        <v>119</v>
      </c>
      <c r="D1153" t="s">
        <v>30</v>
      </c>
      <c r="E1153" t="s">
        <v>15</v>
      </c>
      <c r="F1153" t="s">
        <v>27</v>
      </c>
      <c r="G1153" t="s">
        <v>31</v>
      </c>
      <c r="H1153">
        <v>1</v>
      </c>
      <c r="I1153">
        <v>5243</v>
      </c>
      <c r="J1153">
        <v>0.15</v>
      </c>
      <c r="K1153">
        <v>4456.55</v>
      </c>
      <c r="L1153">
        <v>1101.2</v>
      </c>
    </row>
    <row r="1154" spans="1:12" x14ac:dyDescent="0.3">
      <c r="A1154" t="s">
        <v>1392</v>
      </c>
      <c r="B1154" s="3">
        <v>45868</v>
      </c>
      <c r="C1154" t="s">
        <v>211</v>
      </c>
      <c r="D1154" t="s">
        <v>92</v>
      </c>
      <c r="E1154" t="s">
        <v>51</v>
      </c>
      <c r="F1154" t="s">
        <v>58</v>
      </c>
      <c r="G1154" t="s">
        <v>69</v>
      </c>
      <c r="H1154">
        <v>2</v>
      </c>
      <c r="I1154">
        <v>20349</v>
      </c>
      <c r="J1154">
        <v>0</v>
      </c>
      <c r="K1154">
        <v>40698</v>
      </c>
      <c r="L1154">
        <v>3820.69</v>
      </c>
    </row>
    <row r="1155" spans="1:12" x14ac:dyDescent="0.3">
      <c r="A1155" t="s">
        <v>1393</v>
      </c>
      <c r="B1155" s="3">
        <v>45753</v>
      </c>
      <c r="C1155" t="s">
        <v>403</v>
      </c>
      <c r="D1155" t="s">
        <v>25</v>
      </c>
      <c r="E1155" t="s">
        <v>26</v>
      </c>
      <c r="F1155" t="s">
        <v>58</v>
      </c>
      <c r="G1155" t="s">
        <v>69</v>
      </c>
      <c r="H1155">
        <v>2</v>
      </c>
      <c r="I1155">
        <v>13592</v>
      </c>
      <c r="J1155">
        <v>0.15</v>
      </c>
      <c r="K1155">
        <v>23106.399999999998</v>
      </c>
      <c r="L1155">
        <v>2217.5500000000002</v>
      </c>
    </row>
    <row r="1156" spans="1:12" x14ac:dyDescent="0.3">
      <c r="A1156" t="s">
        <v>1394</v>
      </c>
      <c r="B1156" s="3">
        <v>45767</v>
      </c>
      <c r="C1156" t="s">
        <v>272</v>
      </c>
      <c r="D1156" t="s">
        <v>65</v>
      </c>
      <c r="E1156" t="s">
        <v>26</v>
      </c>
      <c r="F1156" t="s">
        <v>16</v>
      </c>
      <c r="G1156" t="s">
        <v>17</v>
      </c>
      <c r="H1156">
        <v>4</v>
      </c>
      <c r="I1156">
        <v>1387</v>
      </c>
      <c r="J1156">
        <v>0</v>
      </c>
      <c r="K1156">
        <v>5548</v>
      </c>
      <c r="L1156">
        <v>641.64</v>
      </c>
    </row>
    <row r="1157" spans="1:12" x14ac:dyDescent="0.3">
      <c r="A1157" t="s">
        <v>1395</v>
      </c>
      <c r="B1157" s="3">
        <v>45728</v>
      </c>
      <c r="C1157" t="s">
        <v>163</v>
      </c>
      <c r="D1157" t="s">
        <v>47</v>
      </c>
      <c r="E1157" t="s">
        <v>26</v>
      </c>
      <c r="F1157" t="s">
        <v>16</v>
      </c>
      <c r="G1157" t="s">
        <v>104</v>
      </c>
      <c r="H1157">
        <v>4</v>
      </c>
      <c r="I1157">
        <v>20687</v>
      </c>
      <c r="J1157">
        <v>0.05</v>
      </c>
      <c r="K1157">
        <v>78610.599999999991</v>
      </c>
      <c r="L1157">
        <v>13554.68</v>
      </c>
    </row>
    <row r="1158" spans="1:12" x14ac:dyDescent="0.3">
      <c r="A1158" t="s">
        <v>1396</v>
      </c>
      <c r="B1158" s="3">
        <v>46016</v>
      </c>
      <c r="C1158" t="s">
        <v>429</v>
      </c>
      <c r="D1158" t="s">
        <v>83</v>
      </c>
      <c r="E1158" t="s">
        <v>73</v>
      </c>
      <c r="F1158" t="s">
        <v>16</v>
      </c>
      <c r="G1158" t="s">
        <v>104</v>
      </c>
      <c r="H1158">
        <v>1</v>
      </c>
      <c r="I1158">
        <v>256</v>
      </c>
      <c r="J1158">
        <v>0.05</v>
      </c>
      <c r="K1158">
        <v>243.2</v>
      </c>
      <c r="L1158">
        <v>43.21</v>
      </c>
    </row>
    <row r="1159" spans="1:12" x14ac:dyDescent="0.3">
      <c r="A1159" t="s">
        <v>1397</v>
      </c>
      <c r="B1159" s="3">
        <v>45848</v>
      </c>
      <c r="C1159" t="s">
        <v>415</v>
      </c>
      <c r="D1159" t="s">
        <v>30</v>
      </c>
      <c r="E1159" t="s">
        <v>15</v>
      </c>
      <c r="F1159" t="s">
        <v>16</v>
      </c>
      <c r="G1159" t="s">
        <v>17</v>
      </c>
      <c r="H1159">
        <v>1</v>
      </c>
      <c r="I1159">
        <v>6088</v>
      </c>
      <c r="J1159">
        <v>0.05</v>
      </c>
      <c r="K1159">
        <v>5783.5999999999995</v>
      </c>
      <c r="L1159">
        <v>731.36</v>
      </c>
    </row>
    <row r="1160" spans="1:12" x14ac:dyDescent="0.3">
      <c r="A1160" t="s">
        <v>1398</v>
      </c>
      <c r="B1160" s="3">
        <v>45677</v>
      </c>
      <c r="C1160" t="s">
        <v>71</v>
      </c>
      <c r="D1160" t="s">
        <v>120</v>
      </c>
      <c r="E1160" t="s">
        <v>51</v>
      </c>
      <c r="F1160" t="s">
        <v>58</v>
      </c>
      <c r="G1160" t="s">
        <v>69</v>
      </c>
      <c r="H1160">
        <v>3</v>
      </c>
      <c r="I1160">
        <v>599</v>
      </c>
      <c r="J1160">
        <v>0.05</v>
      </c>
      <c r="K1160">
        <v>1707.1499999999999</v>
      </c>
      <c r="L1160">
        <v>160.77000000000001</v>
      </c>
    </row>
    <row r="1161" spans="1:12" x14ac:dyDescent="0.3">
      <c r="A1161" t="s">
        <v>1399</v>
      </c>
      <c r="B1161" s="3">
        <v>45958</v>
      </c>
      <c r="C1161" t="s">
        <v>141</v>
      </c>
      <c r="D1161" t="s">
        <v>307</v>
      </c>
      <c r="E1161" t="s">
        <v>73</v>
      </c>
      <c r="F1161" t="s">
        <v>27</v>
      </c>
      <c r="G1161" t="s">
        <v>40</v>
      </c>
      <c r="H1161">
        <v>1</v>
      </c>
      <c r="I1161">
        <v>159</v>
      </c>
      <c r="J1161">
        <v>0.1</v>
      </c>
      <c r="K1161">
        <v>143.1</v>
      </c>
      <c r="L1161">
        <v>22.19</v>
      </c>
    </row>
    <row r="1162" spans="1:12" x14ac:dyDescent="0.3">
      <c r="A1162" t="s">
        <v>1400</v>
      </c>
      <c r="B1162" s="3">
        <v>45870</v>
      </c>
      <c r="C1162" t="s">
        <v>228</v>
      </c>
      <c r="D1162" t="s">
        <v>97</v>
      </c>
      <c r="E1162" t="s">
        <v>44</v>
      </c>
      <c r="F1162" t="s">
        <v>21</v>
      </c>
      <c r="G1162" t="s">
        <v>22</v>
      </c>
      <c r="H1162">
        <v>3</v>
      </c>
      <c r="I1162">
        <v>661</v>
      </c>
      <c r="J1162">
        <v>0.15</v>
      </c>
      <c r="K1162">
        <v>1685.55</v>
      </c>
      <c r="L1162">
        <v>412.25</v>
      </c>
    </row>
    <row r="1163" spans="1:12" x14ac:dyDescent="0.3">
      <c r="A1163" t="s">
        <v>1401</v>
      </c>
      <c r="B1163" s="3">
        <v>45999</v>
      </c>
      <c r="C1163" t="s">
        <v>170</v>
      </c>
      <c r="D1163" t="s">
        <v>88</v>
      </c>
      <c r="E1163" t="s">
        <v>73</v>
      </c>
      <c r="F1163" t="s">
        <v>27</v>
      </c>
      <c r="G1163" t="s">
        <v>28</v>
      </c>
      <c r="H1163">
        <v>3</v>
      </c>
      <c r="I1163">
        <v>215</v>
      </c>
      <c r="J1163">
        <v>0</v>
      </c>
      <c r="K1163">
        <v>645</v>
      </c>
      <c r="L1163">
        <v>143.87</v>
      </c>
    </row>
    <row r="1164" spans="1:12" x14ac:dyDescent="0.3">
      <c r="A1164" t="s">
        <v>1402</v>
      </c>
      <c r="B1164" s="3">
        <v>45997</v>
      </c>
      <c r="C1164" t="s">
        <v>159</v>
      </c>
      <c r="D1164" t="s">
        <v>30</v>
      </c>
      <c r="E1164" t="s">
        <v>15</v>
      </c>
      <c r="F1164" t="s">
        <v>27</v>
      </c>
      <c r="G1164" t="s">
        <v>31</v>
      </c>
      <c r="H1164">
        <v>1</v>
      </c>
      <c r="I1164">
        <v>10213</v>
      </c>
      <c r="J1164">
        <v>0.1</v>
      </c>
      <c r="K1164">
        <v>9191.7000000000007</v>
      </c>
      <c r="L1164">
        <v>982.99</v>
      </c>
    </row>
    <row r="1165" spans="1:12" x14ac:dyDescent="0.3">
      <c r="A1165" t="s">
        <v>1403</v>
      </c>
      <c r="B1165" s="3">
        <v>45807</v>
      </c>
      <c r="C1165" t="s">
        <v>436</v>
      </c>
      <c r="D1165" t="s">
        <v>20</v>
      </c>
      <c r="E1165" t="s">
        <v>15</v>
      </c>
      <c r="F1165" t="s">
        <v>21</v>
      </c>
      <c r="G1165" t="s">
        <v>55</v>
      </c>
      <c r="H1165">
        <v>2</v>
      </c>
      <c r="I1165">
        <v>8905</v>
      </c>
      <c r="J1165">
        <v>0</v>
      </c>
      <c r="K1165">
        <v>17810</v>
      </c>
      <c r="L1165">
        <v>3822.75</v>
      </c>
    </row>
    <row r="1166" spans="1:12" x14ac:dyDescent="0.3">
      <c r="A1166" t="s">
        <v>1404</v>
      </c>
      <c r="B1166" s="3">
        <v>45891</v>
      </c>
      <c r="C1166" t="s">
        <v>792</v>
      </c>
      <c r="D1166" t="s">
        <v>97</v>
      </c>
      <c r="E1166" t="s">
        <v>44</v>
      </c>
      <c r="F1166" t="s">
        <v>58</v>
      </c>
      <c r="G1166" t="s">
        <v>59</v>
      </c>
      <c r="H1166">
        <v>2</v>
      </c>
      <c r="I1166">
        <v>676</v>
      </c>
      <c r="J1166">
        <v>0.05</v>
      </c>
      <c r="K1166">
        <v>1284.3999999999999</v>
      </c>
      <c r="L1166">
        <v>220.31</v>
      </c>
    </row>
    <row r="1167" spans="1:12" x14ac:dyDescent="0.3">
      <c r="A1167" t="s">
        <v>1405</v>
      </c>
      <c r="B1167" s="3">
        <v>45894</v>
      </c>
      <c r="C1167" t="s">
        <v>187</v>
      </c>
      <c r="D1167" t="s">
        <v>83</v>
      </c>
      <c r="E1167" t="s">
        <v>73</v>
      </c>
      <c r="F1167" t="s">
        <v>21</v>
      </c>
      <c r="G1167" t="s">
        <v>35</v>
      </c>
      <c r="H1167">
        <v>1</v>
      </c>
      <c r="I1167">
        <v>552</v>
      </c>
      <c r="J1167">
        <v>0.1</v>
      </c>
      <c r="K1167">
        <v>496.8</v>
      </c>
      <c r="L1167">
        <v>127.58</v>
      </c>
    </row>
    <row r="1168" spans="1:12" x14ac:dyDescent="0.3">
      <c r="A1168" t="s">
        <v>1406</v>
      </c>
      <c r="B1168" s="3">
        <v>45722</v>
      </c>
      <c r="C1168" t="s">
        <v>731</v>
      </c>
      <c r="D1168" t="s">
        <v>72</v>
      </c>
      <c r="E1168" t="s">
        <v>73</v>
      </c>
      <c r="F1168" t="s">
        <v>16</v>
      </c>
      <c r="G1168" t="s">
        <v>17</v>
      </c>
      <c r="H1168">
        <v>1</v>
      </c>
      <c r="I1168">
        <v>351</v>
      </c>
      <c r="J1168">
        <v>0</v>
      </c>
      <c r="K1168">
        <v>351</v>
      </c>
      <c r="L1168">
        <v>48.52</v>
      </c>
    </row>
    <row r="1169" spans="1:12" x14ac:dyDescent="0.3">
      <c r="A1169" t="s">
        <v>1407</v>
      </c>
      <c r="B1169" s="3">
        <v>45895</v>
      </c>
      <c r="C1169" t="s">
        <v>368</v>
      </c>
      <c r="D1169" t="s">
        <v>50</v>
      </c>
      <c r="E1169" t="s">
        <v>51</v>
      </c>
      <c r="F1169" t="s">
        <v>27</v>
      </c>
      <c r="G1169" t="s">
        <v>31</v>
      </c>
      <c r="H1169">
        <v>1</v>
      </c>
      <c r="I1169">
        <v>1069</v>
      </c>
      <c r="J1169">
        <v>0.05</v>
      </c>
      <c r="K1169">
        <v>1015.55</v>
      </c>
      <c r="L1169">
        <v>183.07</v>
      </c>
    </row>
    <row r="1170" spans="1:12" x14ac:dyDescent="0.3">
      <c r="A1170" t="s">
        <v>1408</v>
      </c>
      <c r="B1170" s="3">
        <v>45952</v>
      </c>
      <c r="C1170" t="s">
        <v>507</v>
      </c>
      <c r="D1170" t="s">
        <v>120</v>
      </c>
      <c r="E1170" t="s">
        <v>51</v>
      </c>
      <c r="F1170" t="s">
        <v>16</v>
      </c>
      <c r="G1170" t="s">
        <v>104</v>
      </c>
      <c r="H1170">
        <v>1</v>
      </c>
      <c r="I1170">
        <v>533</v>
      </c>
      <c r="J1170">
        <v>0.05</v>
      </c>
      <c r="K1170">
        <v>506.34999999999997</v>
      </c>
      <c r="L1170">
        <v>102.85</v>
      </c>
    </row>
    <row r="1171" spans="1:12" x14ac:dyDescent="0.3">
      <c r="A1171" t="s">
        <v>1409</v>
      </c>
      <c r="B1171" s="3">
        <v>45822</v>
      </c>
      <c r="C1171" t="s">
        <v>163</v>
      </c>
      <c r="D1171" t="s">
        <v>68</v>
      </c>
      <c r="E1171" t="s">
        <v>44</v>
      </c>
      <c r="F1171" t="s">
        <v>21</v>
      </c>
      <c r="G1171" t="s">
        <v>35</v>
      </c>
      <c r="H1171">
        <v>5</v>
      </c>
      <c r="I1171">
        <v>2913</v>
      </c>
      <c r="J1171">
        <v>0</v>
      </c>
      <c r="K1171">
        <v>14565</v>
      </c>
      <c r="L1171">
        <v>1280</v>
      </c>
    </row>
    <row r="1172" spans="1:12" x14ac:dyDescent="0.3">
      <c r="A1172" t="s">
        <v>1410</v>
      </c>
      <c r="B1172" s="3">
        <v>45739</v>
      </c>
      <c r="C1172" t="s">
        <v>555</v>
      </c>
      <c r="D1172" t="s">
        <v>50</v>
      </c>
      <c r="E1172" t="s">
        <v>51</v>
      </c>
      <c r="F1172" t="s">
        <v>58</v>
      </c>
      <c r="G1172" t="s">
        <v>59</v>
      </c>
      <c r="H1172">
        <v>2</v>
      </c>
      <c r="I1172">
        <v>2484</v>
      </c>
      <c r="J1172">
        <v>0</v>
      </c>
      <c r="K1172">
        <v>4968</v>
      </c>
      <c r="L1172">
        <v>863.87</v>
      </c>
    </row>
    <row r="1173" spans="1:12" x14ac:dyDescent="0.3">
      <c r="A1173" t="s">
        <v>1411</v>
      </c>
      <c r="B1173" s="3">
        <v>45704</v>
      </c>
      <c r="C1173" t="s">
        <v>358</v>
      </c>
      <c r="D1173" t="s">
        <v>120</v>
      </c>
      <c r="E1173" t="s">
        <v>51</v>
      </c>
      <c r="F1173" t="s">
        <v>27</v>
      </c>
      <c r="G1173" t="s">
        <v>28</v>
      </c>
      <c r="H1173">
        <v>4</v>
      </c>
      <c r="I1173">
        <v>1609</v>
      </c>
      <c r="J1173">
        <v>0</v>
      </c>
      <c r="K1173">
        <v>6436</v>
      </c>
      <c r="L1173">
        <v>1107.8699999999999</v>
      </c>
    </row>
    <row r="1174" spans="1:12" x14ac:dyDescent="0.3">
      <c r="A1174" t="s">
        <v>1412</v>
      </c>
      <c r="B1174" s="3">
        <v>45947</v>
      </c>
      <c r="C1174" t="s">
        <v>429</v>
      </c>
      <c r="D1174" t="s">
        <v>103</v>
      </c>
      <c r="E1174" t="s">
        <v>51</v>
      </c>
      <c r="F1174" t="s">
        <v>58</v>
      </c>
      <c r="G1174" t="s">
        <v>126</v>
      </c>
      <c r="H1174">
        <v>1</v>
      </c>
      <c r="I1174">
        <v>8481</v>
      </c>
      <c r="J1174">
        <v>0.05</v>
      </c>
      <c r="K1174">
        <v>8056.95</v>
      </c>
      <c r="L1174">
        <v>2005.71</v>
      </c>
    </row>
    <row r="1175" spans="1:12" x14ac:dyDescent="0.3">
      <c r="A1175" t="s">
        <v>1413</v>
      </c>
      <c r="B1175" s="3">
        <v>45912</v>
      </c>
      <c r="C1175" t="s">
        <v>100</v>
      </c>
      <c r="D1175" t="s">
        <v>50</v>
      </c>
      <c r="E1175" t="s">
        <v>51</v>
      </c>
      <c r="F1175" t="s">
        <v>58</v>
      </c>
      <c r="G1175" t="s">
        <v>69</v>
      </c>
      <c r="H1175">
        <v>2</v>
      </c>
      <c r="I1175">
        <v>993</v>
      </c>
      <c r="J1175">
        <v>0</v>
      </c>
      <c r="K1175">
        <v>1986</v>
      </c>
      <c r="L1175">
        <v>242.45</v>
      </c>
    </row>
    <row r="1176" spans="1:12" x14ac:dyDescent="0.3">
      <c r="A1176" t="s">
        <v>1414</v>
      </c>
      <c r="B1176" s="3">
        <v>45872</v>
      </c>
      <c r="C1176" t="s">
        <v>492</v>
      </c>
      <c r="D1176" t="s">
        <v>307</v>
      </c>
      <c r="E1176" t="s">
        <v>73</v>
      </c>
      <c r="F1176" t="s">
        <v>27</v>
      </c>
      <c r="G1176" t="s">
        <v>31</v>
      </c>
      <c r="H1176">
        <v>1</v>
      </c>
      <c r="I1176">
        <v>247</v>
      </c>
      <c r="J1176">
        <v>0.15</v>
      </c>
      <c r="K1176">
        <v>209.95</v>
      </c>
      <c r="L1176">
        <v>20.91</v>
      </c>
    </row>
    <row r="1177" spans="1:12" x14ac:dyDescent="0.3">
      <c r="A1177" t="s">
        <v>1415</v>
      </c>
      <c r="B1177" s="3">
        <v>45723</v>
      </c>
      <c r="C1177" t="s">
        <v>211</v>
      </c>
      <c r="D1177" t="s">
        <v>68</v>
      </c>
      <c r="E1177" t="s">
        <v>44</v>
      </c>
      <c r="F1177" t="s">
        <v>27</v>
      </c>
      <c r="G1177" t="s">
        <v>40</v>
      </c>
      <c r="H1177">
        <v>1</v>
      </c>
      <c r="I1177">
        <v>5784</v>
      </c>
      <c r="J1177">
        <v>0.05</v>
      </c>
      <c r="K1177">
        <v>5494.8</v>
      </c>
      <c r="L1177">
        <v>996.91</v>
      </c>
    </row>
    <row r="1178" spans="1:12" x14ac:dyDescent="0.3">
      <c r="A1178" t="s">
        <v>1416</v>
      </c>
      <c r="B1178" s="3">
        <v>45816</v>
      </c>
      <c r="C1178" t="s">
        <v>215</v>
      </c>
      <c r="D1178" t="s">
        <v>153</v>
      </c>
      <c r="E1178" t="s">
        <v>26</v>
      </c>
      <c r="F1178" t="s">
        <v>21</v>
      </c>
      <c r="G1178" t="s">
        <v>35</v>
      </c>
      <c r="H1178">
        <v>1</v>
      </c>
      <c r="I1178">
        <v>7459</v>
      </c>
      <c r="J1178">
        <v>0.1</v>
      </c>
      <c r="K1178">
        <v>6713.1</v>
      </c>
      <c r="L1178">
        <v>551.4</v>
      </c>
    </row>
    <row r="1179" spans="1:12" x14ac:dyDescent="0.3">
      <c r="A1179" t="s">
        <v>1417</v>
      </c>
      <c r="B1179" s="3">
        <v>45928</v>
      </c>
      <c r="C1179" t="s">
        <v>463</v>
      </c>
      <c r="D1179" t="s">
        <v>43</v>
      </c>
      <c r="E1179" t="s">
        <v>44</v>
      </c>
      <c r="F1179" t="s">
        <v>58</v>
      </c>
      <c r="G1179" t="s">
        <v>59</v>
      </c>
      <c r="H1179">
        <v>1</v>
      </c>
      <c r="I1179">
        <v>423</v>
      </c>
      <c r="J1179">
        <v>0</v>
      </c>
      <c r="K1179">
        <v>423</v>
      </c>
      <c r="L1179">
        <v>38.18</v>
      </c>
    </row>
    <row r="1180" spans="1:12" x14ac:dyDescent="0.3">
      <c r="A1180" t="s">
        <v>1418</v>
      </c>
      <c r="B1180" s="3">
        <v>45866</v>
      </c>
      <c r="C1180" t="s">
        <v>134</v>
      </c>
      <c r="D1180" t="s">
        <v>34</v>
      </c>
      <c r="E1180" t="s">
        <v>15</v>
      </c>
      <c r="F1180" t="s">
        <v>27</v>
      </c>
      <c r="G1180" t="s">
        <v>31</v>
      </c>
      <c r="H1180">
        <v>1</v>
      </c>
      <c r="I1180">
        <v>9820</v>
      </c>
      <c r="J1180">
        <v>0.2</v>
      </c>
      <c r="K1180">
        <v>7856</v>
      </c>
      <c r="L1180">
        <v>1265.45</v>
      </c>
    </row>
    <row r="1181" spans="1:12" x14ac:dyDescent="0.3">
      <c r="A1181" t="s">
        <v>1419</v>
      </c>
      <c r="B1181" s="3">
        <v>45971</v>
      </c>
      <c r="C1181" t="s">
        <v>253</v>
      </c>
      <c r="D1181" t="s">
        <v>103</v>
      </c>
      <c r="E1181" t="s">
        <v>51</v>
      </c>
      <c r="F1181" t="s">
        <v>58</v>
      </c>
      <c r="G1181" t="s">
        <v>69</v>
      </c>
      <c r="H1181">
        <v>3</v>
      </c>
      <c r="I1181">
        <v>2609</v>
      </c>
      <c r="J1181">
        <v>0.05</v>
      </c>
      <c r="K1181">
        <v>7435.65</v>
      </c>
      <c r="L1181">
        <v>1123.71</v>
      </c>
    </row>
    <row r="1182" spans="1:12" x14ac:dyDescent="0.3">
      <c r="A1182" t="s">
        <v>1420</v>
      </c>
      <c r="B1182" s="3">
        <v>45931</v>
      </c>
      <c r="C1182" t="s">
        <v>394</v>
      </c>
      <c r="D1182" t="s">
        <v>25</v>
      </c>
      <c r="E1182" t="s">
        <v>26</v>
      </c>
      <c r="F1182" t="s">
        <v>21</v>
      </c>
      <c r="G1182" t="s">
        <v>55</v>
      </c>
      <c r="H1182">
        <v>1</v>
      </c>
      <c r="I1182">
        <v>9155</v>
      </c>
      <c r="J1182">
        <v>0.05</v>
      </c>
      <c r="K1182">
        <v>8697.25</v>
      </c>
      <c r="L1182">
        <v>1561.6</v>
      </c>
    </row>
    <row r="1183" spans="1:12" x14ac:dyDescent="0.3">
      <c r="A1183" t="s">
        <v>1421</v>
      </c>
      <c r="B1183" s="3">
        <v>45853</v>
      </c>
      <c r="C1183" t="s">
        <v>807</v>
      </c>
      <c r="D1183" t="s">
        <v>50</v>
      </c>
      <c r="E1183" t="s">
        <v>51</v>
      </c>
      <c r="F1183" t="s">
        <v>58</v>
      </c>
      <c r="G1183" t="s">
        <v>126</v>
      </c>
      <c r="H1183">
        <v>3</v>
      </c>
      <c r="I1183">
        <v>1262</v>
      </c>
      <c r="J1183">
        <v>0</v>
      </c>
      <c r="K1183">
        <v>3786</v>
      </c>
      <c r="L1183">
        <v>797.86</v>
      </c>
    </row>
    <row r="1184" spans="1:12" x14ac:dyDescent="0.3">
      <c r="A1184" t="s">
        <v>1422</v>
      </c>
      <c r="B1184" s="3">
        <v>45824</v>
      </c>
      <c r="C1184" t="s">
        <v>187</v>
      </c>
      <c r="D1184" t="s">
        <v>43</v>
      </c>
      <c r="E1184" t="s">
        <v>44</v>
      </c>
      <c r="F1184" t="s">
        <v>16</v>
      </c>
      <c r="G1184" t="s">
        <v>104</v>
      </c>
      <c r="H1184">
        <v>3</v>
      </c>
      <c r="I1184">
        <v>1140</v>
      </c>
      <c r="J1184">
        <v>0.05</v>
      </c>
      <c r="K1184">
        <v>3249</v>
      </c>
      <c r="L1184">
        <v>846.95</v>
      </c>
    </row>
    <row r="1185" spans="1:12" x14ac:dyDescent="0.3">
      <c r="A1185" t="s">
        <v>1423</v>
      </c>
      <c r="B1185" s="3">
        <v>45719</v>
      </c>
      <c r="C1185" t="s">
        <v>407</v>
      </c>
      <c r="D1185" t="s">
        <v>68</v>
      </c>
      <c r="E1185" t="s">
        <v>44</v>
      </c>
      <c r="F1185" t="s">
        <v>58</v>
      </c>
      <c r="G1185" t="s">
        <v>126</v>
      </c>
      <c r="H1185">
        <v>1</v>
      </c>
      <c r="I1185">
        <v>2824</v>
      </c>
      <c r="J1185">
        <v>0.2</v>
      </c>
      <c r="K1185">
        <v>2259.2000000000003</v>
      </c>
      <c r="L1185">
        <v>371.9</v>
      </c>
    </row>
    <row r="1186" spans="1:12" x14ac:dyDescent="0.3">
      <c r="A1186" t="s">
        <v>1424</v>
      </c>
      <c r="B1186" s="3">
        <v>45820</v>
      </c>
      <c r="C1186" t="s">
        <v>143</v>
      </c>
      <c r="D1186" t="s">
        <v>80</v>
      </c>
      <c r="E1186" t="s">
        <v>51</v>
      </c>
      <c r="F1186" t="s">
        <v>58</v>
      </c>
      <c r="G1186" t="s">
        <v>126</v>
      </c>
      <c r="H1186">
        <v>3</v>
      </c>
      <c r="I1186">
        <v>62085</v>
      </c>
      <c r="J1186">
        <v>0.05</v>
      </c>
      <c r="K1186">
        <v>176942.25</v>
      </c>
      <c r="L1186">
        <v>49350.1</v>
      </c>
    </row>
    <row r="1187" spans="1:12" x14ac:dyDescent="0.3">
      <c r="A1187" t="s">
        <v>1425</v>
      </c>
      <c r="B1187" s="3">
        <v>45988</v>
      </c>
      <c r="C1187" t="s">
        <v>278</v>
      </c>
      <c r="D1187" t="s">
        <v>68</v>
      </c>
      <c r="E1187" t="s">
        <v>44</v>
      </c>
      <c r="F1187" t="s">
        <v>16</v>
      </c>
      <c r="G1187" t="s">
        <v>104</v>
      </c>
      <c r="H1187">
        <v>4</v>
      </c>
      <c r="I1187">
        <v>3508</v>
      </c>
      <c r="J1187">
        <v>0.15</v>
      </c>
      <c r="K1187">
        <v>11927.199999999999</v>
      </c>
      <c r="L1187">
        <v>3144.63</v>
      </c>
    </row>
    <row r="1188" spans="1:12" x14ac:dyDescent="0.3">
      <c r="A1188" t="s">
        <v>1426</v>
      </c>
      <c r="B1188" s="3">
        <v>45953</v>
      </c>
      <c r="C1188" t="s">
        <v>965</v>
      </c>
      <c r="D1188" t="s">
        <v>34</v>
      </c>
      <c r="E1188" t="s">
        <v>15</v>
      </c>
      <c r="F1188" t="s">
        <v>16</v>
      </c>
      <c r="G1188" t="s">
        <v>52</v>
      </c>
      <c r="H1188">
        <v>1</v>
      </c>
      <c r="I1188">
        <v>9379</v>
      </c>
      <c r="J1188">
        <v>0.05</v>
      </c>
      <c r="K1188">
        <v>8910.0499999999993</v>
      </c>
      <c r="L1188">
        <v>1910.78</v>
      </c>
    </row>
    <row r="1189" spans="1:12" x14ac:dyDescent="0.3">
      <c r="A1189" t="s">
        <v>1427</v>
      </c>
      <c r="B1189" s="3">
        <v>45710</v>
      </c>
      <c r="C1189" t="s">
        <v>1109</v>
      </c>
      <c r="D1189" t="s">
        <v>97</v>
      </c>
      <c r="E1189" t="s">
        <v>44</v>
      </c>
      <c r="F1189" t="s">
        <v>16</v>
      </c>
      <c r="G1189" t="s">
        <v>52</v>
      </c>
      <c r="H1189">
        <v>2</v>
      </c>
      <c r="I1189">
        <v>736</v>
      </c>
      <c r="J1189">
        <v>0.2</v>
      </c>
      <c r="K1189">
        <v>1177.6000000000001</v>
      </c>
      <c r="L1189">
        <v>206.92</v>
      </c>
    </row>
    <row r="1190" spans="1:12" x14ac:dyDescent="0.3">
      <c r="A1190" t="s">
        <v>1428</v>
      </c>
      <c r="B1190" s="3">
        <v>45909</v>
      </c>
      <c r="C1190" t="s">
        <v>578</v>
      </c>
      <c r="D1190" t="s">
        <v>202</v>
      </c>
      <c r="E1190" t="s">
        <v>44</v>
      </c>
      <c r="F1190" t="s">
        <v>27</v>
      </c>
      <c r="G1190" t="s">
        <v>28</v>
      </c>
      <c r="H1190">
        <v>4</v>
      </c>
      <c r="I1190">
        <v>3320</v>
      </c>
      <c r="J1190">
        <v>0.05</v>
      </c>
      <c r="K1190">
        <v>12616</v>
      </c>
      <c r="L1190">
        <v>2019.46</v>
      </c>
    </row>
    <row r="1191" spans="1:12" x14ac:dyDescent="0.3">
      <c r="A1191" t="s">
        <v>1429</v>
      </c>
      <c r="B1191" s="3">
        <v>45863</v>
      </c>
      <c r="C1191" t="s">
        <v>391</v>
      </c>
      <c r="D1191" t="s">
        <v>80</v>
      </c>
      <c r="E1191" t="s">
        <v>51</v>
      </c>
      <c r="F1191" t="s">
        <v>21</v>
      </c>
      <c r="G1191" t="s">
        <v>55</v>
      </c>
      <c r="H1191">
        <v>1</v>
      </c>
      <c r="I1191">
        <v>61480</v>
      </c>
      <c r="J1191">
        <v>0.1</v>
      </c>
      <c r="K1191">
        <v>55332</v>
      </c>
      <c r="L1191">
        <v>8772.33</v>
      </c>
    </row>
    <row r="1192" spans="1:12" x14ac:dyDescent="0.3">
      <c r="A1192" t="s">
        <v>1430</v>
      </c>
      <c r="B1192" s="3">
        <v>45939</v>
      </c>
      <c r="C1192" t="s">
        <v>310</v>
      </c>
      <c r="D1192" t="s">
        <v>153</v>
      </c>
      <c r="E1192" t="s">
        <v>26</v>
      </c>
      <c r="F1192" t="s">
        <v>58</v>
      </c>
      <c r="G1192" t="s">
        <v>59</v>
      </c>
      <c r="H1192">
        <v>2</v>
      </c>
      <c r="I1192">
        <v>5687</v>
      </c>
      <c r="J1192">
        <v>0</v>
      </c>
      <c r="K1192">
        <v>11374</v>
      </c>
      <c r="L1192">
        <v>2077.44</v>
      </c>
    </row>
    <row r="1193" spans="1:12" x14ac:dyDescent="0.3">
      <c r="A1193" t="s">
        <v>1431</v>
      </c>
      <c r="B1193" s="3">
        <v>45994</v>
      </c>
      <c r="C1193" t="s">
        <v>305</v>
      </c>
      <c r="D1193" t="s">
        <v>25</v>
      </c>
      <c r="E1193" t="s">
        <v>26</v>
      </c>
      <c r="F1193" t="s">
        <v>16</v>
      </c>
      <c r="G1193" t="s">
        <v>17</v>
      </c>
      <c r="H1193">
        <v>1</v>
      </c>
      <c r="I1193">
        <v>16973</v>
      </c>
      <c r="J1193">
        <v>0</v>
      </c>
      <c r="K1193">
        <v>16973</v>
      </c>
      <c r="L1193">
        <v>4624.63</v>
      </c>
    </row>
    <row r="1194" spans="1:12" x14ac:dyDescent="0.3">
      <c r="A1194" t="s">
        <v>1432</v>
      </c>
      <c r="B1194" s="3">
        <v>45692</v>
      </c>
      <c r="C1194" t="s">
        <v>71</v>
      </c>
      <c r="D1194" t="s">
        <v>34</v>
      </c>
      <c r="E1194" t="s">
        <v>15</v>
      </c>
      <c r="F1194" t="s">
        <v>21</v>
      </c>
      <c r="G1194" t="s">
        <v>35</v>
      </c>
      <c r="H1194">
        <v>2</v>
      </c>
      <c r="I1194">
        <v>14080</v>
      </c>
      <c r="J1194">
        <v>0.15</v>
      </c>
      <c r="K1194">
        <v>23936</v>
      </c>
      <c r="L1194">
        <v>3958.56</v>
      </c>
    </row>
    <row r="1195" spans="1:12" x14ac:dyDescent="0.3">
      <c r="A1195" t="s">
        <v>1433</v>
      </c>
      <c r="B1195" s="3">
        <v>45892</v>
      </c>
      <c r="C1195" t="s">
        <v>965</v>
      </c>
      <c r="D1195" t="s">
        <v>43</v>
      </c>
      <c r="E1195" t="s">
        <v>44</v>
      </c>
      <c r="F1195" t="s">
        <v>21</v>
      </c>
      <c r="G1195" t="s">
        <v>22</v>
      </c>
      <c r="H1195">
        <v>1</v>
      </c>
      <c r="I1195">
        <v>548</v>
      </c>
      <c r="J1195">
        <v>0</v>
      </c>
      <c r="K1195">
        <v>548</v>
      </c>
      <c r="L1195">
        <v>99.34</v>
      </c>
    </row>
    <row r="1196" spans="1:12" x14ac:dyDescent="0.3">
      <c r="A1196" t="s">
        <v>1434</v>
      </c>
      <c r="B1196" s="3">
        <v>45703</v>
      </c>
      <c r="C1196" t="s">
        <v>64</v>
      </c>
      <c r="D1196" t="s">
        <v>83</v>
      </c>
      <c r="E1196" t="s">
        <v>73</v>
      </c>
      <c r="F1196" t="s">
        <v>27</v>
      </c>
      <c r="G1196" t="s">
        <v>40</v>
      </c>
      <c r="H1196">
        <v>4</v>
      </c>
      <c r="I1196">
        <v>812</v>
      </c>
      <c r="J1196">
        <v>0.1</v>
      </c>
      <c r="K1196">
        <v>2923.2000000000003</v>
      </c>
      <c r="L1196">
        <v>316.23</v>
      </c>
    </row>
    <row r="1197" spans="1:12" x14ac:dyDescent="0.3">
      <c r="A1197" t="s">
        <v>1435</v>
      </c>
      <c r="B1197" s="3">
        <v>45835</v>
      </c>
      <c r="C1197" t="s">
        <v>398</v>
      </c>
      <c r="D1197" t="s">
        <v>68</v>
      </c>
      <c r="E1197" t="s">
        <v>44</v>
      </c>
      <c r="F1197" t="s">
        <v>21</v>
      </c>
      <c r="G1197" t="s">
        <v>55</v>
      </c>
      <c r="H1197">
        <v>2</v>
      </c>
      <c r="I1197">
        <v>3134</v>
      </c>
      <c r="J1197">
        <v>0.05</v>
      </c>
      <c r="K1197">
        <v>5954.5999999999995</v>
      </c>
      <c r="L1197">
        <v>678.47</v>
      </c>
    </row>
    <row r="1198" spans="1:12" x14ac:dyDescent="0.3">
      <c r="A1198" t="s">
        <v>1436</v>
      </c>
      <c r="B1198" s="3">
        <v>45707</v>
      </c>
      <c r="C1198" t="s">
        <v>231</v>
      </c>
      <c r="D1198" t="s">
        <v>83</v>
      </c>
      <c r="E1198" t="s">
        <v>73</v>
      </c>
      <c r="F1198" t="s">
        <v>58</v>
      </c>
      <c r="G1198" t="s">
        <v>69</v>
      </c>
      <c r="H1198">
        <v>3</v>
      </c>
      <c r="I1198">
        <v>419</v>
      </c>
      <c r="J1198">
        <v>0</v>
      </c>
      <c r="K1198">
        <v>1257</v>
      </c>
      <c r="L1198">
        <v>185.24</v>
      </c>
    </row>
    <row r="1199" spans="1:12" x14ac:dyDescent="0.3">
      <c r="A1199" t="s">
        <v>1437</v>
      </c>
      <c r="B1199" s="3">
        <v>45660</v>
      </c>
      <c r="C1199" t="s">
        <v>156</v>
      </c>
      <c r="D1199" t="s">
        <v>65</v>
      </c>
      <c r="E1199" t="s">
        <v>26</v>
      </c>
      <c r="F1199" t="s">
        <v>21</v>
      </c>
      <c r="G1199" t="s">
        <v>22</v>
      </c>
      <c r="H1199">
        <v>3</v>
      </c>
      <c r="I1199">
        <v>2235</v>
      </c>
      <c r="J1199">
        <v>0.15</v>
      </c>
      <c r="K1199">
        <v>5699.25</v>
      </c>
      <c r="L1199">
        <v>944.44</v>
      </c>
    </row>
    <row r="1200" spans="1:12" x14ac:dyDescent="0.3">
      <c r="A1200" t="s">
        <v>1438</v>
      </c>
      <c r="B1200" s="3">
        <v>45783</v>
      </c>
      <c r="C1200" t="s">
        <v>156</v>
      </c>
      <c r="D1200" t="s">
        <v>83</v>
      </c>
      <c r="E1200" t="s">
        <v>73</v>
      </c>
      <c r="F1200" t="s">
        <v>58</v>
      </c>
      <c r="G1200" t="s">
        <v>59</v>
      </c>
      <c r="H1200">
        <v>3</v>
      </c>
      <c r="I1200">
        <v>526</v>
      </c>
      <c r="J1200">
        <v>0.05</v>
      </c>
      <c r="K1200">
        <v>1499.1</v>
      </c>
      <c r="L1200">
        <v>275.14</v>
      </c>
    </row>
    <row r="1201" spans="1:12" x14ac:dyDescent="0.3">
      <c r="A1201" t="s">
        <v>1439</v>
      </c>
      <c r="B1201" s="3">
        <v>45862</v>
      </c>
      <c r="C1201" t="s">
        <v>580</v>
      </c>
      <c r="D1201" t="s">
        <v>65</v>
      </c>
      <c r="E1201" t="s">
        <v>26</v>
      </c>
      <c r="F1201" t="s">
        <v>27</v>
      </c>
      <c r="G1201" t="s">
        <v>40</v>
      </c>
      <c r="H1201">
        <v>4</v>
      </c>
      <c r="I1201">
        <v>3977</v>
      </c>
      <c r="J1201">
        <v>0.1</v>
      </c>
      <c r="K1201">
        <v>14317.2</v>
      </c>
      <c r="L1201">
        <v>2123.2600000000002</v>
      </c>
    </row>
    <row r="1210" spans="1:12" x14ac:dyDescent="0.3">
      <c r="K1210"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BBEC-CB9F-4D21-896A-5E8CCEE002F5}">
  <dimension ref="A1:D7"/>
  <sheetViews>
    <sheetView workbookViewId="0">
      <selection activeCell="A5" sqref="A1:B7"/>
    </sheetView>
  </sheetViews>
  <sheetFormatPr defaultRowHeight="14.4" x14ac:dyDescent="0.3"/>
  <cols>
    <col min="1" max="1" width="21.33203125" customWidth="1"/>
    <col min="2" max="2" width="15" customWidth="1"/>
    <col min="4" max="4" width="31.88671875" customWidth="1"/>
  </cols>
  <sheetData>
    <row r="1" spans="1:4" x14ac:dyDescent="0.3">
      <c r="A1" s="11" t="s">
        <v>1459</v>
      </c>
      <c r="B1" s="11" t="s">
        <v>1460</v>
      </c>
    </row>
    <row r="2" spans="1:4" x14ac:dyDescent="0.3">
      <c r="A2" t="s">
        <v>1464</v>
      </c>
      <c r="B2">
        <f>SUM(Cleaned_Data!K:K)</f>
        <v>21755053.149999987</v>
      </c>
      <c r="D2" t="s">
        <v>1468</v>
      </c>
    </row>
    <row r="3" spans="1:4" x14ac:dyDescent="0.3">
      <c r="A3" t="s">
        <v>1461</v>
      </c>
      <c r="B3">
        <f>SUM(Cleaned_Data!L:L)</f>
        <v>3842395.3499999968</v>
      </c>
      <c r="D3" t="s">
        <v>1469</v>
      </c>
    </row>
    <row r="4" spans="1:4" x14ac:dyDescent="0.3">
      <c r="A4" t="s">
        <v>1462</v>
      </c>
      <c r="B4">
        <f>SUM(Cleaned_Data!H:H)</f>
        <v>2479</v>
      </c>
      <c r="D4" t="s">
        <v>1470</v>
      </c>
    </row>
    <row r="5" spans="1:4" x14ac:dyDescent="0.3">
      <c r="A5" t="s">
        <v>1463</v>
      </c>
      <c r="B5">
        <f>COUNTA(Cleaned_Data!A:A)-1</f>
        <v>1200</v>
      </c>
      <c r="D5" t="s">
        <v>1471</v>
      </c>
    </row>
    <row r="6" spans="1:4" x14ac:dyDescent="0.3">
      <c r="A6" t="s">
        <v>1465</v>
      </c>
      <c r="B6">
        <f>B3/B2</f>
        <v>0.17662082108036584</v>
      </c>
      <c r="D6" t="s">
        <v>1472</v>
      </c>
    </row>
    <row r="7" spans="1:4" x14ac:dyDescent="0.3">
      <c r="A7" t="s">
        <v>1466</v>
      </c>
      <c r="B7">
        <f>B2/B5</f>
        <v>18129.210958333322</v>
      </c>
      <c r="D7" t="s">
        <v>1467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204"/>
  <sheetViews>
    <sheetView topLeftCell="A1179" workbookViewId="0">
      <selection activeCell="G1194" sqref="A1:L1204"/>
    </sheetView>
  </sheetViews>
  <sheetFormatPr defaultRowHeight="14.4" x14ac:dyDescent="0.3"/>
  <cols>
    <col min="1" max="1" width="8.5546875" bestFit="1" customWidth="1"/>
    <col min="2" max="2" width="19.109375" style="3" customWidth="1"/>
  </cols>
  <sheetData>
    <row r="1" spans="1:12" x14ac:dyDescent="0.3">
      <c r="A1" s="1" t="s">
        <v>0</v>
      </c>
      <c r="B1" s="2" t="s">
        <v>1</v>
      </c>
      <c r="C1" s="1" t="s">
        <v>2</v>
      </c>
      <c r="D1" s="1" t="s">
        <v>3</v>
      </c>
      <c r="E1" s="1" t="s">
        <v>4</v>
      </c>
      <c r="F1" s="1" t="s">
        <v>5</v>
      </c>
      <c r="G1" s="1" t="s">
        <v>6</v>
      </c>
      <c r="H1" s="1" t="s">
        <v>7</v>
      </c>
      <c r="I1" s="1" t="s">
        <v>8</v>
      </c>
      <c r="J1" s="1" t="s">
        <v>9</v>
      </c>
      <c r="K1" s="1" t="s">
        <v>10</v>
      </c>
      <c r="L1" s="1" t="s">
        <v>11</v>
      </c>
    </row>
    <row r="2" spans="1:12" x14ac:dyDescent="0.3">
      <c r="A2" t="s">
        <v>12</v>
      </c>
      <c r="B2" s="3">
        <v>45729</v>
      </c>
      <c r="C2" t="s">
        <v>13</v>
      </c>
      <c r="D2" t="s">
        <v>14</v>
      </c>
      <c r="E2" t="s">
        <v>15</v>
      </c>
      <c r="F2" t="s">
        <v>16</v>
      </c>
      <c r="G2" t="s">
        <v>17</v>
      </c>
      <c r="H2">
        <v>2</v>
      </c>
      <c r="I2">
        <v>7872</v>
      </c>
      <c r="J2">
        <v>0</v>
      </c>
      <c r="K2">
        <v>15744</v>
      </c>
      <c r="L2">
        <v>1442.41</v>
      </c>
    </row>
    <row r="3" spans="1:12" x14ac:dyDescent="0.3">
      <c r="A3" t="s">
        <v>18</v>
      </c>
      <c r="B3" s="3">
        <v>45807</v>
      </c>
      <c r="C3" t="s">
        <v>19</v>
      </c>
      <c r="D3" t="s">
        <v>20</v>
      </c>
      <c r="E3" t="s">
        <v>15</v>
      </c>
      <c r="F3" t="s">
        <v>21</v>
      </c>
      <c r="G3" t="s">
        <v>22</v>
      </c>
      <c r="H3">
        <v>1</v>
      </c>
      <c r="I3">
        <v>12942</v>
      </c>
      <c r="J3">
        <v>0.2</v>
      </c>
      <c r="K3">
        <v>10353.6</v>
      </c>
      <c r="L3">
        <v>829.9</v>
      </c>
    </row>
    <row r="4" spans="1:12" x14ac:dyDescent="0.3">
      <c r="A4" t="s">
        <v>23</v>
      </c>
      <c r="B4" s="3">
        <v>45893</v>
      </c>
      <c r="C4" t="s">
        <v>24</v>
      </c>
      <c r="D4" t="s">
        <v>25</v>
      </c>
      <c r="E4" t="s">
        <v>26</v>
      </c>
      <c r="F4" t="s">
        <v>27</v>
      </c>
      <c r="G4" t="s">
        <v>28</v>
      </c>
      <c r="H4">
        <v>1</v>
      </c>
      <c r="I4">
        <v>12297</v>
      </c>
      <c r="J4">
        <v>0.05</v>
      </c>
      <c r="K4">
        <v>11682.15</v>
      </c>
      <c r="L4">
        <v>1043.5999999999999</v>
      </c>
    </row>
    <row r="5" spans="1:12" x14ac:dyDescent="0.3">
      <c r="A5" t="s">
        <v>29</v>
      </c>
      <c r="B5" s="3">
        <v>46021</v>
      </c>
      <c r="C5" t="s">
        <v>19</v>
      </c>
      <c r="D5" t="s">
        <v>30</v>
      </c>
      <c r="E5" t="s">
        <v>15</v>
      </c>
      <c r="F5" t="s">
        <v>27</v>
      </c>
      <c r="G5" t="s">
        <v>31</v>
      </c>
      <c r="H5">
        <v>2</v>
      </c>
      <c r="I5">
        <v>10128</v>
      </c>
      <c r="J5">
        <v>0</v>
      </c>
      <c r="K5">
        <v>20256</v>
      </c>
      <c r="L5">
        <v>4081.77</v>
      </c>
    </row>
    <row r="6" spans="1:12" x14ac:dyDescent="0.3">
      <c r="A6" t="s">
        <v>32</v>
      </c>
      <c r="B6" s="3">
        <v>45973</v>
      </c>
      <c r="C6" t="s">
        <v>33</v>
      </c>
      <c r="D6" t="s">
        <v>34</v>
      </c>
      <c r="E6" t="s">
        <v>15</v>
      </c>
      <c r="F6" t="s">
        <v>21</v>
      </c>
      <c r="G6" t="s">
        <v>35</v>
      </c>
      <c r="H6">
        <v>2</v>
      </c>
      <c r="I6">
        <v>13937</v>
      </c>
      <c r="J6">
        <v>0</v>
      </c>
      <c r="K6">
        <v>27874</v>
      </c>
      <c r="L6">
        <v>3517.11</v>
      </c>
    </row>
    <row r="7" spans="1:12" x14ac:dyDescent="0.3">
      <c r="A7" t="s">
        <v>36</v>
      </c>
      <c r="B7" s="3">
        <v>45921</v>
      </c>
      <c r="C7" t="s">
        <v>37</v>
      </c>
      <c r="D7" t="s">
        <v>30</v>
      </c>
      <c r="E7" t="s">
        <v>15</v>
      </c>
      <c r="F7" t="s">
        <v>21</v>
      </c>
      <c r="G7" t="s">
        <v>35</v>
      </c>
      <c r="H7">
        <v>1</v>
      </c>
      <c r="I7">
        <v>13139</v>
      </c>
      <c r="J7">
        <v>0.05</v>
      </c>
      <c r="K7">
        <v>12482.05</v>
      </c>
      <c r="L7">
        <v>2652.49</v>
      </c>
    </row>
    <row r="8" spans="1:12" x14ac:dyDescent="0.3">
      <c r="A8" t="s">
        <v>38</v>
      </c>
      <c r="B8" s="3">
        <v>45848</v>
      </c>
      <c r="C8" t="s">
        <v>39</v>
      </c>
      <c r="D8" t="s">
        <v>34</v>
      </c>
      <c r="E8" t="s">
        <v>15</v>
      </c>
      <c r="F8" t="s">
        <v>27</v>
      </c>
      <c r="G8" t="s">
        <v>40</v>
      </c>
      <c r="H8">
        <v>3</v>
      </c>
      <c r="I8">
        <v>15096</v>
      </c>
      <c r="J8">
        <v>0.05</v>
      </c>
      <c r="K8">
        <v>43023.6</v>
      </c>
      <c r="L8">
        <v>11415.53</v>
      </c>
    </row>
    <row r="9" spans="1:12" x14ac:dyDescent="0.3">
      <c r="A9" t="s">
        <v>41</v>
      </c>
      <c r="B9" s="3">
        <v>45909</v>
      </c>
      <c r="C9" t="s">
        <v>42</v>
      </c>
      <c r="D9" t="s">
        <v>43</v>
      </c>
      <c r="E9" t="s">
        <v>44</v>
      </c>
      <c r="F9" t="s">
        <v>27</v>
      </c>
      <c r="G9" t="s">
        <v>31</v>
      </c>
      <c r="H9">
        <v>1</v>
      </c>
      <c r="I9">
        <v>690</v>
      </c>
      <c r="J9">
        <v>0.05</v>
      </c>
      <c r="K9">
        <v>655.5</v>
      </c>
      <c r="L9">
        <v>88.01</v>
      </c>
    </row>
    <row r="10" spans="1:12" x14ac:dyDescent="0.3">
      <c r="A10" t="s">
        <v>45</v>
      </c>
      <c r="B10" s="3">
        <v>45698</v>
      </c>
      <c r="C10" t="s">
        <v>46</v>
      </c>
      <c r="D10" t="s">
        <v>47</v>
      </c>
      <c r="E10" t="s">
        <v>26</v>
      </c>
      <c r="F10" t="s">
        <v>21</v>
      </c>
      <c r="G10" t="s">
        <v>35</v>
      </c>
      <c r="H10">
        <v>1</v>
      </c>
      <c r="I10">
        <v>9479</v>
      </c>
      <c r="J10">
        <v>0</v>
      </c>
      <c r="K10">
        <v>9479</v>
      </c>
      <c r="L10">
        <v>1561</v>
      </c>
    </row>
    <row r="11" spans="1:12" x14ac:dyDescent="0.3">
      <c r="A11" t="s">
        <v>48</v>
      </c>
      <c r="B11" s="3">
        <v>45820</v>
      </c>
      <c r="C11" t="s">
        <v>49</v>
      </c>
      <c r="D11" t="s">
        <v>50</v>
      </c>
      <c r="E11" t="s">
        <v>51</v>
      </c>
      <c r="F11" t="s">
        <v>16</v>
      </c>
      <c r="G11" t="s">
        <v>52</v>
      </c>
      <c r="H11">
        <v>3</v>
      </c>
      <c r="I11">
        <v>2436</v>
      </c>
      <c r="J11">
        <v>0.2</v>
      </c>
      <c r="K11">
        <v>5846.4</v>
      </c>
      <c r="L11">
        <v>1229</v>
      </c>
    </row>
    <row r="12" spans="1:12" x14ac:dyDescent="0.3">
      <c r="A12" t="s">
        <v>53</v>
      </c>
      <c r="B12" s="3">
        <v>45690</v>
      </c>
      <c r="C12" t="s">
        <v>54</v>
      </c>
      <c r="D12" t="s">
        <v>43</v>
      </c>
      <c r="E12" t="s">
        <v>44</v>
      </c>
      <c r="F12" t="s">
        <v>21</v>
      </c>
      <c r="G12" t="s">
        <v>55</v>
      </c>
      <c r="H12">
        <v>1</v>
      </c>
      <c r="I12">
        <v>673</v>
      </c>
      <c r="J12">
        <v>0.05</v>
      </c>
      <c r="K12">
        <v>639.35</v>
      </c>
      <c r="L12">
        <v>144.44</v>
      </c>
    </row>
    <row r="13" spans="1:12" x14ac:dyDescent="0.3">
      <c r="A13" t="s">
        <v>56</v>
      </c>
      <c r="B13" s="3">
        <v>45758</v>
      </c>
      <c r="C13" t="s">
        <v>57</v>
      </c>
      <c r="D13" t="s">
        <v>50</v>
      </c>
      <c r="E13" t="s">
        <v>51</v>
      </c>
      <c r="F13" t="s">
        <v>58</v>
      </c>
      <c r="G13" t="s">
        <v>59</v>
      </c>
      <c r="H13">
        <v>5</v>
      </c>
      <c r="I13">
        <v>3092</v>
      </c>
      <c r="J13">
        <v>0.15</v>
      </c>
      <c r="K13">
        <v>13141</v>
      </c>
      <c r="L13">
        <v>1671.5</v>
      </c>
    </row>
    <row r="14" spans="1:12" x14ac:dyDescent="0.3">
      <c r="A14" t="s">
        <v>60</v>
      </c>
      <c r="B14" s="3">
        <v>46003</v>
      </c>
      <c r="C14" t="s">
        <v>61</v>
      </c>
      <c r="D14" t="s">
        <v>47</v>
      </c>
      <c r="E14" t="s">
        <v>26</v>
      </c>
      <c r="F14" t="s">
        <v>16</v>
      </c>
      <c r="G14" t="s">
        <v>62</v>
      </c>
      <c r="H14">
        <v>1</v>
      </c>
      <c r="I14">
        <v>8618</v>
      </c>
      <c r="J14">
        <v>0</v>
      </c>
      <c r="K14">
        <v>8618</v>
      </c>
      <c r="L14">
        <v>1786.36</v>
      </c>
    </row>
    <row r="15" spans="1:12" x14ac:dyDescent="0.3">
      <c r="A15" t="s">
        <v>63</v>
      </c>
      <c r="B15" s="3">
        <v>45888</v>
      </c>
      <c r="C15" t="s">
        <v>64</v>
      </c>
      <c r="D15" t="s">
        <v>65</v>
      </c>
      <c r="E15" t="s">
        <v>26</v>
      </c>
      <c r="F15" t="s">
        <v>27</v>
      </c>
      <c r="G15" t="s">
        <v>28</v>
      </c>
      <c r="H15">
        <v>1</v>
      </c>
      <c r="I15">
        <v>3693</v>
      </c>
      <c r="J15">
        <v>0.05</v>
      </c>
      <c r="K15">
        <v>3508.35</v>
      </c>
      <c r="L15">
        <v>334.68</v>
      </c>
    </row>
    <row r="16" spans="1:12" x14ac:dyDescent="0.3">
      <c r="A16" t="s">
        <v>66</v>
      </c>
      <c r="B16" s="3">
        <v>45791</v>
      </c>
      <c r="C16" t="s">
        <v>67</v>
      </c>
      <c r="D16" t="s">
        <v>68</v>
      </c>
      <c r="E16" t="s">
        <v>44</v>
      </c>
      <c r="F16" t="s">
        <v>58</v>
      </c>
      <c r="G16" t="s">
        <v>69</v>
      </c>
      <c r="H16">
        <v>2</v>
      </c>
      <c r="I16">
        <v>3154</v>
      </c>
      <c r="J16">
        <v>0.05</v>
      </c>
      <c r="K16">
        <v>5992.6</v>
      </c>
      <c r="L16">
        <v>1538.04</v>
      </c>
    </row>
    <row r="17" spans="1:12" x14ac:dyDescent="0.3">
      <c r="A17" t="s">
        <v>70</v>
      </c>
      <c r="B17" s="3">
        <v>45847</v>
      </c>
      <c r="C17" t="s">
        <v>71</v>
      </c>
      <c r="D17" t="s">
        <v>72</v>
      </c>
      <c r="E17" t="s">
        <v>73</v>
      </c>
      <c r="F17" t="s">
        <v>58</v>
      </c>
      <c r="G17" t="s">
        <v>59</v>
      </c>
      <c r="H17">
        <v>1</v>
      </c>
      <c r="I17">
        <v>467</v>
      </c>
      <c r="J17">
        <v>0.05</v>
      </c>
      <c r="K17">
        <v>443.65</v>
      </c>
      <c r="L17">
        <v>108.07</v>
      </c>
    </row>
    <row r="18" spans="1:12" x14ac:dyDescent="0.3">
      <c r="A18" t="s">
        <v>74</v>
      </c>
      <c r="B18" s="3">
        <v>45822</v>
      </c>
      <c r="C18" t="s">
        <v>75</v>
      </c>
      <c r="D18" t="s">
        <v>50</v>
      </c>
      <c r="E18" t="s">
        <v>51</v>
      </c>
      <c r="F18" t="s">
        <v>58</v>
      </c>
      <c r="G18" t="s">
        <v>69</v>
      </c>
      <c r="H18">
        <v>2</v>
      </c>
      <c r="I18">
        <v>1527</v>
      </c>
      <c r="J18">
        <v>0.05</v>
      </c>
      <c r="K18">
        <v>2901.3</v>
      </c>
      <c r="L18">
        <v>329.76</v>
      </c>
    </row>
    <row r="19" spans="1:12" x14ac:dyDescent="0.3">
      <c r="A19" t="s">
        <v>76</v>
      </c>
      <c r="B19" s="3">
        <v>45975</v>
      </c>
      <c r="C19" t="s">
        <v>77</v>
      </c>
      <c r="D19" t="s">
        <v>47</v>
      </c>
      <c r="E19" t="s">
        <v>26</v>
      </c>
      <c r="F19" t="s">
        <v>21</v>
      </c>
      <c r="G19" t="s">
        <v>35</v>
      </c>
      <c r="H19">
        <v>5</v>
      </c>
      <c r="I19">
        <v>21437</v>
      </c>
      <c r="J19">
        <v>0.05</v>
      </c>
      <c r="K19">
        <v>101825.75</v>
      </c>
      <c r="L19">
        <v>18272.599999999999</v>
      </c>
    </row>
    <row r="20" spans="1:12" x14ac:dyDescent="0.3">
      <c r="A20" t="s">
        <v>78</v>
      </c>
      <c r="B20" s="3">
        <v>45659</v>
      </c>
      <c r="C20" t="s">
        <v>79</v>
      </c>
      <c r="D20" t="s">
        <v>80</v>
      </c>
      <c r="E20" t="s">
        <v>51</v>
      </c>
      <c r="F20" t="s">
        <v>16</v>
      </c>
      <c r="G20" t="s">
        <v>52</v>
      </c>
      <c r="H20">
        <v>2</v>
      </c>
      <c r="I20">
        <v>47059</v>
      </c>
      <c r="J20">
        <v>0.05</v>
      </c>
      <c r="K20">
        <v>89412.1</v>
      </c>
      <c r="L20">
        <v>23394.959999999999</v>
      </c>
    </row>
    <row r="21" spans="1:12" x14ac:dyDescent="0.3">
      <c r="A21" t="s">
        <v>81</v>
      </c>
      <c r="B21" s="3">
        <v>45817</v>
      </c>
      <c r="C21" t="s">
        <v>82</v>
      </c>
      <c r="D21" t="s">
        <v>83</v>
      </c>
      <c r="E21" t="s">
        <v>73</v>
      </c>
      <c r="F21" t="s">
        <v>21</v>
      </c>
      <c r="G21" t="s">
        <v>55</v>
      </c>
      <c r="H21">
        <v>2</v>
      </c>
      <c r="I21">
        <v>635</v>
      </c>
      <c r="J21">
        <v>0</v>
      </c>
      <c r="K21">
        <v>1270</v>
      </c>
      <c r="L21">
        <v>195.49</v>
      </c>
    </row>
    <row r="22" spans="1:12" x14ac:dyDescent="0.3">
      <c r="A22" t="s">
        <v>84</v>
      </c>
      <c r="B22" s="3">
        <v>45855</v>
      </c>
      <c r="C22" t="s">
        <v>85</v>
      </c>
      <c r="D22" t="s">
        <v>72</v>
      </c>
      <c r="E22" t="s">
        <v>73</v>
      </c>
      <c r="F22" t="s">
        <v>58</v>
      </c>
      <c r="G22" t="s">
        <v>69</v>
      </c>
      <c r="H22">
        <v>1</v>
      </c>
      <c r="I22">
        <v>1026</v>
      </c>
      <c r="J22">
        <v>0.15</v>
      </c>
      <c r="K22">
        <v>872.1</v>
      </c>
      <c r="L22">
        <v>96.06</v>
      </c>
    </row>
    <row r="23" spans="1:12" x14ac:dyDescent="0.3">
      <c r="A23" t="s">
        <v>86</v>
      </c>
      <c r="B23" s="3">
        <v>46003</v>
      </c>
      <c r="C23" t="s">
        <v>87</v>
      </c>
      <c r="D23" t="s">
        <v>88</v>
      </c>
      <c r="E23" t="s">
        <v>73</v>
      </c>
      <c r="F23" t="s">
        <v>21</v>
      </c>
      <c r="G23" t="s">
        <v>22</v>
      </c>
      <c r="H23">
        <v>2</v>
      </c>
      <c r="I23">
        <v>213</v>
      </c>
      <c r="J23">
        <v>0.1</v>
      </c>
      <c r="K23">
        <v>383.4</v>
      </c>
      <c r="L23">
        <v>44.04</v>
      </c>
    </row>
    <row r="24" spans="1:12" x14ac:dyDescent="0.3">
      <c r="A24" t="s">
        <v>89</v>
      </c>
      <c r="B24" s="3">
        <v>45924</v>
      </c>
      <c r="C24" t="s">
        <v>90</v>
      </c>
      <c r="D24" t="s">
        <v>30</v>
      </c>
      <c r="E24" t="s">
        <v>15</v>
      </c>
      <c r="F24" t="s">
        <v>27</v>
      </c>
      <c r="G24" t="s">
        <v>28</v>
      </c>
      <c r="H24">
        <v>1</v>
      </c>
      <c r="I24">
        <v>5578</v>
      </c>
      <c r="J24">
        <v>0.2</v>
      </c>
      <c r="K24">
        <v>4462.3999999999996</v>
      </c>
      <c r="L24">
        <v>1140</v>
      </c>
    </row>
    <row r="25" spans="1:12" x14ac:dyDescent="0.3">
      <c r="A25" t="s">
        <v>91</v>
      </c>
      <c r="B25" s="3">
        <v>45717</v>
      </c>
      <c r="C25" t="s">
        <v>75</v>
      </c>
      <c r="D25" t="s">
        <v>92</v>
      </c>
      <c r="E25" t="s">
        <v>51</v>
      </c>
      <c r="F25" t="s">
        <v>21</v>
      </c>
      <c r="G25" t="s">
        <v>35</v>
      </c>
      <c r="H25">
        <v>1</v>
      </c>
      <c r="I25">
        <v>24940</v>
      </c>
      <c r="J25">
        <v>0.2</v>
      </c>
      <c r="K25">
        <v>19952</v>
      </c>
      <c r="L25">
        <v>3823.97</v>
      </c>
    </row>
    <row r="26" spans="1:12" x14ac:dyDescent="0.3">
      <c r="A26" t="s">
        <v>93</v>
      </c>
      <c r="B26" s="3">
        <v>45804</v>
      </c>
      <c r="C26" t="s">
        <v>94</v>
      </c>
      <c r="D26" t="s">
        <v>47</v>
      </c>
      <c r="E26" t="s">
        <v>26</v>
      </c>
      <c r="F26" t="s">
        <v>58</v>
      </c>
      <c r="G26" t="s">
        <v>59</v>
      </c>
      <c r="H26">
        <v>3</v>
      </c>
      <c r="I26">
        <v>20457</v>
      </c>
      <c r="J26">
        <v>0.2</v>
      </c>
      <c r="K26">
        <v>49096.800000000003</v>
      </c>
      <c r="L26">
        <v>11585.62</v>
      </c>
    </row>
    <row r="27" spans="1:12" x14ac:dyDescent="0.3">
      <c r="A27" t="s">
        <v>95</v>
      </c>
      <c r="B27" s="3">
        <v>45761</v>
      </c>
      <c r="C27" t="s">
        <v>96</v>
      </c>
      <c r="D27" t="s">
        <v>97</v>
      </c>
      <c r="E27" t="s">
        <v>44</v>
      </c>
      <c r="F27" t="s">
        <v>21</v>
      </c>
      <c r="G27" t="s">
        <v>55</v>
      </c>
      <c r="H27">
        <v>2</v>
      </c>
      <c r="I27">
        <v>259</v>
      </c>
      <c r="J27">
        <v>0</v>
      </c>
      <c r="K27">
        <v>518</v>
      </c>
      <c r="L27">
        <v>110.18</v>
      </c>
    </row>
    <row r="28" spans="1:12" x14ac:dyDescent="0.3">
      <c r="A28" t="s">
        <v>98</v>
      </c>
      <c r="B28" s="3">
        <v>45967</v>
      </c>
      <c r="C28" t="s">
        <v>57</v>
      </c>
      <c r="D28" t="s">
        <v>34</v>
      </c>
      <c r="E28" t="s">
        <v>15</v>
      </c>
      <c r="F28" t="s">
        <v>27</v>
      </c>
      <c r="G28" t="s">
        <v>40</v>
      </c>
      <c r="H28">
        <v>2</v>
      </c>
      <c r="I28">
        <v>24900</v>
      </c>
      <c r="J28">
        <v>0</v>
      </c>
      <c r="K28">
        <v>49800</v>
      </c>
      <c r="L28">
        <v>4164.03</v>
      </c>
    </row>
    <row r="29" spans="1:12" x14ac:dyDescent="0.3">
      <c r="A29" t="s">
        <v>99</v>
      </c>
      <c r="B29" s="3">
        <v>45852</v>
      </c>
      <c r="C29" t="s">
        <v>100</v>
      </c>
      <c r="D29" t="s">
        <v>20</v>
      </c>
      <c r="E29" t="s">
        <v>15</v>
      </c>
      <c r="F29" t="s">
        <v>21</v>
      </c>
      <c r="G29" t="s">
        <v>22</v>
      </c>
      <c r="H29">
        <v>2</v>
      </c>
      <c r="I29">
        <v>11251</v>
      </c>
      <c r="J29">
        <v>0</v>
      </c>
      <c r="K29">
        <v>22502</v>
      </c>
      <c r="L29">
        <v>3455.03</v>
      </c>
    </row>
    <row r="30" spans="1:12" x14ac:dyDescent="0.3">
      <c r="A30" t="s">
        <v>101</v>
      </c>
      <c r="B30" s="3">
        <v>45921</v>
      </c>
      <c r="C30" t="s">
        <v>102</v>
      </c>
      <c r="D30" t="s">
        <v>103</v>
      </c>
      <c r="E30" t="s">
        <v>51</v>
      </c>
      <c r="F30" t="s">
        <v>16</v>
      </c>
      <c r="G30" t="s">
        <v>104</v>
      </c>
      <c r="H30">
        <v>2</v>
      </c>
      <c r="I30">
        <v>7400</v>
      </c>
      <c r="J30">
        <v>0.1</v>
      </c>
      <c r="K30">
        <v>13320</v>
      </c>
      <c r="L30">
        <v>2602.4699999999998</v>
      </c>
    </row>
    <row r="31" spans="1:12" x14ac:dyDescent="0.3">
      <c r="A31" t="s">
        <v>105</v>
      </c>
      <c r="B31" s="3">
        <v>45674</v>
      </c>
      <c r="C31" t="s">
        <v>106</v>
      </c>
      <c r="D31" t="s">
        <v>65</v>
      </c>
      <c r="E31" t="s">
        <v>26</v>
      </c>
      <c r="F31" t="s">
        <v>16</v>
      </c>
      <c r="G31" t="s">
        <v>52</v>
      </c>
      <c r="H31">
        <v>5</v>
      </c>
      <c r="I31">
        <v>2751</v>
      </c>
      <c r="J31">
        <v>0.05</v>
      </c>
      <c r="K31">
        <v>13067.25</v>
      </c>
      <c r="L31">
        <v>3354.35</v>
      </c>
    </row>
    <row r="32" spans="1:12" x14ac:dyDescent="0.3">
      <c r="A32" t="s">
        <v>107</v>
      </c>
      <c r="B32" s="3">
        <v>45838</v>
      </c>
      <c r="C32" t="s">
        <v>75</v>
      </c>
      <c r="D32" t="s">
        <v>103</v>
      </c>
      <c r="E32" t="s">
        <v>51</v>
      </c>
      <c r="F32" t="s">
        <v>58</v>
      </c>
      <c r="G32" t="s">
        <v>69</v>
      </c>
      <c r="H32">
        <v>2</v>
      </c>
      <c r="I32">
        <v>8847</v>
      </c>
      <c r="J32">
        <v>0</v>
      </c>
      <c r="K32">
        <v>17694</v>
      </c>
      <c r="L32">
        <v>2497.3200000000002</v>
      </c>
    </row>
    <row r="33" spans="1:12" x14ac:dyDescent="0.3">
      <c r="A33" t="s">
        <v>108</v>
      </c>
      <c r="B33" s="3">
        <v>45938</v>
      </c>
      <c r="C33" t="s">
        <v>109</v>
      </c>
      <c r="D33" t="s">
        <v>43</v>
      </c>
      <c r="E33" t="s">
        <v>44</v>
      </c>
      <c r="F33" t="s">
        <v>16</v>
      </c>
      <c r="G33" t="s">
        <v>104</v>
      </c>
      <c r="H33">
        <v>1</v>
      </c>
      <c r="I33">
        <v>1313</v>
      </c>
      <c r="J33">
        <v>0.2</v>
      </c>
      <c r="K33">
        <v>1050.4000000000001</v>
      </c>
      <c r="L33">
        <v>98.83</v>
      </c>
    </row>
    <row r="34" spans="1:12" x14ac:dyDescent="0.3">
      <c r="A34" t="s">
        <v>110</v>
      </c>
      <c r="B34" s="3">
        <v>45784</v>
      </c>
      <c r="C34" t="s">
        <v>111</v>
      </c>
      <c r="D34" t="s">
        <v>25</v>
      </c>
      <c r="E34" t="s">
        <v>26</v>
      </c>
      <c r="F34" t="s">
        <v>16</v>
      </c>
      <c r="G34" t="s">
        <v>104</v>
      </c>
      <c r="H34">
        <v>2</v>
      </c>
      <c r="I34">
        <v>16528</v>
      </c>
      <c r="J34">
        <v>0.15</v>
      </c>
      <c r="K34">
        <v>28097.599999999999</v>
      </c>
      <c r="L34">
        <v>6164.7</v>
      </c>
    </row>
    <row r="35" spans="1:12" x14ac:dyDescent="0.3">
      <c r="A35" t="s">
        <v>112</v>
      </c>
      <c r="B35" s="3">
        <v>45904</v>
      </c>
      <c r="C35" t="s">
        <v>113</v>
      </c>
      <c r="D35" t="s">
        <v>88</v>
      </c>
      <c r="E35" t="s">
        <v>73</v>
      </c>
      <c r="F35" t="s">
        <v>58</v>
      </c>
      <c r="G35" t="s">
        <v>69</v>
      </c>
      <c r="H35">
        <v>1</v>
      </c>
      <c r="I35">
        <v>228</v>
      </c>
      <c r="J35">
        <v>0.1</v>
      </c>
      <c r="K35">
        <v>205.2</v>
      </c>
      <c r="L35">
        <v>19.760000000000002</v>
      </c>
    </row>
    <row r="36" spans="1:12" x14ac:dyDescent="0.3">
      <c r="A36" t="s">
        <v>114</v>
      </c>
      <c r="B36" s="3">
        <v>45921</v>
      </c>
      <c r="C36" t="s">
        <v>33</v>
      </c>
      <c r="D36" t="s">
        <v>47</v>
      </c>
      <c r="E36" t="s">
        <v>26</v>
      </c>
      <c r="F36" t="s">
        <v>21</v>
      </c>
      <c r="G36" t="s">
        <v>35</v>
      </c>
      <c r="H36">
        <v>3</v>
      </c>
      <c r="I36">
        <v>18937</v>
      </c>
      <c r="J36">
        <v>0.2</v>
      </c>
      <c r="K36">
        <v>45448.800000000003</v>
      </c>
      <c r="L36">
        <v>6708.2</v>
      </c>
    </row>
    <row r="37" spans="1:12" x14ac:dyDescent="0.3">
      <c r="A37" t="s">
        <v>115</v>
      </c>
      <c r="B37" s="3">
        <v>45999</v>
      </c>
      <c r="C37" t="s">
        <v>116</v>
      </c>
      <c r="D37" t="s">
        <v>65</v>
      </c>
      <c r="E37" t="s">
        <v>117</v>
      </c>
      <c r="F37" t="s">
        <v>16</v>
      </c>
      <c r="G37" t="s">
        <v>17</v>
      </c>
      <c r="H37">
        <v>1</v>
      </c>
      <c r="I37">
        <v>1712</v>
      </c>
      <c r="J37">
        <v>0.25</v>
      </c>
      <c r="K37">
        <v>1284</v>
      </c>
      <c r="L37">
        <v>318.16000000000003</v>
      </c>
    </row>
    <row r="38" spans="1:12" x14ac:dyDescent="0.3">
      <c r="A38" t="s">
        <v>118</v>
      </c>
      <c r="B38" s="3">
        <v>45928</v>
      </c>
      <c r="C38" t="s">
        <v>119</v>
      </c>
      <c r="D38" t="s">
        <v>120</v>
      </c>
      <c r="E38" t="s">
        <v>51</v>
      </c>
      <c r="F38" t="s">
        <v>27</v>
      </c>
      <c r="G38" t="s">
        <v>40</v>
      </c>
      <c r="H38">
        <v>1</v>
      </c>
      <c r="I38">
        <v>629</v>
      </c>
      <c r="J38">
        <v>0.1</v>
      </c>
      <c r="K38">
        <v>566.1</v>
      </c>
      <c r="L38">
        <v>132.47</v>
      </c>
    </row>
    <row r="39" spans="1:12" x14ac:dyDescent="0.3">
      <c r="A39" t="s">
        <v>121</v>
      </c>
      <c r="B39" s="3">
        <v>46007</v>
      </c>
      <c r="C39" t="s">
        <v>106</v>
      </c>
      <c r="D39" t="s">
        <v>65</v>
      </c>
      <c r="E39" t="s">
        <v>26</v>
      </c>
      <c r="F39" t="s">
        <v>27</v>
      </c>
      <c r="G39" t="s">
        <v>28</v>
      </c>
      <c r="H39">
        <v>2</v>
      </c>
      <c r="I39">
        <v>3304</v>
      </c>
      <c r="J39">
        <v>0.15</v>
      </c>
      <c r="K39">
        <v>5616.8</v>
      </c>
      <c r="L39">
        <v>1545.58</v>
      </c>
    </row>
    <row r="40" spans="1:12" x14ac:dyDescent="0.3">
      <c r="A40" t="s">
        <v>122</v>
      </c>
      <c r="B40" s="3">
        <v>45932</v>
      </c>
      <c r="C40" t="s">
        <v>123</v>
      </c>
      <c r="D40" t="s">
        <v>88</v>
      </c>
      <c r="E40" t="s">
        <v>73</v>
      </c>
      <c r="F40" t="s">
        <v>58</v>
      </c>
      <c r="G40" t="s">
        <v>59</v>
      </c>
      <c r="H40">
        <v>2</v>
      </c>
      <c r="I40">
        <v>139</v>
      </c>
      <c r="J40">
        <v>0</v>
      </c>
      <c r="K40">
        <v>278</v>
      </c>
      <c r="L40">
        <v>75.760000000000005</v>
      </c>
    </row>
    <row r="41" spans="1:12" x14ac:dyDescent="0.3">
      <c r="A41" t="s">
        <v>124</v>
      </c>
      <c r="B41" s="3">
        <v>45715</v>
      </c>
      <c r="C41" t="s">
        <v>125</v>
      </c>
      <c r="D41" t="s">
        <v>20</v>
      </c>
      <c r="E41" t="s">
        <v>15</v>
      </c>
      <c r="F41" t="s">
        <v>58</v>
      </c>
      <c r="G41" t="s">
        <v>126</v>
      </c>
      <c r="H41">
        <v>4</v>
      </c>
      <c r="I41">
        <v>9866</v>
      </c>
      <c r="J41">
        <v>0.05</v>
      </c>
      <c r="K41">
        <v>37490.800000000003</v>
      </c>
      <c r="L41">
        <v>3703.14</v>
      </c>
    </row>
    <row r="42" spans="1:12" x14ac:dyDescent="0.3">
      <c r="A42" t="s">
        <v>127</v>
      </c>
      <c r="B42" s="3">
        <v>45849</v>
      </c>
      <c r="C42" t="s">
        <v>128</v>
      </c>
      <c r="D42" t="s">
        <v>83</v>
      </c>
      <c r="E42" t="s">
        <v>73</v>
      </c>
      <c r="F42" t="s">
        <v>58</v>
      </c>
      <c r="G42" t="s">
        <v>126</v>
      </c>
      <c r="H42">
        <v>2</v>
      </c>
      <c r="I42">
        <v>648</v>
      </c>
      <c r="J42">
        <v>0.05</v>
      </c>
      <c r="K42">
        <v>1231.2</v>
      </c>
      <c r="L42">
        <v>159.5</v>
      </c>
    </row>
    <row r="43" spans="1:12" x14ac:dyDescent="0.3">
      <c r="A43" t="s">
        <v>129</v>
      </c>
      <c r="B43" s="3">
        <v>45877</v>
      </c>
      <c r="C43" t="s">
        <v>128</v>
      </c>
      <c r="D43" t="s">
        <v>80</v>
      </c>
      <c r="E43" t="s">
        <v>51</v>
      </c>
      <c r="F43" t="s">
        <v>58</v>
      </c>
      <c r="G43" t="s">
        <v>69</v>
      </c>
      <c r="H43">
        <v>1</v>
      </c>
      <c r="I43">
        <v>46629</v>
      </c>
      <c r="J43">
        <v>0.15</v>
      </c>
      <c r="K43">
        <v>39634.65</v>
      </c>
      <c r="L43">
        <v>8748.6200000000008</v>
      </c>
    </row>
    <row r="44" spans="1:12" x14ac:dyDescent="0.3">
      <c r="A44" t="s">
        <v>130</v>
      </c>
      <c r="B44" s="3">
        <v>45911</v>
      </c>
      <c r="C44" t="s">
        <v>131</v>
      </c>
      <c r="D44" t="s">
        <v>103</v>
      </c>
      <c r="E44" t="s">
        <v>51</v>
      </c>
      <c r="F44" t="s">
        <v>16</v>
      </c>
      <c r="G44" t="s">
        <v>52</v>
      </c>
      <c r="H44">
        <v>2</v>
      </c>
      <c r="I44">
        <v>4308</v>
      </c>
      <c r="J44">
        <v>0.1</v>
      </c>
      <c r="K44">
        <v>7754.4</v>
      </c>
      <c r="L44">
        <v>1605.31</v>
      </c>
    </row>
    <row r="45" spans="1:12" x14ac:dyDescent="0.3">
      <c r="A45" t="s">
        <v>132</v>
      </c>
      <c r="B45" s="3">
        <v>45753</v>
      </c>
      <c r="C45" t="s">
        <v>37</v>
      </c>
      <c r="D45" t="s">
        <v>92</v>
      </c>
      <c r="E45" t="s">
        <v>51</v>
      </c>
      <c r="F45" t="s">
        <v>27</v>
      </c>
      <c r="G45" t="s">
        <v>31</v>
      </c>
      <c r="H45">
        <v>3</v>
      </c>
      <c r="I45">
        <v>19539</v>
      </c>
      <c r="J45">
        <v>0</v>
      </c>
      <c r="K45">
        <v>58617</v>
      </c>
      <c r="L45">
        <v>5516.67</v>
      </c>
    </row>
    <row r="46" spans="1:12" x14ac:dyDescent="0.3">
      <c r="A46" t="s">
        <v>133</v>
      </c>
      <c r="B46" s="3">
        <v>45820</v>
      </c>
      <c r="C46" t="s">
        <v>134</v>
      </c>
      <c r="D46" t="s">
        <v>50</v>
      </c>
      <c r="E46" t="s">
        <v>51</v>
      </c>
      <c r="F46" t="s">
        <v>21</v>
      </c>
      <c r="G46" t="s">
        <v>55</v>
      </c>
      <c r="H46">
        <v>2</v>
      </c>
      <c r="I46">
        <v>2037</v>
      </c>
      <c r="J46">
        <v>0.1</v>
      </c>
      <c r="K46">
        <v>3666.6</v>
      </c>
      <c r="L46">
        <v>983.72</v>
      </c>
    </row>
    <row r="47" spans="1:12" x14ac:dyDescent="0.3">
      <c r="A47" t="s">
        <v>135</v>
      </c>
      <c r="B47" s="3">
        <v>45701</v>
      </c>
      <c r="C47" t="s">
        <v>136</v>
      </c>
      <c r="D47" t="s">
        <v>43</v>
      </c>
      <c r="E47" t="s">
        <v>44</v>
      </c>
      <c r="F47" t="s">
        <v>27</v>
      </c>
      <c r="G47" t="s">
        <v>31</v>
      </c>
      <c r="H47">
        <v>1</v>
      </c>
      <c r="I47">
        <v>558</v>
      </c>
      <c r="J47">
        <v>0.05</v>
      </c>
      <c r="K47">
        <v>530.1</v>
      </c>
      <c r="L47">
        <v>46.54</v>
      </c>
    </row>
    <row r="48" spans="1:12" x14ac:dyDescent="0.3">
      <c r="A48" t="s">
        <v>137</v>
      </c>
      <c r="B48" s="3">
        <v>45747</v>
      </c>
      <c r="C48" t="s">
        <v>109</v>
      </c>
      <c r="D48" t="s">
        <v>34</v>
      </c>
      <c r="E48" t="s">
        <v>15</v>
      </c>
      <c r="F48" t="s">
        <v>21</v>
      </c>
      <c r="G48" t="s">
        <v>35</v>
      </c>
      <c r="H48">
        <v>1</v>
      </c>
      <c r="I48">
        <v>11693</v>
      </c>
      <c r="J48">
        <v>0.1</v>
      </c>
      <c r="K48">
        <v>10523.7</v>
      </c>
      <c r="L48">
        <v>2300.25</v>
      </c>
    </row>
    <row r="49" spans="1:12" x14ac:dyDescent="0.3">
      <c r="A49" t="s">
        <v>138</v>
      </c>
      <c r="B49" s="3">
        <v>45934</v>
      </c>
      <c r="C49" t="s">
        <v>139</v>
      </c>
      <c r="D49" t="s">
        <v>47</v>
      </c>
      <c r="E49" t="s">
        <v>26</v>
      </c>
      <c r="F49" t="s">
        <v>21</v>
      </c>
      <c r="G49" t="s">
        <v>35</v>
      </c>
      <c r="H49">
        <v>5</v>
      </c>
      <c r="I49">
        <v>15220</v>
      </c>
      <c r="J49">
        <v>0.05</v>
      </c>
      <c r="K49">
        <v>72295</v>
      </c>
      <c r="L49">
        <v>14003.83</v>
      </c>
    </row>
    <row r="50" spans="1:12" x14ac:dyDescent="0.3">
      <c r="A50" t="s">
        <v>140</v>
      </c>
      <c r="B50" s="3">
        <v>45753</v>
      </c>
      <c r="C50" t="s">
        <v>141</v>
      </c>
      <c r="D50" t="s">
        <v>72</v>
      </c>
      <c r="E50" t="s">
        <v>73</v>
      </c>
      <c r="F50" t="s">
        <v>27</v>
      </c>
      <c r="G50" t="s">
        <v>28</v>
      </c>
      <c r="H50">
        <v>1</v>
      </c>
      <c r="I50">
        <v>1134</v>
      </c>
      <c r="J50">
        <v>0.15</v>
      </c>
      <c r="K50">
        <v>963.9</v>
      </c>
      <c r="L50">
        <v>159.81</v>
      </c>
    </row>
    <row r="51" spans="1:12" x14ac:dyDescent="0.3">
      <c r="A51" t="s">
        <v>142</v>
      </c>
      <c r="B51" s="3">
        <v>45930</v>
      </c>
      <c r="C51" t="s">
        <v>143</v>
      </c>
      <c r="D51" t="s">
        <v>88</v>
      </c>
      <c r="E51" t="s">
        <v>73</v>
      </c>
      <c r="F51" t="s">
        <v>58</v>
      </c>
      <c r="G51" t="s">
        <v>69</v>
      </c>
      <c r="H51">
        <v>2</v>
      </c>
      <c r="I51">
        <v>348</v>
      </c>
      <c r="J51">
        <v>0.05</v>
      </c>
      <c r="K51">
        <v>661.2</v>
      </c>
      <c r="L51">
        <v>92.26</v>
      </c>
    </row>
    <row r="52" spans="1:12" x14ac:dyDescent="0.3">
      <c r="A52" t="s">
        <v>144</v>
      </c>
      <c r="B52" s="3">
        <v>45733</v>
      </c>
      <c r="C52" t="s">
        <v>145</v>
      </c>
      <c r="D52" t="s">
        <v>20</v>
      </c>
      <c r="E52" t="s">
        <v>15</v>
      </c>
      <c r="F52" t="s">
        <v>58</v>
      </c>
      <c r="G52" t="s">
        <v>126</v>
      </c>
      <c r="H52">
        <v>1</v>
      </c>
      <c r="I52">
        <v>15525</v>
      </c>
      <c r="J52">
        <v>0.1</v>
      </c>
      <c r="K52">
        <v>13972.5</v>
      </c>
      <c r="L52">
        <v>2466.1999999999998</v>
      </c>
    </row>
    <row r="53" spans="1:12" x14ac:dyDescent="0.3">
      <c r="A53" t="s">
        <v>146</v>
      </c>
      <c r="B53" s="3">
        <v>45710</v>
      </c>
      <c r="C53" t="s">
        <v>147</v>
      </c>
      <c r="D53" t="s">
        <v>103</v>
      </c>
      <c r="E53" t="s">
        <v>51</v>
      </c>
      <c r="F53" t="s">
        <v>16</v>
      </c>
      <c r="G53" t="s">
        <v>52</v>
      </c>
      <c r="H53">
        <v>3</v>
      </c>
      <c r="I53">
        <v>7359</v>
      </c>
      <c r="J53">
        <v>0</v>
      </c>
      <c r="K53">
        <v>22077</v>
      </c>
      <c r="L53">
        <v>3949.22</v>
      </c>
    </row>
    <row r="54" spans="1:12" x14ac:dyDescent="0.3">
      <c r="A54" t="s">
        <v>148</v>
      </c>
      <c r="B54" s="3">
        <v>45872</v>
      </c>
      <c r="C54" t="s">
        <v>82</v>
      </c>
      <c r="D54" t="s">
        <v>68</v>
      </c>
      <c r="E54" t="s">
        <v>44</v>
      </c>
      <c r="F54" t="s">
        <v>58</v>
      </c>
      <c r="G54" t="s">
        <v>59</v>
      </c>
      <c r="H54">
        <v>2</v>
      </c>
      <c r="I54">
        <v>6176</v>
      </c>
      <c r="J54">
        <v>0.2</v>
      </c>
      <c r="K54">
        <v>9881.6</v>
      </c>
      <c r="L54">
        <v>2150.3000000000002</v>
      </c>
    </row>
    <row r="55" spans="1:12" x14ac:dyDescent="0.3">
      <c r="A55" t="s">
        <v>149</v>
      </c>
      <c r="B55" s="3">
        <v>45940</v>
      </c>
      <c r="C55" t="s">
        <v>150</v>
      </c>
      <c r="D55" t="s">
        <v>103</v>
      </c>
      <c r="E55" t="s">
        <v>51</v>
      </c>
      <c r="F55" t="s">
        <v>21</v>
      </c>
      <c r="G55" t="s">
        <v>55</v>
      </c>
      <c r="H55">
        <v>3</v>
      </c>
      <c r="I55">
        <v>1835</v>
      </c>
      <c r="J55">
        <v>0</v>
      </c>
      <c r="K55">
        <v>5505</v>
      </c>
      <c r="L55">
        <v>1526.69</v>
      </c>
    </row>
    <row r="56" spans="1:12" x14ac:dyDescent="0.3">
      <c r="A56" t="s">
        <v>151</v>
      </c>
      <c r="B56" s="3">
        <v>45984</v>
      </c>
      <c r="C56" t="s">
        <v>119</v>
      </c>
      <c r="D56" t="s">
        <v>20</v>
      </c>
      <c r="E56" t="s">
        <v>15</v>
      </c>
      <c r="F56" t="s">
        <v>58</v>
      </c>
      <c r="G56" t="s">
        <v>59</v>
      </c>
      <c r="H56">
        <v>5</v>
      </c>
      <c r="I56">
        <v>13287</v>
      </c>
      <c r="J56">
        <v>0.05</v>
      </c>
      <c r="K56">
        <v>63113.25</v>
      </c>
      <c r="L56">
        <v>6103.06</v>
      </c>
    </row>
    <row r="57" spans="1:12" x14ac:dyDescent="0.3">
      <c r="A57" t="s">
        <v>152</v>
      </c>
      <c r="B57" s="3">
        <v>45676</v>
      </c>
      <c r="C57" t="s">
        <v>116</v>
      </c>
      <c r="D57" t="s">
        <v>153</v>
      </c>
      <c r="E57" t="s">
        <v>26</v>
      </c>
      <c r="F57" t="s">
        <v>27</v>
      </c>
      <c r="G57" t="s">
        <v>40</v>
      </c>
      <c r="H57">
        <v>1</v>
      </c>
      <c r="I57">
        <v>6195</v>
      </c>
      <c r="J57">
        <v>0</v>
      </c>
      <c r="K57">
        <v>6195</v>
      </c>
      <c r="L57">
        <v>1076.27</v>
      </c>
    </row>
    <row r="58" spans="1:12" x14ac:dyDescent="0.3">
      <c r="A58" t="s">
        <v>154</v>
      </c>
      <c r="B58" s="3">
        <v>46018</v>
      </c>
      <c r="C58" t="s">
        <v>77</v>
      </c>
      <c r="D58" t="s">
        <v>72</v>
      </c>
      <c r="E58" t="s">
        <v>73</v>
      </c>
      <c r="F58" t="s">
        <v>58</v>
      </c>
      <c r="G58" t="s">
        <v>59</v>
      </c>
      <c r="H58">
        <v>3</v>
      </c>
      <c r="I58">
        <v>897</v>
      </c>
      <c r="J58">
        <v>0.05</v>
      </c>
      <c r="K58">
        <v>2556.4499999999998</v>
      </c>
      <c r="L58">
        <v>409.15</v>
      </c>
    </row>
    <row r="59" spans="1:12" x14ac:dyDescent="0.3">
      <c r="A59" t="s">
        <v>155</v>
      </c>
      <c r="B59" s="3">
        <v>45791</v>
      </c>
      <c r="C59" t="s">
        <v>156</v>
      </c>
      <c r="D59" t="s">
        <v>157</v>
      </c>
      <c r="E59" t="s">
        <v>51</v>
      </c>
      <c r="F59" t="s">
        <v>27</v>
      </c>
      <c r="G59" t="s">
        <v>28</v>
      </c>
      <c r="H59">
        <v>3</v>
      </c>
      <c r="I59">
        <v>84116</v>
      </c>
      <c r="J59">
        <v>0.1</v>
      </c>
      <c r="K59">
        <v>227113.2</v>
      </c>
      <c r="L59">
        <v>32826.32</v>
      </c>
    </row>
    <row r="60" spans="1:12" x14ac:dyDescent="0.3">
      <c r="A60" t="s">
        <v>158</v>
      </c>
      <c r="B60" s="3">
        <v>45821</v>
      </c>
      <c r="C60" t="s">
        <v>159</v>
      </c>
      <c r="D60" t="s">
        <v>153</v>
      </c>
      <c r="E60" t="s">
        <v>26</v>
      </c>
      <c r="F60" t="s">
        <v>21</v>
      </c>
      <c r="G60" t="s">
        <v>35</v>
      </c>
      <c r="H60">
        <v>2</v>
      </c>
      <c r="I60">
        <v>9770</v>
      </c>
      <c r="J60">
        <v>0.1</v>
      </c>
      <c r="K60">
        <v>17586</v>
      </c>
      <c r="L60">
        <v>3620.6</v>
      </c>
    </row>
    <row r="61" spans="1:12" x14ac:dyDescent="0.3">
      <c r="A61" t="s">
        <v>160</v>
      </c>
      <c r="B61" s="3">
        <v>45916</v>
      </c>
      <c r="C61" t="s">
        <v>161</v>
      </c>
      <c r="D61" t="s">
        <v>14</v>
      </c>
      <c r="E61" t="s">
        <v>15</v>
      </c>
      <c r="F61" t="s">
        <v>58</v>
      </c>
      <c r="G61" t="s">
        <v>69</v>
      </c>
      <c r="H61">
        <v>4</v>
      </c>
      <c r="I61">
        <v>6545</v>
      </c>
      <c r="J61">
        <v>0.05</v>
      </c>
      <c r="K61">
        <v>24871</v>
      </c>
      <c r="L61">
        <v>6717.22</v>
      </c>
    </row>
    <row r="62" spans="1:12" x14ac:dyDescent="0.3">
      <c r="A62" t="s">
        <v>162</v>
      </c>
      <c r="B62" s="3">
        <v>46005</v>
      </c>
      <c r="C62" t="s">
        <v>163</v>
      </c>
      <c r="D62" t="s">
        <v>20</v>
      </c>
      <c r="E62" t="s">
        <v>15</v>
      </c>
      <c r="F62" t="s">
        <v>58</v>
      </c>
      <c r="G62" t="s">
        <v>69</v>
      </c>
      <c r="H62">
        <v>2</v>
      </c>
      <c r="I62">
        <v>9271</v>
      </c>
      <c r="J62">
        <v>0.05</v>
      </c>
      <c r="K62">
        <v>17614.900000000001</v>
      </c>
      <c r="L62">
        <v>2346.09</v>
      </c>
    </row>
    <row r="63" spans="1:12" x14ac:dyDescent="0.3">
      <c r="A63" t="s">
        <v>164</v>
      </c>
      <c r="B63" s="3">
        <v>45802</v>
      </c>
      <c r="C63" t="s">
        <v>165</v>
      </c>
      <c r="D63" t="s">
        <v>43</v>
      </c>
      <c r="E63" t="s">
        <v>44</v>
      </c>
      <c r="F63" t="s">
        <v>16</v>
      </c>
      <c r="G63" t="s">
        <v>104</v>
      </c>
      <c r="H63">
        <v>1</v>
      </c>
      <c r="I63">
        <v>793</v>
      </c>
      <c r="J63">
        <v>0.1</v>
      </c>
      <c r="K63">
        <v>713.7</v>
      </c>
      <c r="L63">
        <v>95.77</v>
      </c>
    </row>
    <row r="64" spans="1:12" x14ac:dyDescent="0.3">
      <c r="A64" t="s">
        <v>166</v>
      </c>
      <c r="B64" s="3">
        <v>45913</v>
      </c>
      <c r="C64" t="s">
        <v>150</v>
      </c>
      <c r="D64" t="s">
        <v>97</v>
      </c>
      <c r="E64" t="s">
        <v>44</v>
      </c>
      <c r="F64" t="s">
        <v>27</v>
      </c>
      <c r="G64" t="s">
        <v>40</v>
      </c>
      <c r="H64">
        <v>2</v>
      </c>
      <c r="I64">
        <v>1123</v>
      </c>
      <c r="J64">
        <v>0</v>
      </c>
      <c r="K64">
        <v>2246</v>
      </c>
      <c r="L64">
        <v>573.48</v>
      </c>
    </row>
    <row r="65" spans="1:12" x14ac:dyDescent="0.3">
      <c r="A65" t="s">
        <v>167</v>
      </c>
      <c r="B65" s="3">
        <v>45803</v>
      </c>
      <c r="C65" t="s">
        <v>64</v>
      </c>
      <c r="D65" t="s">
        <v>80</v>
      </c>
      <c r="E65" t="s">
        <v>51</v>
      </c>
      <c r="F65" t="s">
        <v>27</v>
      </c>
      <c r="G65" t="s">
        <v>28</v>
      </c>
      <c r="H65">
        <v>5</v>
      </c>
      <c r="I65">
        <v>51017</v>
      </c>
      <c r="J65">
        <v>0.1</v>
      </c>
      <c r="K65">
        <v>229576.5</v>
      </c>
      <c r="L65">
        <v>35854.839999999997</v>
      </c>
    </row>
    <row r="66" spans="1:12" x14ac:dyDescent="0.3">
      <c r="A66" t="s">
        <v>168</v>
      </c>
      <c r="B66" s="3">
        <v>45755</v>
      </c>
      <c r="C66" t="s">
        <v>39</v>
      </c>
      <c r="D66" t="s">
        <v>97</v>
      </c>
      <c r="E66" t="s">
        <v>44</v>
      </c>
      <c r="F66" t="s">
        <v>58</v>
      </c>
      <c r="G66" t="s">
        <v>126</v>
      </c>
      <c r="H66">
        <v>1</v>
      </c>
      <c r="I66">
        <v>377</v>
      </c>
      <c r="J66">
        <v>0</v>
      </c>
      <c r="K66">
        <v>377</v>
      </c>
      <c r="L66">
        <v>35.840000000000003</v>
      </c>
    </row>
    <row r="67" spans="1:12" x14ac:dyDescent="0.3">
      <c r="A67" t="s">
        <v>169</v>
      </c>
      <c r="B67" s="3">
        <v>45710</v>
      </c>
      <c r="C67" t="s">
        <v>170</v>
      </c>
      <c r="D67" t="s">
        <v>88</v>
      </c>
      <c r="E67" t="s">
        <v>73</v>
      </c>
      <c r="F67" t="s">
        <v>58</v>
      </c>
      <c r="G67" t="s">
        <v>59</v>
      </c>
      <c r="H67">
        <v>4</v>
      </c>
      <c r="I67">
        <v>525</v>
      </c>
      <c r="J67">
        <v>0.05</v>
      </c>
      <c r="K67">
        <v>1995</v>
      </c>
      <c r="L67">
        <v>339.37</v>
      </c>
    </row>
    <row r="68" spans="1:12" x14ac:dyDescent="0.3">
      <c r="A68" t="s">
        <v>171</v>
      </c>
      <c r="B68" s="3">
        <v>45945</v>
      </c>
      <c r="C68" t="s">
        <v>172</v>
      </c>
      <c r="D68" t="s">
        <v>103</v>
      </c>
      <c r="E68" t="s">
        <v>51</v>
      </c>
      <c r="F68" t="s">
        <v>58</v>
      </c>
      <c r="G68" t="s">
        <v>69</v>
      </c>
      <c r="H68">
        <v>1</v>
      </c>
      <c r="I68">
        <v>3296</v>
      </c>
      <c r="J68">
        <v>0</v>
      </c>
      <c r="K68">
        <v>3296</v>
      </c>
      <c r="L68">
        <v>592.07000000000005</v>
      </c>
    </row>
    <row r="69" spans="1:12" x14ac:dyDescent="0.3">
      <c r="A69" t="s">
        <v>173</v>
      </c>
      <c r="B69" s="3">
        <v>45711</v>
      </c>
      <c r="C69" t="s">
        <v>174</v>
      </c>
      <c r="D69" t="s">
        <v>68</v>
      </c>
      <c r="E69" t="s">
        <v>44</v>
      </c>
      <c r="F69" t="s">
        <v>21</v>
      </c>
      <c r="G69" t="s">
        <v>35</v>
      </c>
      <c r="H69">
        <v>5</v>
      </c>
      <c r="I69">
        <v>2348</v>
      </c>
      <c r="J69">
        <v>0.15</v>
      </c>
      <c r="K69">
        <v>9979</v>
      </c>
      <c r="L69">
        <v>1975.75</v>
      </c>
    </row>
    <row r="70" spans="1:12" x14ac:dyDescent="0.3">
      <c r="A70" t="s">
        <v>175</v>
      </c>
      <c r="B70" s="3">
        <v>45723</v>
      </c>
      <c r="C70" t="s">
        <v>176</v>
      </c>
      <c r="D70" t="s">
        <v>14</v>
      </c>
      <c r="E70" t="s">
        <v>15</v>
      </c>
      <c r="F70" t="s">
        <v>58</v>
      </c>
      <c r="G70" t="s">
        <v>69</v>
      </c>
      <c r="H70">
        <v>3</v>
      </c>
      <c r="I70">
        <v>16838</v>
      </c>
      <c r="J70">
        <v>0.1</v>
      </c>
      <c r="K70">
        <v>45462.6</v>
      </c>
      <c r="L70">
        <v>12551.88</v>
      </c>
    </row>
    <row r="71" spans="1:12" x14ac:dyDescent="0.3">
      <c r="A71" t="s">
        <v>177</v>
      </c>
      <c r="B71" s="3">
        <v>45965</v>
      </c>
      <c r="C71" t="s">
        <v>178</v>
      </c>
      <c r="D71" t="s">
        <v>25</v>
      </c>
      <c r="E71" t="s">
        <v>26</v>
      </c>
      <c r="F71" t="s">
        <v>16</v>
      </c>
      <c r="G71" t="s">
        <v>17</v>
      </c>
      <c r="H71">
        <v>2</v>
      </c>
      <c r="I71">
        <v>11411</v>
      </c>
      <c r="J71">
        <v>0.2</v>
      </c>
      <c r="K71">
        <v>18257.599999999999</v>
      </c>
      <c r="L71">
        <v>2548.61</v>
      </c>
    </row>
    <row r="72" spans="1:12" x14ac:dyDescent="0.3">
      <c r="A72" t="s">
        <v>179</v>
      </c>
      <c r="B72" s="3">
        <v>45841</v>
      </c>
      <c r="C72" t="s">
        <v>180</v>
      </c>
      <c r="D72" t="s">
        <v>97</v>
      </c>
      <c r="E72" t="s">
        <v>44</v>
      </c>
      <c r="F72" t="s">
        <v>58</v>
      </c>
      <c r="G72" t="s">
        <v>69</v>
      </c>
      <c r="H72">
        <v>3</v>
      </c>
      <c r="I72">
        <v>980</v>
      </c>
      <c r="J72">
        <v>0</v>
      </c>
      <c r="K72">
        <v>2940</v>
      </c>
      <c r="L72">
        <v>262.17</v>
      </c>
    </row>
    <row r="73" spans="1:12" x14ac:dyDescent="0.3">
      <c r="A73" t="s">
        <v>181</v>
      </c>
      <c r="B73" s="3">
        <v>45700</v>
      </c>
      <c r="C73" t="s">
        <v>39</v>
      </c>
      <c r="D73" t="s">
        <v>47</v>
      </c>
      <c r="E73" t="s">
        <v>26</v>
      </c>
      <c r="F73" t="s">
        <v>27</v>
      </c>
      <c r="G73" t="s">
        <v>31</v>
      </c>
      <c r="H73">
        <v>1</v>
      </c>
      <c r="I73">
        <v>8138</v>
      </c>
      <c r="J73">
        <v>0</v>
      </c>
      <c r="K73">
        <v>8138</v>
      </c>
      <c r="L73">
        <v>859.45</v>
      </c>
    </row>
    <row r="74" spans="1:12" x14ac:dyDescent="0.3">
      <c r="A74" t="s">
        <v>182</v>
      </c>
      <c r="B74" s="3">
        <v>45852</v>
      </c>
      <c r="C74" t="s">
        <v>183</v>
      </c>
      <c r="D74" t="s">
        <v>20</v>
      </c>
      <c r="E74" t="s">
        <v>15</v>
      </c>
      <c r="F74" t="s">
        <v>21</v>
      </c>
      <c r="G74" t="s">
        <v>35</v>
      </c>
      <c r="H74">
        <v>4</v>
      </c>
      <c r="I74">
        <v>10668</v>
      </c>
      <c r="J74">
        <v>0.25</v>
      </c>
      <c r="K74">
        <v>32004</v>
      </c>
      <c r="L74">
        <v>6413.19</v>
      </c>
    </row>
    <row r="75" spans="1:12" x14ac:dyDescent="0.3">
      <c r="A75" t="s">
        <v>184</v>
      </c>
      <c r="B75" s="3">
        <v>45974</v>
      </c>
      <c r="C75" t="s">
        <v>185</v>
      </c>
      <c r="D75" t="s">
        <v>103</v>
      </c>
      <c r="E75" t="s">
        <v>51</v>
      </c>
      <c r="F75" t="s">
        <v>27</v>
      </c>
      <c r="G75" t="s">
        <v>40</v>
      </c>
      <c r="H75">
        <v>1</v>
      </c>
      <c r="I75">
        <v>5480</v>
      </c>
      <c r="J75">
        <v>0.1</v>
      </c>
      <c r="K75">
        <v>4932</v>
      </c>
      <c r="L75">
        <v>745.71</v>
      </c>
    </row>
    <row r="76" spans="1:12" x14ac:dyDescent="0.3">
      <c r="A76" t="s">
        <v>186</v>
      </c>
      <c r="B76" s="3">
        <v>45730</v>
      </c>
      <c r="C76" t="s">
        <v>187</v>
      </c>
      <c r="D76" t="s">
        <v>34</v>
      </c>
      <c r="E76" t="s">
        <v>15</v>
      </c>
      <c r="F76" t="s">
        <v>27</v>
      </c>
      <c r="G76" t="s">
        <v>28</v>
      </c>
      <c r="H76">
        <v>1</v>
      </c>
      <c r="I76">
        <v>15661</v>
      </c>
      <c r="J76">
        <v>0.1</v>
      </c>
      <c r="K76">
        <v>14094.9</v>
      </c>
      <c r="L76">
        <v>2569.94</v>
      </c>
    </row>
    <row r="77" spans="1:12" x14ac:dyDescent="0.3">
      <c r="A77" t="s">
        <v>188</v>
      </c>
      <c r="B77" s="3">
        <v>45949</v>
      </c>
      <c r="C77" t="s">
        <v>189</v>
      </c>
      <c r="D77" t="s">
        <v>97</v>
      </c>
      <c r="E77" t="s">
        <v>44</v>
      </c>
      <c r="F77" t="s">
        <v>58</v>
      </c>
      <c r="G77" t="s">
        <v>69</v>
      </c>
      <c r="H77">
        <v>3</v>
      </c>
      <c r="I77">
        <v>961</v>
      </c>
      <c r="J77">
        <v>0</v>
      </c>
      <c r="K77">
        <v>2883</v>
      </c>
      <c r="L77">
        <v>351.35</v>
      </c>
    </row>
    <row r="78" spans="1:12" x14ac:dyDescent="0.3">
      <c r="A78" t="s">
        <v>190</v>
      </c>
      <c r="B78" s="3">
        <v>45735</v>
      </c>
      <c r="C78" t="s">
        <v>191</v>
      </c>
      <c r="D78" t="s">
        <v>68</v>
      </c>
      <c r="E78" t="s">
        <v>44</v>
      </c>
      <c r="F78" t="s">
        <v>27</v>
      </c>
      <c r="G78" t="s">
        <v>31</v>
      </c>
      <c r="H78">
        <v>2</v>
      </c>
      <c r="I78">
        <v>6434</v>
      </c>
      <c r="J78">
        <v>0</v>
      </c>
      <c r="K78">
        <v>12868</v>
      </c>
      <c r="L78">
        <v>1679.11</v>
      </c>
    </row>
    <row r="79" spans="1:12" x14ac:dyDescent="0.3">
      <c r="A79" t="s">
        <v>192</v>
      </c>
      <c r="B79" s="3">
        <v>45896</v>
      </c>
      <c r="C79" t="s">
        <v>100</v>
      </c>
      <c r="D79" t="s">
        <v>88</v>
      </c>
      <c r="E79" t="s">
        <v>73</v>
      </c>
      <c r="F79" t="s">
        <v>27</v>
      </c>
      <c r="G79" t="s">
        <v>31</v>
      </c>
      <c r="H79">
        <v>1</v>
      </c>
      <c r="I79">
        <v>534</v>
      </c>
      <c r="J79">
        <v>0.05</v>
      </c>
      <c r="K79">
        <v>507.3</v>
      </c>
      <c r="L79">
        <v>80.88</v>
      </c>
    </row>
    <row r="80" spans="1:12" x14ac:dyDescent="0.3">
      <c r="A80" t="s">
        <v>193</v>
      </c>
      <c r="B80" s="3">
        <v>45930</v>
      </c>
      <c r="C80" t="s">
        <v>194</v>
      </c>
      <c r="D80" t="s">
        <v>34</v>
      </c>
      <c r="E80" t="s">
        <v>15</v>
      </c>
      <c r="F80" t="s">
        <v>16</v>
      </c>
      <c r="G80" t="s">
        <v>52</v>
      </c>
      <c r="H80">
        <v>1</v>
      </c>
      <c r="I80">
        <v>12895</v>
      </c>
      <c r="J80">
        <v>0</v>
      </c>
      <c r="K80">
        <v>12895</v>
      </c>
      <c r="L80">
        <v>3328.27</v>
      </c>
    </row>
    <row r="81" spans="1:12" x14ac:dyDescent="0.3">
      <c r="A81" t="s">
        <v>195</v>
      </c>
      <c r="B81" s="3">
        <v>45803</v>
      </c>
      <c r="C81" t="s">
        <v>77</v>
      </c>
      <c r="D81" t="s">
        <v>88</v>
      </c>
      <c r="E81" t="s">
        <v>73</v>
      </c>
      <c r="F81" t="s">
        <v>58</v>
      </c>
      <c r="G81" t="s">
        <v>126</v>
      </c>
      <c r="H81">
        <v>1</v>
      </c>
      <c r="I81">
        <v>369</v>
      </c>
      <c r="J81">
        <v>0.1</v>
      </c>
      <c r="K81">
        <v>332.1</v>
      </c>
      <c r="L81">
        <v>76.08</v>
      </c>
    </row>
    <row r="82" spans="1:12" x14ac:dyDescent="0.3">
      <c r="A82" t="s">
        <v>196</v>
      </c>
      <c r="B82" s="3">
        <v>45663</v>
      </c>
      <c r="C82" t="s">
        <v>197</v>
      </c>
      <c r="D82" t="s">
        <v>25</v>
      </c>
      <c r="E82" t="s">
        <v>26</v>
      </c>
      <c r="F82" t="s">
        <v>58</v>
      </c>
      <c r="G82" t="s">
        <v>126</v>
      </c>
      <c r="H82">
        <v>4</v>
      </c>
      <c r="I82">
        <v>13291</v>
      </c>
      <c r="J82">
        <v>0.05</v>
      </c>
      <c r="K82">
        <v>50505.8</v>
      </c>
      <c r="L82">
        <v>9073.34</v>
      </c>
    </row>
    <row r="83" spans="1:12" x14ac:dyDescent="0.3">
      <c r="A83" t="s">
        <v>198</v>
      </c>
      <c r="B83" s="3">
        <v>45769</v>
      </c>
      <c r="C83" t="s">
        <v>199</v>
      </c>
      <c r="D83" t="s">
        <v>103</v>
      </c>
      <c r="E83" t="s">
        <v>51</v>
      </c>
      <c r="F83" t="s">
        <v>27</v>
      </c>
      <c r="G83" t="s">
        <v>40</v>
      </c>
      <c r="H83">
        <v>1</v>
      </c>
      <c r="I83">
        <v>2655</v>
      </c>
      <c r="J83">
        <v>0.05</v>
      </c>
      <c r="K83">
        <v>2522.25</v>
      </c>
      <c r="L83">
        <v>289.24</v>
      </c>
    </row>
    <row r="84" spans="1:12" x14ac:dyDescent="0.3">
      <c r="A84" t="s">
        <v>200</v>
      </c>
      <c r="B84" s="3">
        <v>45697</v>
      </c>
      <c r="C84" t="s">
        <v>201</v>
      </c>
      <c r="D84" t="s">
        <v>202</v>
      </c>
      <c r="E84" t="s">
        <v>44</v>
      </c>
      <c r="F84" t="s">
        <v>16</v>
      </c>
      <c r="G84" t="s">
        <v>17</v>
      </c>
      <c r="H84">
        <v>2</v>
      </c>
      <c r="I84">
        <v>3493</v>
      </c>
      <c r="J84">
        <v>0.2</v>
      </c>
      <c r="K84">
        <v>5588.8</v>
      </c>
      <c r="L84">
        <v>1090.93</v>
      </c>
    </row>
    <row r="85" spans="1:12" x14ac:dyDescent="0.3">
      <c r="A85" t="s">
        <v>203</v>
      </c>
      <c r="B85" s="3">
        <v>45751</v>
      </c>
      <c r="C85" t="s">
        <v>204</v>
      </c>
      <c r="D85" t="s">
        <v>68</v>
      </c>
      <c r="E85" t="s">
        <v>44</v>
      </c>
      <c r="F85" t="s">
        <v>27</v>
      </c>
      <c r="G85" t="s">
        <v>28</v>
      </c>
      <c r="H85">
        <v>1</v>
      </c>
      <c r="I85">
        <v>5946</v>
      </c>
      <c r="J85">
        <v>0.2</v>
      </c>
      <c r="K85">
        <v>4756.8</v>
      </c>
      <c r="L85">
        <v>910.23</v>
      </c>
    </row>
    <row r="86" spans="1:12" x14ac:dyDescent="0.3">
      <c r="A86" t="s">
        <v>205</v>
      </c>
      <c r="B86" s="3">
        <v>45983</v>
      </c>
      <c r="C86" t="s">
        <v>206</v>
      </c>
      <c r="D86" t="s">
        <v>47</v>
      </c>
      <c r="E86" t="s">
        <v>26</v>
      </c>
      <c r="F86" t="s">
        <v>21</v>
      </c>
      <c r="G86" t="s">
        <v>35</v>
      </c>
      <c r="H86">
        <v>5</v>
      </c>
      <c r="I86">
        <v>17664</v>
      </c>
      <c r="J86">
        <v>0</v>
      </c>
      <c r="K86">
        <v>88320</v>
      </c>
      <c r="L86">
        <v>20070.669999999998</v>
      </c>
    </row>
    <row r="87" spans="1:12" x14ac:dyDescent="0.3">
      <c r="A87" t="s">
        <v>207</v>
      </c>
      <c r="B87" s="3">
        <v>45950</v>
      </c>
      <c r="C87" t="s">
        <v>208</v>
      </c>
      <c r="D87" t="s">
        <v>92</v>
      </c>
      <c r="E87" t="s">
        <v>51</v>
      </c>
      <c r="F87" t="s">
        <v>27</v>
      </c>
      <c r="G87" t="s">
        <v>40</v>
      </c>
      <c r="H87">
        <v>2</v>
      </c>
      <c r="I87">
        <v>23912</v>
      </c>
      <c r="J87">
        <v>0.05</v>
      </c>
      <c r="K87">
        <v>45432.800000000003</v>
      </c>
      <c r="L87">
        <v>9030.98</v>
      </c>
    </row>
    <row r="88" spans="1:12" x14ac:dyDescent="0.3">
      <c r="A88" t="s">
        <v>209</v>
      </c>
      <c r="B88" s="3">
        <v>45795</v>
      </c>
      <c r="C88" t="s">
        <v>163</v>
      </c>
      <c r="D88" t="s">
        <v>34</v>
      </c>
      <c r="E88" t="s">
        <v>15</v>
      </c>
      <c r="F88" t="s">
        <v>58</v>
      </c>
      <c r="G88" t="s">
        <v>59</v>
      </c>
      <c r="H88">
        <v>5</v>
      </c>
      <c r="I88">
        <v>12802</v>
      </c>
      <c r="J88">
        <v>0.15</v>
      </c>
      <c r="K88">
        <v>54408.5</v>
      </c>
      <c r="L88">
        <v>7123.6</v>
      </c>
    </row>
    <row r="89" spans="1:12" x14ac:dyDescent="0.3">
      <c r="A89" t="s">
        <v>210</v>
      </c>
      <c r="B89" s="3">
        <v>45695</v>
      </c>
      <c r="C89" t="s">
        <v>211</v>
      </c>
      <c r="D89" t="s">
        <v>80</v>
      </c>
      <c r="E89" t="s">
        <v>51</v>
      </c>
      <c r="F89" t="s">
        <v>16</v>
      </c>
      <c r="G89" t="s">
        <v>17</v>
      </c>
      <c r="H89">
        <v>1</v>
      </c>
      <c r="I89">
        <v>58955</v>
      </c>
      <c r="J89">
        <v>0.2</v>
      </c>
      <c r="K89">
        <v>47164</v>
      </c>
      <c r="L89">
        <v>11608.19</v>
      </c>
    </row>
    <row r="90" spans="1:12" x14ac:dyDescent="0.3">
      <c r="A90" t="s">
        <v>212</v>
      </c>
      <c r="B90" s="3">
        <v>45733</v>
      </c>
      <c r="C90" t="s">
        <v>96</v>
      </c>
      <c r="D90" t="s">
        <v>50</v>
      </c>
      <c r="E90" t="s">
        <v>51</v>
      </c>
      <c r="F90" t="s">
        <v>213</v>
      </c>
      <c r="G90" t="s">
        <v>69</v>
      </c>
      <c r="H90">
        <v>1</v>
      </c>
      <c r="I90">
        <v>3301</v>
      </c>
      <c r="J90">
        <v>0.15</v>
      </c>
      <c r="K90">
        <v>2805.85</v>
      </c>
      <c r="L90">
        <v>251.46</v>
      </c>
    </row>
    <row r="91" spans="1:12" x14ac:dyDescent="0.3">
      <c r="A91" t="s">
        <v>214</v>
      </c>
      <c r="B91" s="3">
        <v>45973</v>
      </c>
      <c r="C91" t="s">
        <v>215</v>
      </c>
      <c r="D91" t="s">
        <v>80</v>
      </c>
      <c r="E91" t="s">
        <v>51</v>
      </c>
      <c r="F91" t="s">
        <v>58</v>
      </c>
      <c r="G91" t="s">
        <v>69</v>
      </c>
      <c r="H91">
        <v>1</v>
      </c>
      <c r="I91">
        <v>51571</v>
      </c>
      <c r="J91">
        <v>0.15</v>
      </c>
      <c r="K91">
        <v>43835.35</v>
      </c>
      <c r="L91">
        <v>9338.66</v>
      </c>
    </row>
    <row r="92" spans="1:12" x14ac:dyDescent="0.3">
      <c r="A92" t="s">
        <v>216</v>
      </c>
      <c r="B92" s="3">
        <v>45746</v>
      </c>
      <c r="C92" t="s">
        <v>217</v>
      </c>
      <c r="D92" t="s">
        <v>97</v>
      </c>
      <c r="E92" t="s">
        <v>44</v>
      </c>
      <c r="F92" t="s">
        <v>58</v>
      </c>
      <c r="G92" t="s">
        <v>69</v>
      </c>
      <c r="H92">
        <v>2</v>
      </c>
      <c r="I92">
        <v>679</v>
      </c>
      <c r="J92">
        <v>0.1</v>
      </c>
      <c r="K92">
        <v>1222.2</v>
      </c>
      <c r="L92">
        <v>317.69</v>
      </c>
    </row>
    <row r="93" spans="1:12" x14ac:dyDescent="0.3">
      <c r="A93" t="s">
        <v>218</v>
      </c>
      <c r="B93" s="3">
        <v>45810</v>
      </c>
      <c r="C93" t="s">
        <v>54</v>
      </c>
      <c r="D93" t="s">
        <v>30</v>
      </c>
      <c r="E93" t="s">
        <v>15</v>
      </c>
      <c r="F93" t="s">
        <v>16</v>
      </c>
      <c r="G93" t="s">
        <v>17</v>
      </c>
      <c r="H93">
        <v>1</v>
      </c>
      <c r="I93">
        <v>8219</v>
      </c>
      <c r="J93">
        <v>0.1</v>
      </c>
      <c r="K93">
        <v>7397.1</v>
      </c>
      <c r="L93">
        <v>690.33</v>
      </c>
    </row>
    <row r="94" spans="1:12" x14ac:dyDescent="0.3">
      <c r="A94" t="s">
        <v>219</v>
      </c>
      <c r="B94" s="3">
        <v>45724</v>
      </c>
      <c r="C94" t="s">
        <v>220</v>
      </c>
      <c r="D94" t="s">
        <v>153</v>
      </c>
      <c r="E94" t="s">
        <v>26</v>
      </c>
      <c r="F94" t="s">
        <v>27</v>
      </c>
      <c r="G94" t="s">
        <v>40</v>
      </c>
      <c r="H94">
        <v>2</v>
      </c>
      <c r="I94">
        <v>5012</v>
      </c>
      <c r="J94">
        <v>0</v>
      </c>
      <c r="K94">
        <v>10024</v>
      </c>
      <c r="L94">
        <v>2393.7800000000002</v>
      </c>
    </row>
    <row r="95" spans="1:12" x14ac:dyDescent="0.3">
      <c r="A95" t="s">
        <v>221</v>
      </c>
      <c r="B95" s="3">
        <v>45814</v>
      </c>
      <c r="C95" t="s">
        <v>64</v>
      </c>
      <c r="D95" t="s">
        <v>25</v>
      </c>
      <c r="E95" t="s">
        <v>26</v>
      </c>
      <c r="F95" t="s">
        <v>16</v>
      </c>
      <c r="G95" t="s">
        <v>17</v>
      </c>
      <c r="H95">
        <v>1</v>
      </c>
      <c r="I95">
        <v>9741</v>
      </c>
      <c r="J95">
        <v>0.05</v>
      </c>
      <c r="K95">
        <v>9253.9500000000007</v>
      </c>
      <c r="L95">
        <v>2117.1999999999998</v>
      </c>
    </row>
    <row r="96" spans="1:12" x14ac:dyDescent="0.3">
      <c r="A96" t="s">
        <v>222</v>
      </c>
      <c r="B96" s="3">
        <v>46010</v>
      </c>
      <c r="C96" t="s">
        <v>223</v>
      </c>
      <c r="D96" t="s">
        <v>83</v>
      </c>
      <c r="E96" t="s">
        <v>73</v>
      </c>
      <c r="F96" t="s">
        <v>16</v>
      </c>
      <c r="G96" t="s">
        <v>104</v>
      </c>
      <c r="H96">
        <v>1</v>
      </c>
      <c r="I96">
        <v>599</v>
      </c>
      <c r="J96">
        <v>0.05</v>
      </c>
      <c r="K96">
        <v>569.04999999999995</v>
      </c>
      <c r="L96">
        <v>97.54</v>
      </c>
    </row>
    <row r="97" spans="1:12" x14ac:dyDescent="0.3">
      <c r="A97" t="s">
        <v>224</v>
      </c>
      <c r="B97" s="3">
        <v>45814</v>
      </c>
      <c r="C97" t="s">
        <v>225</v>
      </c>
      <c r="D97" t="s">
        <v>14</v>
      </c>
      <c r="E97" t="s">
        <v>15</v>
      </c>
      <c r="F97" t="s">
        <v>21</v>
      </c>
      <c r="G97" t="s">
        <v>35</v>
      </c>
      <c r="H97">
        <v>1</v>
      </c>
      <c r="I97">
        <v>14667</v>
      </c>
      <c r="J97">
        <v>0.15</v>
      </c>
      <c r="K97">
        <v>12466.95</v>
      </c>
      <c r="L97">
        <v>2595.9899999999998</v>
      </c>
    </row>
    <row r="98" spans="1:12" x14ac:dyDescent="0.3">
      <c r="A98" t="s">
        <v>226</v>
      </c>
      <c r="B98" s="3">
        <v>45805</v>
      </c>
      <c r="C98" t="s">
        <v>174</v>
      </c>
      <c r="D98" t="s">
        <v>153</v>
      </c>
      <c r="E98" t="s">
        <v>26</v>
      </c>
      <c r="F98" t="s">
        <v>16</v>
      </c>
      <c r="G98" t="s">
        <v>52</v>
      </c>
      <c r="H98">
        <v>1</v>
      </c>
      <c r="I98">
        <v>9313</v>
      </c>
      <c r="J98">
        <v>0.1</v>
      </c>
      <c r="K98">
        <v>8381.7000000000007</v>
      </c>
      <c r="L98">
        <v>1342.5</v>
      </c>
    </row>
    <row r="99" spans="1:12" x14ac:dyDescent="0.3">
      <c r="A99" t="s">
        <v>227</v>
      </c>
      <c r="B99" s="3">
        <v>45798</v>
      </c>
      <c r="C99" t="s">
        <v>228</v>
      </c>
      <c r="D99" t="s">
        <v>30</v>
      </c>
      <c r="E99" t="s">
        <v>15</v>
      </c>
      <c r="F99" t="s">
        <v>21</v>
      </c>
      <c r="G99" t="s">
        <v>55</v>
      </c>
      <c r="H99">
        <v>1</v>
      </c>
      <c r="I99">
        <v>5458</v>
      </c>
      <c r="J99">
        <v>0.05</v>
      </c>
      <c r="K99">
        <v>5185.1000000000004</v>
      </c>
      <c r="L99">
        <v>1167.78</v>
      </c>
    </row>
    <row r="100" spans="1:12" x14ac:dyDescent="0.3">
      <c r="A100" t="s">
        <v>229</v>
      </c>
      <c r="B100" s="3">
        <v>45950</v>
      </c>
      <c r="C100" t="s">
        <v>183</v>
      </c>
      <c r="D100" t="s">
        <v>43</v>
      </c>
      <c r="E100" t="s">
        <v>44</v>
      </c>
      <c r="F100" t="s">
        <v>21</v>
      </c>
      <c r="G100" t="s">
        <v>35</v>
      </c>
      <c r="H100">
        <v>3</v>
      </c>
      <c r="I100">
        <v>483</v>
      </c>
      <c r="J100">
        <v>0.1</v>
      </c>
      <c r="K100">
        <v>1304.0999999999999</v>
      </c>
      <c r="L100">
        <v>262.57</v>
      </c>
    </row>
    <row r="101" spans="1:12" x14ac:dyDescent="0.3">
      <c r="A101" t="s">
        <v>230</v>
      </c>
      <c r="B101" s="3">
        <v>45924</v>
      </c>
      <c r="C101" t="s">
        <v>231</v>
      </c>
      <c r="D101" t="s">
        <v>72</v>
      </c>
      <c r="E101" t="s">
        <v>73</v>
      </c>
      <c r="F101" t="s">
        <v>58</v>
      </c>
      <c r="G101" t="s">
        <v>69</v>
      </c>
      <c r="H101">
        <v>2</v>
      </c>
      <c r="I101">
        <v>358</v>
      </c>
      <c r="J101">
        <v>0.25</v>
      </c>
      <c r="K101">
        <v>537</v>
      </c>
      <c r="L101">
        <v>133.06</v>
      </c>
    </row>
    <row r="102" spans="1:12" x14ac:dyDescent="0.3">
      <c r="A102" t="s">
        <v>232</v>
      </c>
      <c r="B102" s="3">
        <v>45806</v>
      </c>
      <c r="C102" t="s">
        <v>215</v>
      </c>
      <c r="D102" t="s">
        <v>34</v>
      </c>
      <c r="E102" t="s">
        <v>15</v>
      </c>
      <c r="F102" t="s">
        <v>16</v>
      </c>
      <c r="G102" t="s">
        <v>17</v>
      </c>
      <c r="H102">
        <v>1</v>
      </c>
      <c r="I102">
        <v>20396</v>
      </c>
      <c r="J102">
        <v>0</v>
      </c>
      <c r="K102">
        <v>20396</v>
      </c>
      <c r="L102">
        <v>4845.2299999999996</v>
      </c>
    </row>
    <row r="103" spans="1:12" x14ac:dyDescent="0.3">
      <c r="A103" t="s">
        <v>233</v>
      </c>
      <c r="B103" s="3">
        <v>45747</v>
      </c>
      <c r="C103" t="s">
        <v>234</v>
      </c>
      <c r="D103" t="s">
        <v>30</v>
      </c>
      <c r="E103" t="s">
        <v>15</v>
      </c>
      <c r="F103" t="s">
        <v>21</v>
      </c>
      <c r="G103" t="s">
        <v>35</v>
      </c>
      <c r="H103">
        <v>4</v>
      </c>
      <c r="I103">
        <v>7790</v>
      </c>
      <c r="K103">
        <v>29602</v>
      </c>
      <c r="L103">
        <v>6734.46</v>
      </c>
    </row>
    <row r="104" spans="1:12" x14ac:dyDescent="0.3">
      <c r="A104" t="s">
        <v>235</v>
      </c>
      <c r="B104" s="3">
        <v>45836</v>
      </c>
      <c r="C104" t="s">
        <v>87</v>
      </c>
      <c r="D104" t="s">
        <v>153</v>
      </c>
      <c r="E104" t="s">
        <v>26</v>
      </c>
      <c r="F104" t="s">
        <v>21</v>
      </c>
      <c r="G104" t="s">
        <v>22</v>
      </c>
      <c r="H104">
        <v>1</v>
      </c>
      <c r="I104">
        <v>6832</v>
      </c>
      <c r="J104">
        <v>0</v>
      </c>
      <c r="K104">
        <v>6832</v>
      </c>
      <c r="L104">
        <v>592.85</v>
      </c>
    </row>
    <row r="105" spans="1:12" x14ac:dyDescent="0.3">
      <c r="A105" t="s">
        <v>236</v>
      </c>
      <c r="B105" s="3">
        <v>45811</v>
      </c>
      <c r="C105" t="s">
        <v>139</v>
      </c>
      <c r="D105" t="s">
        <v>30</v>
      </c>
      <c r="E105" t="s">
        <v>15</v>
      </c>
      <c r="F105" t="s">
        <v>16</v>
      </c>
      <c r="G105" t="s">
        <v>104</v>
      </c>
      <c r="H105">
        <v>1</v>
      </c>
      <c r="I105">
        <v>10804</v>
      </c>
      <c r="J105">
        <v>0</v>
      </c>
      <c r="K105">
        <v>10804</v>
      </c>
      <c r="L105">
        <v>2941</v>
      </c>
    </row>
    <row r="106" spans="1:12" x14ac:dyDescent="0.3">
      <c r="A106" t="s">
        <v>237</v>
      </c>
      <c r="B106" s="3">
        <v>45846</v>
      </c>
      <c r="C106" t="s">
        <v>238</v>
      </c>
      <c r="D106" t="s">
        <v>25</v>
      </c>
      <c r="E106" t="s">
        <v>26</v>
      </c>
      <c r="F106" t="s">
        <v>21</v>
      </c>
      <c r="G106" t="s">
        <v>22</v>
      </c>
      <c r="H106">
        <v>1</v>
      </c>
      <c r="I106">
        <v>9595</v>
      </c>
      <c r="J106">
        <v>0.05</v>
      </c>
      <c r="K106">
        <v>9115.25</v>
      </c>
      <c r="L106">
        <v>1453.55</v>
      </c>
    </row>
    <row r="107" spans="1:12" x14ac:dyDescent="0.3">
      <c r="A107" t="s">
        <v>239</v>
      </c>
      <c r="B107" s="3">
        <v>45942</v>
      </c>
      <c r="C107" t="s">
        <v>240</v>
      </c>
      <c r="D107" t="s">
        <v>50</v>
      </c>
      <c r="E107" t="s">
        <v>51</v>
      </c>
      <c r="F107" t="s">
        <v>27</v>
      </c>
      <c r="G107" t="s">
        <v>40</v>
      </c>
      <c r="H107">
        <v>2</v>
      </c>
      <c r="I107">
        <v>1820</v>
      </c>
      <c r="J107">
        <v>0.15</v>
      </c>
      <c r="K107">
        <v>3094</v>
      </c>
      <c r="L107">
        <v>611.04</v>
      </c>
    </row>
    <row r="108" spans="1:12" x14ac:dyDescent="0.3">
      <c r="A108" t="s">
        <v>241</v>
      </c>
      <c r="B108" s="3">
        <v>45770</v>
      </c>
      <c r="C108" t="s">
        <v>220</v>
      </c>
      <c r="D108" t="s">
        <v>88</v>
      </c>
      <c r="E108" t="s">
        <v>73</v>
      </c>
      <c r="F108" t="s">
        <v>27</v>
      </c>
      <c r="G108" t="s">
        <v>40</v>
      </c>
      <c r="H108">
        <v>1</v>
      </c>
      <c r="I108">
        <v>380</v>
      </c>
      <c r="J108">
        <v>0</v>
      </c>
      <c r="K108">
        <v>380</v>
      </c>
      <c r="L108">
        <v>44.23</v>
      </c>
    </row>
    <row r="109" spans="1:12" x14ac:dyDescent="0.3">
      <c r="A109" t="s">
        <v>242</v>
      </c>
      <c r="B109" s="3">
        <v>45819</v>
      </c>
      <c r="C109" t="s">
        <v>96</v>
      </c>
      <c r="D109" t="s">
        <v>50</v>
      </c>
      <c r="E109" t="s">
        <v>51</v>
      </c>
      <c r="F109" t="s">
        <v>21</v>
      </c>
      <c r="G109" t="s">
        <v>55</v>
      </c>
      <c r="H109">
        <v>1</v>
      </c>
      <c r="I109">
        <v>869</v>
      </c>
      <c r="J109">
        <v>0</v>
      </c>
      <c r="K109">
        <v>869</v>
      </c>
      <c r="L109">
        <v>193.96</v>
      </c>
    </row>
    <row r="110" spans="1:12" x14ac:dyDescent="0.3">
      <c r="A110" t="s">
        <v>243</v>
      </c>
      <c r="B110" s="3">
        <v>45912</v>
      </c>
      <c r="C110" t="s">
        <v>244</v>
      </c>
      <c r="D110" t="s">
        <v>14</v>
      </c>
      <c r="E110" t="s">
        <v>15</v>
      </c>
      <c r="F110" t="s">
        <v>16</v>
      </c>
      <c r="G110" t="s">
        <v>17</v>
      </c>
      <c r="H110">
        <v>1</v>
      </c>
      <c r="I110">
        <v>7249</v>
      </c>
      <c r="J110">
        <v>0.15</v>
      </c>
      <c r="K110">
        <v>6161.65</v>
      </c>
      <c r="L110">
        <v>712.96</v>
      </c>
    </row>
    <row r="111" spans="1:12" x14ac:dyDescent="0.3">
      <c r="A111" t="s">
        <v>245</v>
      </c>
      <c r="B111" s="3">
        <v>45753</v>
      </c>
      <c r="C111" t="s">
        <v>246</v>
      </c>
      <c r="D111" t="s">
        <v>65</v>
      </c>
      <c r="E111" t="s">
        <v>26</v>
      </c>
      <c r="F111" t="s">
        <v>27</v>
      </c>
      <c r="G111" t="s">
        <v>31</v>
      </c>
      <c r="H111">
        <v>5</v>
      </c>
      <c r="I111">
        <v>3191</v>
      </c>
      <c r="J111">
        <v>0.15</v>
      </c>
      <c r="K111">
        <v>13561.75</v>
      </c>
      <c r="L111">
        <v>3695.98</v>
      </c>
    </row>
    <row r="112" spans="1:12" x14ac:dyDescent="0.3">
      <c r="A112" t="s">
        <v>247</v>
      </c>
      <c r="B112" s="3">
        <v>45920</v>
      </c>
      <c r="C112" t="s">
        <v>248</v>
      </c>
      <c r="D112" t="s">
        <v>92</v>
      </c>
      <c r="E112" t="s">
        <v>51</v>
      </c>
      <c r="F112" t="s">
        <v>16</v>
      </c>
      <c r="G112" t="s">
        <v>104</v>
      </c>
      <c r="H112">
        <v>3</v>
      </c>
      <c r="I112">
        <v>22570</v>
      </c>
      <c r="J112">
        <v>0</v>
      </c>
      <c r="K112">
        <v>67710</v>
      </c>
      <c r="L112">
        <v>17285.61</v>
      </c>
    </row>
    <row r="113" spans="1:12" x14ac:dyDescent="0.3">
      <c r="A113" t="s">
        <v>249</v>
      </c>
      <c r="B113" s="3">
        <v>45854</v>
      </c>
      <c r="C113" t="s">
        <v>206</v>
      </c>
      <c r="D113" t="s">
        <v>34</v>
      </c>
      <c r="E113" t="s">
        <v>15</v>
      </c>
      <c r="F113" t="s">
        <v>58</v>
      </c>
      <c r="G113" t="s">
        <v>59</v>
      </c>
      <c r="H113">
        <v>1</v>
      </c>
      <c r="I113">
        <v>11670</v>
      </c>
      <c r="J113">
        <v>0.05</v>
      </c>
      <c r="K113">
        <v>11086.5</v>
      </c>
      <c r="L113">
        <v>2195.7800000000002</v>
      </c>
    </row>
    <row r="114" spans="1:12" x14ac:dyDescent="0.3">
      <c r="A114" t="s">
        <v>250</v>
      </c>
      <c r="B114" s="3">
        <v>45883</v>
      </c>
      <c r="C114" t="s">
        <v>251</v>
      </c>
      <c r="D114" t="s">
        <v>97</v>
      </c>
      <c r="E114" t="s">
        <v>44</v>
      </c>
      <c r="F114" t="s">
        <v>27</v>
      </c>
      <c r="G114" t="s">
        <v>40</v>
      </c>
      <c r="H114">
        <v>4</v>
      </c>
      <c r="I114">
        <v>459</v>
      </c>
      <c r="J114">
        <v>0.25</v>
      </c>
      <c r="K114">
        <v>1377</v>
      </c>
      <c r="L114">
        <v>324.91000000000003</v>
      </c>
    </row>
    <row r="115" spans="1:12" x14ac:dyDescent="0.3">
      <c r="A115" t="s">
        <v>252</v>
      </c>
      <c r="B115" s="3">
        <v>45872</v>
      </c>
      <c r="C115" t="s">
        <v>253</v>
      </c>
      <c r="D115" t="s">
        <v>43</v>
      </c>
      <c r="E115" t="s">
        <v>44</v>
      </c>
      <c r="F115" t="s">
        <v>16</v>
      </c>
      <c r="G115" t="s">
        <v>104</v>
      </c>
      <c r="H115">
        <v>3</v>
      </c>
      <c r="I115">
        <v>810</v>
      </c>
      <c r="J115">
        <v>0</v>
      </c>
      <c r="K115">
        <v>2430</v>
      </c>
      <c r="L115">
        <v>324.98</v>
      </c>
    </row>
    <row r="116" spans="1:12" x14ac:dyDescent="0.3">
      <c r="A116" t="s">
        <v>254</v>
      </c>
      <c r="B116" s="3">
        <v>45903</v>
      </c>
      <c r="C116" t="s">
        <v>255</v>
      </c>
      <c r="D116" t="s">
        <v>83</v>
      </c>
      <c r="E116" t="s">
        <v>73</v>
      </c>
      <c r="F116" t="s">
        <v>16</v>
      </c>
      <c r="G116" t="s">
        <v>52</v>
      </c>
      <c r="H116">
        <v>2</v>
      </c>
      <c r="I116">
        <v>524</v>
      </c>
      <c r="J116">
        <v>0</v>
      </c>
      <c r="K116">
        <v>1048</v>
      </c>
      <c r="L116">
        <v>272.60000000000002</v>
      </c>
    </row>
    <row r="117" spans="1:12" x14ac:dyDescent="0.3">
      <c r="A117" t="s">
        <v>256</v>
      </c>
      <c r="B117" s="3">
        <v>45785</v>
      </c>
      <c r="C117" t="s">
        <v>257</v>
      </c>
      <c r="D117" t="s">
        <v>50</v>
      </c>
      <c r="E117" t="s">
        <v>51</v>
      </c>
      <c r="F117" t="s">
        <v>27</v>
      </c>
      <c r="G117" t="s">
        <v>40</v>
      </c>
      <c r="H117">
        <v>1</v>
      </c>
      <c r="I117">
        <v>2357</v>
      </c>
      <c r="J117">
        <v>0.05</v>
      </c>
      <c r="K117">
        <v>2239.15</v>
      </c>
      <c r="L117">
        <v>427.31</v>
      </c>
    </row>
    <row r="118" spans="1:12" x14ac:dyDescent="0.3">
      <c r="A118" t="s">
        <v>258</v>
      </c>
      <c r="B118" s="3">
        <v>46019</v>
      </c>
      <c r="C118" t="s">
        <v>255</v>
      </c>
      <c r="D118" t="s">
        <v>65</v>
      </c>
      <c r="E118" t="s">
        <v>26</v>
      </c>
      <c r="F118" t="s">
        <v>16</v>
      </c>
      <c r="G118" t="s">
        <v>52</v>
      </c>
      <c r="H118">
        <v>1</v>
      </c>
      <c r="I118">
        <v>2070</v>
      </c>
      <c r="J118">
        <v>0.05</v>
      </c>
      <c r="K118">
        <v>1966.5</v>
      </c>
      <c r="L118">
        <v>445.29</v>
      </c>
    </row>
    <row r="119" spans="1:12" x14ac:dyDescent="0.3">
      <c r="A119" t="s">
        <v>259</v>
      </c>
      <c r="B119" s="3">
        <v>45830</v>
      </c>
      <c r="C119" t="s">
        <v>260</v>
      </c>
      <c r="D119" t="s">
        <v>47</v>
      </c>
      <c r="E119" t="s">
        <v>26</v>
      </c>
      <c r="F119" t="s">
        <v>58</v>
      </c>
      <c r="G119" t="s">
        <v>59</v>
      </c>
      <c r="H119">
        <v>3</v>
      </c>
      <c r="I119">
        <v>13066</v>
      </c>
      <c r="J119">
        <v>0.15</v>
      </c>
      <c r="K119">
        <v>33318.300000000003</v>
      </c>
      <c r="L119">
        <v>5477.77</v>
      </c>
    </row>
    <row r="120" spans="1:12" x14ac:dyDescent="0.3">
      <c r="A120" t="s">
        <v>261</v>
      </c>
      <c r="B120" s="3">
        <v>45838</v>
      </c>
      <c r="C120" t="s">
        <v>225</v>
      </c>
      <c r="D120" t="s">
        <v>50</v>
      </c>
      <c r="E120" t="s">
        <v>51</v>
      </c>
      <c r="F120" t="s">
        <v>58</v>
      </c>
      <c r="G120" t="s">
        <v>59</v>
      </c>
      <c r="H120">
        <v>2</v>
      </c>
      <c r="I120">
        <v>1462</v>
      </c>
      <c r="J120">
        <v>0.05</v>
      </c>
      <c r="K120">
        <v>2777.8</v>
      </c>
      <c r="L120">
        <v>382.61</v>
      </c>
    </row>
    <row r="121" spans="1:12" x14ac:dyDescent="0.3">
      <c r="A121" t="s">
        <v>262</v>
      </c>
      <c r="B121" s="3">
        <v>45967</v>
      </c>
      <c r="C121" t="s">
        <v>263</v>
      </c>
      <c r="D121" t="s">
        <v>88</v>
      </c>
      <c r="E121" t="s">
        <v>73</v>
      </c>
      <c r="F121" t="s">
        <v>21</v>
      </c>
      <c r="G121" t="s">
        <v>22</v>
      </c>
      <c r="H121">
        <v>2</v>
      </c>
      <c r="I121">
        <v>432</v>
      </c>
      <c r="J121">
        <v>0.2</v>
      </c>
      <c r="K121">
        <v>691.2</v>
      </c>
      <c r="L121">
        <v>156.57</v>
      </c>
    </row>
    <row r="122" spans="1:12" x14ac:dyDescent="0.3">
      <c r="A122" t="s">
        <v>264</v>
      </c>
      <c r="B122" s="3">
        <v>45901</v>
      </c>
      <c r="C122" t="s">
        <v>215</v>
      </c>
      <c r="D122" t="s">
        <v>120</v>
      </c>
      <c r="E122" t="s">
        <v>51</v>
      </c>
      <c r="F122" t="s">
        <v>16</v>
      </c>
      <c r="G122" t="s">
        <v>17</v>
      </c>
      <c r="H122">
        <v>1</v>
      </c>
      <c r="I122">
        <v>1293</v>
      </c>
      <c r="J122">
        <v>0.1</v>
      </c>
      <c r="K122">
        <v>1163.7</v>
      </c>
      <c r="L122">
        <v>170.89</v>
      </c>
    </row>
    <row r="123" spans="1:12" x14ac:dyDescent="0.3">
      <c r="A123" t="s">
        <v>265</v>
      </c>
      <c r="B123" s="3">
        <v>45786</v>
      </c>
      <c r="C123" t="s">
        <v>266</v>
      </c>
      <c r="D123" t="s">
        <v>47</v>
      </c>
      <c r="E123" t="s">
        <v>26</v>
      </c>
      <c r="F123" t="s">
        <v>58</v>
      </c>
      <c r="G123" t="s">
        <v>126</v>
      </c>
      <c r="H123">
        <v>2</v>
      </c>
      <c r="I123">
        <v>17326</v>
      </c>
      <c r="J123">
        <v>0.05</v>
      </c>
      <c r="K123">
        <v>32919.4</v>
      </c>
      <c r="L123">
        <v>4255.83</v>
      </c>
    </row>
    <row r="124" spans="1:12" x14ac:dyDescent="0.3">
      <c r="A124" t="s">
        <v>267</v>
      </c>
      <c r="B124" s="3">
        <v>45759</v>
      </c>
      <c r="C124" t="s">
        <v>234</v>
      </c>
      <c r="D124" t="s">
        <v>120</v>
      </c>
      <c r="E124" t="s">
        <v>51</v>
      </c>
      <c r="F124" t="s">
        <v>21</v>
      </c>
      <c r="G124" t="s">
        <v>22</v>
      </c>
      <c r="H124">
        <v>2</v>
      </c>
      <c r="I124">
        <v>1050</v>
      </c>
      <c r="J124">
        <v>0</v>
      </c>
      <c r="K124">
        <v>2100</v>
      </c>
      <c r="L124">
        <v>553.27</v>
      </c>
    </row>
    <row r="125" spans="1:12" x14ac:dyDescent="0.3">
      <c r="A125" t="s">
        <v>268</v>
      </c>
      <c r="B125" s="3">
        <v>45669</v>
      </c>
      <c r="C125" t="s">
        <v>172</v>
      </c>
      <c r="D125" t="s">
        <v>202</v>
      </c>
      <c r="E125" t="s">
        <v>44</v>
      </c>
      <c r="F125" t="s">
        <v>58</v>
      </c>
      <c r="G125" t="s">
        <v>59</v>
      </c>
      <c r="H125">
        <v>2</v>
      </c>
      <c r="I125">
        <v>3170</v>
      </c>
      <c r="J125">
        <v>0.15</v>
      </c>
      <c r="K125">
        <v>5389</v>
      </c>
      <c r="L125">
        <v>1300.43</v>
      </c>
    </row>
    <row r="126" spans="1:12" x14ac:dyDescent="0.3">
      <c r="A126" t="s">
        <v>269</v>
      </c>
      <c r="B126" s="3">
        <v>45746</v>
      </c>
      <c r="C126" t="s">
        <v>270</v>
      </c>
      <c r="D126" t="s">
        <v>65</v>
      </c>
      <c r="E126" t="s">
        <v>26</v>
      </c>
      <c r="F126" t="s">
        <v>58</v>
      </c>
      <c r="G126" t="s">
        <v>69</v>
      </c>
      <c r="H126">
        <v>2</v>
      </c>
      <c r="I126">
        <v>3487</v>
      </c>
      <c r="J126">
        <v>0</v>
      </c>
      <c r="K126">
        <v>6974</v>
      </c>
      <c r="L126">
        <v>1492.32</v>
      </c>
    </row>
    <row r="127" spans="1:12" x14ac:dyDescent="0.3">
      <c r="A127" t="s">
        <v>271</v>
      </c>
      <c r="B127" s="3">
        <v>45939</v>
      </c>
      <c r="C127" t="s">
        <v>272</v>
      </c>
      <c r="D127" t="s">
        <v>88</v>
      </c>
      <c r="E127" t="s">
        <v>73</v>
      </c>
      <c r="F127" t="s">
        <v>58</v>
      </c>
      <c r="G127" t="s">
        <v>59</v>
      </c>
      <c r="H127">
        <v>2</v>
      </c>
      <c r="I127">
        <v>558</v>
      </c>
      <c r="J127">
        <v>0</v>
      </c>
      <c r="K127">
        <v>1116</v>
      </c>
      <c r="L127">
        <v>244.94</v>
      </c>
    </row>
    <row r="128" spans="1:12" x14ac:dyDescent="0.3">
      <c r="A128" t="s">
        <v>273</v>
      </c>
      <c r="B128" s="3">
        <v>45739</v>
      </c>
      <c r="C128" t="s">
        <v>274</v>
      </c>
      <c r="D128" t="s">
        <v>92</v>
      </c>
      <c r="E128" t="s">
        <v>51</v>
      </c>
      <c r="F128" t="s">
        <v>16</v>
      </c>
      <c r="G128" t="s">
        <v>17</v>
      </c>
      <c r="H128">
        <v>3</v>
      </c>
      <c r="I128">
        <v>9878</v>
      </c>
      <c r="J128">
        <v>0.05</v>
      </c>
      <c r="K128">
        <v>28152.3</v>
      </c>
      <c r="L128">
        <v>5193.7299999999996</v>
      </c>
    </row>
    <row r="129" spans="1:12" x14ac:dyDescent="0.3">
      <c r="A129" t="s">
        <v>275</v>
      </c>
      <c r="B129" s="3">
        <v>45755</v>
      </c>
      <c r="C129" t="s">
        <v>276</v>
      </c>
      <c r="D129" t="s">
        <v>50</v>
      </c>
      <c r="E129" t="s">
        <v>51</v>
      </c>
      <c r="F129" t="s">
        <v>21</v>
      </c>
      <c r="G129" t="s">
        <v>35</v>
      </c>
      <c r="H129">
        <v>4</v>
      </c>
      <c r="I129">
        <v>2232</v>
      </c>
      <c r="J129">
        <v>0.05</v>
      </c>
      <c r="K129">
        <v>8481.6</v>
      </c>
      <c r="L129">
        <v>1364.66</v>
      </c>
    </row>
    <row r="130" spans="1:12" x14ac:dyDescent="0.3">
      <c r="A130" t="s">
        <v>277</v>
      </c>
      <c r="B130" s="3">
        <v>45867</v>
      </c>
      <c r="C130" t="s">
        <v>278</v>
      </c>
      <c r="D130" t="s">
        <v>14</v>
      </c>
      <c r="E130" t="s">
        <v>15</v>
      </c>
      <c r="F130" t="s">
        <v>21</v>
      </c>
      <c r="G130" t="s">
        <v>35</v>
      </c>
      <c r="H130">
        <v>2</v>
      </c>
      <c r="I130">
        <v>11122</v>
      </c>
      <c r="J130">
        <v>0.15</v>
      </c>
      <c r="K130">
        <v>18907.400000000001</v>
      </c>
      <c r="L130">
        <v>3091.38</v>
      </c>
    </row>
    <row r="131" spans="1:12" x14ac:dyDescent="0.3">
      <c r="A131" t="s">
        <v>279</v>
      </c>
      <c r="B131" s="3">
        <v>45798</v>
      </c>
      <c r="C131" t="s">
        <v>248</v>
      </c>
      <c r="D131" t="s">
        <v>202</v>
      </c>
      <c r="E131" t="s">
        <v>44</v>
      </c>
      <c r="F131" t="s">
        <v>16</v>
      </c>
      <c r="G131" t="s">
        <v>52</v>
      </c>
      <c r="H131">
        <v>1</v>
      </c>
      <c r="I131">
        <v>3325</v>
      </c>
      <c r="J131">
        <v>0</v>
      </c>
      <c r="K131">
        <v>3325</v>
      </c>
      <c r="L131">
        <v>272.31</v>
      </c>
    </row>
    <row r="132" spans="1:12" x14ac:dyDescent="0.3">
      <c r="A132" t="s">
        <v>280</v>
      </c>
      <c r="B132" s="3">
        <v>45893</v>
      </c>
      <c r="C132" t="s">
        <v>257</v>
      </c>
      <c r="D132" t="s">
        <v>83</v>
      </c>
      <c r="E132" t="s">
        <v>73</v>
      </c>
      <c r="F132" t="s">
        <v>27</v>
      </c>
      <c r="G132" t="s">
        <v>28</v>
      </c>
      <c r="H132">
        <v>2</v>
      </c>
      <c r="I132">
        <v>818</v>
      </c>
      <c r="J132">
        <v>0.25</v>
      </c>
      <c r="K132">
        <v>1227</v>
      </c>
      <c r="L132">
        <v>286.69</v>
      </c>
    </row>
    <row r="133" spans="1:12" x14ac:dyDescent="0.3">
      <c r="A133" t="s">
        <v>281</v>
      </c>
      <c r="B133" s="3">
        <v>45834</v>
      </c>
      <c r="C133" t="s">
        <v>282</v>
      </c>
      <c r="D133" t="s">
        <v>20</v>
      </c>
      <c r="E133" t="s">
        <v>15</v>
      </c>
      <c r="F133" t="s">
        <v>58</v>
      </c>
      <c r="G133" t="s">
        <v>126</v>
      </c>
      <c r="H133">
        <v>1</v>
      </c>
      <c r="I133">
        <v>8901</v>
      </c>
      <c r="J133">
        <v>0.05</v>
      </c>
      <c r="K133">
        <v>8455.9500000000007</v>
      </c>
      <c r="L133">
        <v>1177.5899999999999</v>
      </c>
    </row>
    <row r="134" spans="1:12" x14ac:dyDescent="0.3">
      <c r="A134" t="s">
        <v>283</v>
      </c>
      <c r="B134" s="3">
        <v>45730</v>
      </c>
      <c r="C134" t="s">
        <v>282</v>
      </c>
      <c r="D134" t="s">
        <v>80</v>
      </c>
      <c r="E134" t="s">
        <v>51</v>
      </c>
      <c r="F134" t="s">
        <v>58</v>
      </c>
      <c r="G134" t="s">
        <v>69</v>
      </c>
      <c r="H134">
        <v>1</v>
      </c>
      <c r="I134">
        <v>60665</v>
      </c>
      <c r="J134">
        <v>0</v>
      </c>
      <c r="K134">
        <v>60665</v>
      </c>
      <c r="L134">
        <v>16457.39</v>
      </c>
    </row>
    <row r="135" spans="1:12" x14ac:dyDescent="0.3">
      <c r="A135" t="s">
        <v>284</v>
      </c>
      <c r="B135" s="3">
        <v>45952</v>
      </c>
      <c r="C135" t="s">
        <v>257</v>
      </c>
      <c r="D135" t="s">
        <v>88</v>
      </c>
      <c r="E135" t="s">
        <v>73</v>
      </c>
      <c r="F135" t="s">
        <v>21</v>
      </c>
      <c r="G135" t="s">
        <v>55</v>
      </c>
      <c r="H135">
        <v>4</v>
      </c>
      <c r="I135">
        <v>572</v>
      </c>
      <c r="J135">
        <v>0.05</v>
      </c>
      <c r="K135">
        <v>2173.6</v>
      </c>
      <c r="L135">
        <v>440.55</v>
      </c>
    </row>
    <row r="136" spans="1:12" x14ac:dyDescent="0.3">
      <c r="A136" t="s">
        <v>285</v>
      </c>
      <c r="B136" s="3">
        <v>45720</v>
      </c>
      <c r="C136" t="s">
        <v>231</v>
      </c>
      <c r="D136" t="s">
        <v>72</v>
      </c>
      <c r="E136" t="s">
        <v>73</v>
      </c>
      <c r="F136" t="s">
        <v>16</v>
      </c>
      <c r="G136" t="s">
        <v>52</v>
      </c>
      <c r="H136">
        <v>1</v>
      </c>
      <c r="I136">
        <v>1039</v>
      </c>
      <c r="J136">
        <v>0</v>
      </c>
      <c r="K136">
        <v>1039</v>
      </c>
      <c r="L136">
        <v>92.88</v>
      </c>
    </row>
    <row r="137" spans="1:12" x14ac:dyDescent="0.3">
      <c r="A137" t="s">
        <v>286</v>
      </c>
      <c r="B137" s="3">
        <v>45919</v>
      </c>
      <c r="C137" t="s">
        <v>287</v>
      </c>
      <c r="D137" t="s">
        <v>80</v>
      </c>
      <c r="E137" t="s">
        <v>51</v>
      </c>
      <c r="F137" t="s">
        <v>27</v>
      </c>
      <c r="G137" t="s">
        <v>31</v>
      </c>
      <c r="H137">
        <v>3</v>
      </c>
      <c r="I137">
        <v>70191</v>
      </c>
      <c r="J137">
        <v>0</v>
      </c>
      <c r="K137">
        <v>210573</v>
      </c>
      <c r="L137">
        <v>38672.17</v>
      </c>
    </row>
    <row r="138" spans="1:12" x14ac:dyDescent="0.3">
      <c r="A138" t="s">
        <v>288</v>
      </c>
      <c r="B138" s="3">
        <v>45835</v>
      </c>
      <c r="C138" t="s">
        <v>141</v>
      </c>
      <c r="D138" t="s">
        <v>97</v>
      </c>
      <c r="E138" t="s">
        <v>44</v>
      </c>
      <c r="F138" t="s">
        <v>16</v>
      </c>
      <c r="G138" t="s">
        <v>104</v>
      </c>
      <c r="H138">
        <v>2</v>
      </c>
      <c r="I138">
        <v>1197</v>
      </c>
      <c r="J138">
        <v>0.2</v>
      </c>
      <c r="K138">
        <v>1915.2</v>
      </c>
      <c r="L138">
        <v>330.71</v>
      </c>
    </row>
    <row r="139" spans="1:12" x14ac:dyDescent="0.3">
      <c r="A139" t="s">
        <v>289</v>
      </c>
      <c r="B139" s="3">
        <v>46014</v>
      </c>
      <c r="C139" t="s">
        <v>272</v>
      </c>
      <c r="D139" t="s">
        <v>80</v>
      </c>
      <c r="E139" t="s">
        <v>51</v>
      </c>
      <c r="F139" t="s">
        <v>58</v>
      </c>
      <c r="G139" t="s">
        <v>69</v>
      </c>
      <c r="H139">
        <v>1</v>
      </c>
      <c r="I139">
        <v>80098</v>
      </c>
      <c r="J139">
        <v>0.05</v>
      </c>
      <c r="K139">
        <v>76093.100000000006</v>
      </c>
      <c r="L139">
        <v>8058.49</v>
      </c>
    </row>
    <row r="140" spans="1:12" x14ac:dyDescent="0.3">
      <c r="A140" t="s">
        <v>290</v>
      </c>
      <c r="B140" s="3">
        <v>45666</v>
      </c>
      <c r="C140" t="s">
        <v>106</v>
      </c>
      <c r="D140" t="s">
        <v>92</v>
      </c>
      <c r="E140" t="s">
        <v>51</v>
      </c>
      <c r="F140" t="s">
        <v>21</v>
      </c>
      <c r="G140" t="s">
        <v>55</v>
      </c>
      <c r="H140">
        <v>1</v>
      </c>
      <c r="I140">
        <v>23905</v>
      </c>
      <c r="J140">
        <v>0.15</v>
      </c>
      <c r="K140">
        <v>20319.25</v>
      </c>
      <c r="L140">
        <v>2769.07</v>
      </c>
    </row>
    <row r="141" spans="1:12" x14ac:dyDescent="0.3">
      <c r="A141" t="s">
        <v>291</v>
      </c>
      <c r="B141" s="3">
        <v>45833</v>
      </c>
      <c r="C141" t="s">
        <v>251</v>
      </c>
      <c r="D141" t="s">
        <v>20</v>
      </c>
      <c r="E141" t="s">
        <v>15</v>
      </c>
      <c r="F141" t="s">
        <v>16</v>
      </c>
      <c r="G141" t="s">
        <v>52</v>
      </c>
      <c r="H141">
        <v>2</v>
      </c>
      <c r="I141">
        <v>5892</v>
      </c>
      <c r="J141">
        <v>0.05</v>
      </c>
      <c r="K141">
        <v>11194.8</v>
      </c>
      <c r="L141">
        <v>2425.37</v>
      </c>
    </row>
    <row r="142" spans="1:12" x14ac:dyDescent="0.3">
      <c r="A142" t="s">
        <v>292</v>
      </c>
      <c r="B142" s="3">
        <v>46006</v>
      </c>
      <c r="C142" t="s">
        <v>263</v>
      </c>
      <c r="D142" t="s">
        <v>103</v>
      </c>
      <c r="E142" t="s">
        <v>51</v>
      </c>
      <c r="F142" t="s">
        <v>21</v>
      </c>
      <c r="G142" t="s">
        <v>55</v>
      </c>
      <c r="H142">
        <v>4</v>
      </c>
      <c r="I142">
        <v>5656</v>
      </c>
      <c r="J142">
        <v>0.1</v>
      </c>
      <c r="K142">
        <v>20361.599999999999</v>
      </c>
      <c r="L142">
        <v>3843.37</v>
      </c>
    </row>
    <row r="143" spans="1:12" x14ac:dyDescent="0.3">
      <c r="A143" t="s">
        <v>293</v>
      </c>
      <c r="B143" s="3">
        <v>45716</v>
      </c>
      <c r="C143" t="s">
        <v>278</v>
      </c>
      <c r="D143" t="s">
        <v>202</v>
      </c>
      <c r="E143" t="s">
        <v>44</v>
      </c>
      <c r="F143" t="s">
        <v>21</v>
      </c>
      <c r="G143" t="s">
        <v>35</v>
      </c>
      <c r="H143">
        <v>4</v>
      </c>
      <c r="I143">
        <v>2742</v>
      </c>
      <c r="J143">
        <v>0.15</v>
      </c>
      <c r="K143">
        <v>9322.7999999999993</v>
      </c>
      <c r="L143">
        <v>2046.3</v>
      </c>
    </row>
    <row r="144" spans="1:12" x14ac:dyDescent="0.3">
      <c r="A144" t="s">
        <v>294</v>
      </c>
      <c r="B144" s="3">
        <v>45790</v>
      </c>
      <c r="C144" t="s">
        <v>295</v>
      </c>
      <c r="D144" t="s">
        <v>50</v>
      </c>
      <c r="E144" t="s">
        <v>51</v>
      </c>
      <c r="F144" t="s">
        <v>27</v>
      </c>
      <c r="G144" t="s">
        <v>31</v>
      </c>
      <c r="H144">
        <v>4</v>
      </c>
      <c r="I144">
        <v>3154</v>
      </c>
      <c r="J144">
        <v>0</v>
      </c>
      <c r="K144">
        <v>12616</v>
      </c>
      <c r="L144">
        <v>3092.98</v>
      </c>
    </row>
    <row r="145" spans="1:12" x14ac:dyDescent="0.3">
      <c r="A145" t="s">
        <v>296</v>
      </c>
      <c r="B145" s="3">
        <v>45739</v>
      </c>
      <c r="C145" t="s">
        <v>141</v>
      </c>
      <c r="D145" t="s">
        <v>83</v>
      </c>
      <c r="E145" t="s">
        <v>73</v>
      </c>
      <c r="F145" t="s">
        <v>27</v>
      </c>
      <c r="G145" t="s">
        <v>31</v>
      </c>
      <c r="H145">
        <v>3</v>
      </c>
      <c r="I145">
        <v>791</v>
      </c>
      <c r="J145">
        <v>0.1</v>
      </c>
      <c r="K145">
        <v>2135.6999999999998</v>
      </c>
      <c r="L145">
        <v>173.58</v>
      </c>
    </row>
    <row r="146" spans="1:12" x14ac:dyDescent="0.3">
      <c r="A146" t="s">
        <v>297</v>
      </c>
      <c r="B146" s="3">
        <v>46017</v>
      </c>
      <c r="C146" t="s">
        <v>85</v>
      </c>
      <c r="D146" t="s">
        <v>47</v>
      </c>
      <c r="E146" t="s">
        <v>26</v>
      </c>
      <c r="F146" t="s">
        <v>58</v>
      </c>
      <c r="G146" t="s">
        <v>126</v>
      </c>
      <c r="H146">
        <v>1</v>
      </c>
      <c r="I146">
        <v>16510</v>
      </c>
      <c r="J146">
        <v>0.1</v>
      </c>
      <c r="K146">
        <v>14859</v>
      </c>
      <c r="L146">
        <v>3506.26</v>
      </c>
    </row>
    <row r="147" spans="1:12" x14ac:dyDescent="0.3">
      <c r="A147" t="s">
        <v>298</v>
      </c>
      <c r="B147" s="3">
        <v>45881</v>
      </c>
      <c r="D147" t="s">
        <v>30</v>
      </c>
      <c r="E147" t="s">
        <v>15</v>
      </c>
      <c r="F147" t="s">
        <v>27</v>
      </c>
      <c r="G147" t="s">
        <v>28</v>
      </c>
      <c r="H147">
        <v>3</v>
      </c>
      <c r="I147">
        <v>8225</v>
      </c>
      <c r="J147">
        <v>0</v>
      </c>
      <c r="K147">
        <v>24675</v>
      </c>
      <c r="L147">
        <v>5693.5</v>
      </c>
    </row>
    <row r="148" spans="1:12" x14ac:dyDescent="0.3">
      <c r="A148" t="s">
        <v>299</v>
      </c>
      <c r="B148" s="3">
        <v>45981</v>
      </c>
      <c r="C148" t="s">
        <v>300</v>
      </c>
      <c r="D148" t="s">
        <v>43</v>
      </c>
      <c r="E148" t="s">
        <v>44</v>
      </c>
      <c r="F148" t="s">
        <v>21</v>
      </c>
      <c r="G148" t="s">
        <v>55</v>
      </c>
      <c r="H148">
        <v>1</v>
      </c>
      <c r="I148">
        <v>1150</v>
      </c>
      <c r="J148">
        <v>0</v>
      </c>
      <c r="K148">
        <v>1150</v>
      </c>
      <c r="L148">
        <v>225.9</v>
      </c>
    </row>
    <row r="149" spans="1:12" x14ac:dyDescent="0.3">
      <c r="A149" t="s">
        <v>301</v>
      </c>
      <c r="B149" s="3">
        <v>45927</v>
      </c>
      <c r="C149" t="s">
        <v>217</v>
      </c>
      <c r="D149" t="s">
        <v>153</v>
      </c>
      <c r="E149" t="s">
        <v>26</v>
      </c>
      <c r="F149" t="s">
        <v>27</v>
      </c>
      <c r="G149" t="s">
        <v>40</v>
      </c>
      <c r="H149">
        <v>5</v>
      </c>
      <c r="I149">
        <v>9767</v>
      </c>
      <c r="J149">
        <v>0.15</v>
      </c>
      <c r="K149">
        <v>41509.75</v>
      </c>
      <c r="L149">
        <v>4400.75</v>
      </c>
    </row>
    <row r="150" spans="1:12" x14ac:dyDescent="0.3">
      <c r="A150" t="s">
        <v>302</v>
      </c>
      <c r="B150" s="3">
        <v>45791</v>
      </c>
      <c r="C150" t="s">
        <v>303</v>
      </c>
      <c r="D150" t="s">
        <v>14</v>
      </c>
      <c r="E150" t="s">
        <v>15</v>
      </c>
      <c r="F150" t="s">
        <v>16</v>
      </c>
      <c r="G150" t="s">
        <v>52</v>
      </c>
      <c r="H150">
        <v>1</v>
      </c>
      <c r="I150">
        <v>15825</v>
      </c>
      <c r="J150">
        <v>0.05</v>
      </c>
      <c r="K150">
        <v>15033.75</v>
      </c>
      <c r="L150">
        <v>1205.8</v>
      </c>
    </row>
    <row r="151" spans="1:12" x14ac:dyDescent="0.3">
      <c r="A151" t="s">
        <v>304</v>
      </c>
      <c r="B151" s="3">
        <v>45696</v>
      </c>
      <c r="C151" t="s">
        <v>305</v>
      </c>
      <c r="D151" t="s">
        <v>65</v>
      </c>
      <c r="E151" t="s">
        <v>26</v>
      </c>
      <c r="F151" t="s">
        <v>58</v>
      </c>
      <c r="G151" t="s">
        <v>59</v>
      </c>
      <c r="H151">
        <v>2</v>
      </c>
      <c r="I151">
        <v>3926</v>
      </c>
      <c r="J151">
        <v>0.05</v>
      </c>
      <c r="K151">
        <v>7459.4</v>
      </c>
      <c r="L151">
        <v>1849.85</v>
      </c>
    </row>
    <row r="152" spans="1:12" x14ac:dyDescent="0.3">
      <c r="A152" t="s">
        <v>306</v>
      </c>
      <c r="B152" s="3">
        <v>45852</v>
      </c>
      <c r="C152" t="s">
        <v>163</v>
      </c>
      <c r="D152" t="s">
        <v>307</v>
      </c>
      <c r="E152" t="s">
        <v>73</v>
      </c>
      <c r="F152" t="s">
        <v>16</v>
      </c>
      <c r="G152" t="s">
        <v>17</v>
      </c>
      <c r="H152">
        <v>5</v>
      </c>
      <c r="I152">
        <v>136</v>
      </c>
      <c r="J152">
        <v>0.05</v>
      </c>
      <c r="K152">
        <v>646</v>
      </c>
      <c r="L152">
        <v>173.6</v>
      </c>
    </row>
    <row r="153" spans="1:12" x14ac:dyDescent="0.3">
      <c r="A153" t="s">
        <v>308</v>
      </c>
      <c r="B153" s="3">
        <v>45914</v>
      </c>
      <c r="C153" t="s">
        <v>194</v>
      </c>
      <c r="D153" t="s">
        <v>25</v>
      </c>
      <c r="E153" t="s">
        <v>26</v>
      </c>
      <c r="F153" t="s">
        <v>16</v>
      </c>
      <c r="G153" t="s">
        <v>52</v>
      </c>
      <c r="H153">
        <v>1</v>
      </c>
      <c r="I153">
        <v>14693</v>
      </c>
      <c r="J153">
        <v>0.15</v>
      </c>
      <c r="K153">
        <v>12489.05</v>
      </c>
      <c r="L153">
        <v>1499.58</v>
      </c>
    </row>
    <row r="154" spans="1:12" x14ac:dyDescent="0.3">
      <c r="A154" t="s">
        <v>309</v>
      </c>
      <c r="B154" s="3">
        <v>45729</v>
      </c>
      <c r="C154" t="s">
        <v>310</v>
      </c>
      <c r="D154" t="s">
        <v>307</v>
      </c>
      <c r="E154" t="s">
        <v>73</v>
      </c>
      <c r="F154" t="s">
        <v>16</v>
      </c>
      <c r="G154" t="s">
        <v>17</v>
      </c>
      <c r="H154">
        <v>1</v>
      </c>
      <c r="I154">
        <v>155</v>
      </c>
      <c r="J154">
        <v>0</v>
      </c>
      <c r="K154">
        <v>155</v>
      </c>
      <c r="L154">
        <v>17.16</v>
      </c>
    </row>
    <row r="155" spans="1:12" x14ac:dyDescent="0.3">
      <c r="A155" t="s">
        <v>311</v>
      </c>
      <c r="B155" s="3">
        <v>46006</v>
      </c>
      <c r="C155" t="s">
        <v>185</v>
      </c>
      <c r="D155" t="s">
        <v>43</v>
      </c>
      <c r="E155" t="s">
        <v>44</v>
      </c>
      <c r="F155" t="s">
        <v>16</v>
      </c>
      <c r="G155" t="s">
        <v>17</v>
      </c>
      <c r="H155">
        <v>1</v>
      </c>
      <c r="I155">
        <v>339</v>
      </c>
      <c r="J155">
        <v>0.2</v>
      </c>
      <c r="K155">
        <v>271.2</v>
      </c>
      <c r="L155">
        <v>55.14</v>
      </c>
    </row>
    <row r="156" spans="1:12" x14ac:dyDescent="0.3">
      <c r="A156" t="s">
        <v>312</v>
      </c>
      <c r="B156" s="3">
        <v>45930</v>
      </c>
      <c r="C156" t="s">
        <v>313</v>
      </c>
      <c r="D156" t="s">
        <v>25</v>
      </c>
      <c r="E156" t="s">
        <v>26</v>
      </c>
      <c r="F156" t="s">
        <v>27</v>
      </c>
      <c r="G156" t="s">
        <v>31</v>
      </c>
      <c r="H156">
        <v>2</v>
      </c>
      <c r="I156">
        <v>8970</v>
      </c>
      <c r="J156">
        <v>0.1</v>
      </c>
      <c r="K156">
        <v>16146</v>
      </c>
      <c r="L156">
        <v>2019.99</v>
      </c>
    </row>
    <row r="157" spans="1:12" x14ac:dyDescent="0.3">
      <c r="A157" t="s">
        <v>314</v>
      </c>
      <c r="B157" s="3">
        <v>46001</v>
      </c>
      <c r="C157" t="s">
        <v>315</v>
      </c>
      <c r="D157" t="s">
        <v>47</v>
      </c>
      <c r="E157" t="s">
        <v>26</v>
      </c>
      <c r="F157" t="s">
        <v>58</v>
      </c>
      <c r="G157" t="s">
        <v>69</v>
      </c>
      <c r="H157">
        <v>2</v>
      </c>
      <c r="I157">
        <v>21765</v>
      </c>
      <c r="J157">
        <v>0</v>
      </c>
      <c r="K157">
        <v>43530</v>
      </c>
      <c r="L157">
        <v>7527.2</v>
      </c>
    </row>
    <row r="158" spans="1:12" x14ac:dyDescent="0.3">
      <c r="A158" t="s">
        <v>316</v>
      </c>
      <c r="B158" s="3">
        <v>45689</v>
      </c>
      <c r="C158" t="s">
        <v>317</v>
      </c>
      <c r="D158" t="s">
        <v>30</v>
      </c>
      <c r="E158" t="s">
        <v>15</v>
      </c>
      <c r="F158" t="s">
        <v>16</v>
      </c>
      <c r="G158" t="s">
        <v>104</v>
      </c>
      <c r="H158">
        <v>2</v>
      </c>
      <c r="I158">
        <v>11692</v>
      </c>
      <c r="J158">
        <v>0.2</v>
      </c>
      <c r="K158">
        <v>18707.2</v>
      </c>
      <c r="L158">
        <v>4893.13</v>
      </c>
    </row>
    <row r="159" spans="1:12" x14ac:dyDescent="0.3">
      <c r="A159" t="s">
        <v>318</v>
      </c>
      <c r="B159" s="3">
        <v>45733</v>
      </c>
      <c r="C159" t="s">
        <v>319</v>
      </c>
      <c r="D159" t="s">
        <v>65</v>
      </c>
      <c r="E159" t="s">
        <v>26</v>
      </c>
      <c r="F159" t="s">
        <v>58</v>
      </c>
      <c r="G159" t="s">
        <v>126</v>
      </c>
      <c r="H159">
        <v>5</v>
      </c>
      <c r="I159">
        <v>1670</v>
      </c>
      <c r="J159">
        <v>0.1</v>
      </c>
      <c r="K159">
        <v>7515</v>
      </c>
      <c r="L159">
        <v>1530.29</v>
      </c>
    </row>
    <row r="160" spans="1:12" x14ac:dyDescent="0.3">
      <c r="A160" t="s">
        <v>320</v>
      </c>
      <c r="B160" s="3">
        <v>46010</v>
      </c>
      <c r="C160" t="s">
        <v>321</v>
      </c>
      <c r="D160" t="s">
        <v>20</v>
      </c>
      <c r="E160" t="s">
        <v>15</v>
      </c>
      <c r="F160" t="s">
        <v>21</v>
      </c>
      <c r="G160" t="s">
        <v>55</v>
      </c>
      <c r="H160">
        <v>2</v>
      </c>
      <c r="I160">
        <v>5967</v>
      </c>
      <c r="J160">
        <v>0.05</v>
      </c>
      <c r="K160">
        <v>11337.3</v>
      </c>
      <c r="L160">
        <v>982.27</v>
      </c>
    </row>
    <row r="161" spans="1:12" x14ac:dyDescent="0.3">
      <c r="A161" t="s">
        <v>322</v>
      </c>
      <c r="B161" s="3">
        <v>46016</v>
      </c>
      <c r="C161" t="s">
        <v>323</v>
      </c>
      <c r="D161" t="s">
        <v>30</v>
      </c>
      <c r="E161" t="s">
        <v>15</v>
      </c>
      <c r="F161" t="s">
        <v>27</v>
      </c>
      <c r="G161" t="s">
        <v>40</v>
      </c>
      <c r="H161">
        <v>1</v>
      </c>
      <c r="I161">
        <v>11085</v>
      </c>
      <c r="J161">
        <v>0.15</v>
      </c>
      <c r="K161">
        <v>9422.25</v>
      </c>
      <c r="L161">
        <v>831.39</v>
      </c>
    </row>
    <row r="162" spans="1:12" x14ac:dyDescent="0.3">
      <c r="A162" t="s">
        <v>324</v>
      </c>
      <c r="B162" s="3">
        <v>45780</v>
      </c>
      <c r="C162" t="s">
        <v>109</v>
      </c>
      <c r="D162" t="s">
        <v>50</v>
      </c>
      <c r="E162" t="s">
        <v>51</v>
      </c>
      <c r="F162" t="s">
        <v>58</v>
      </c>
      <c r="G162" t="s">
        <v>59</v>
      </c>
      <c r="H162">
        <v>1</v>
      </c>
      <c r="I162">
        <v>3328</v>
      </c>
      <c r="J162">
        <v>0</v>
      </c>
      <c r="K162">
        <v>3328</v>
      </c>
      <c r="L162">
        <v>626.53</v>
      </c>
    </row>
    <row r="163" spans="1:12" x14ac:dyDescent="0.3">
      <c r="A163" t="s">
        <v>325</v>
      </c>
      <c r="B163" s="3">
        <v>45741</v>
      </c>
      <c r="C163" t="s">
        <v>326</v>
      </c>
      <c r="D163" t="s">
        <v>43</v>
      </c>
      <c r="E163" t="s">
        <v>44</v>
      </c>
      <c r="F163" t="s">
        <v>27</v>
      </c>
      <c r="G163" t="s">
        <v>40</v>
      </c>
      <c r="H163">
        <v>1</v>
      </c>
      <c r="I163">
        <v>1278</v>
      </c>
      <c r="J163">
        <v>0</v>
      </c>
      <c r="K163">
        <v>1278</v>
      </c>
      <c r="L163">
        <v>330.96</v>
      </c>
    </row>
    <row r="164" spans="1:12" x14ac:dyDescent="0.3">
      <c r="A164" t="s">
        <v>327</v>
      </c>
      <c r="B164" s="3">
        <v>45660</v>
      </c>
      <c r="C164" t="s">
        <v>328</v>
      </c>
      <c r="D164" t="s">
        <v>25</v>
      </c>
      <c r="E164" t="s">
        <v>26</v>
      </c>
      <c r="F164" t="s">
        <v>27</v>
      </c>
      <c r="G164" t="s">
        <v>31</v>
      </c>
      <c r="H164">
        <v>1</v>
      </c>
      <c r="I164">
        <v>7968</v>
      </c>
      <c r="J164">
        <v>0.05</v>
      </c>
      <c r="K164">
        <v>7569.6</v>
      </c>
      <c r="L164">
        <v>1702.9</v>
      </c>
    </row>
    <row r="165" spans="1:12" x14ac:dyDescent="0.3">
      <c r="A165" t="s">
        <v>329</v>
      </c>
      <c r="B165" s="3">
        <v>45900</v>
      </c>
      <c r="C165" t="s">
        <v>100</v>
      </c>
      <c r="D165" t="s">
        <v>103</v>
      </c>
      <c r="E165" t="s">
        <v>51</v>
      </c>
      <c r="F165" t="s">
        <v>58</v>
      </c>
      <c r="G165" t="s">
        <v>126</v>
      </c>
      <c r="H165">
        <v>1</v>
      </c>
      <c r="I165">
        <v>8812</v>
      </c>
      <c r="J165">
        <v>0.05</v>
      </c>
      <c r="K165">
        <v>8371.4</v>
      </c>
      <c r="L165">
        <v>974.63</v>
      </c>
    </row>
    <row r="166" spans="1:12" x14ac:dyDescent="0.3">
      <c r="A166" t="s">
        <v>330</v>
      </c>
      <c r="B166" s="3">
        <v>45868</v>
      </c>
      <c r="C166" t="s">
        <v>136</v>
      </c>
      <c r="D166" t="s">
        <v>20</v>
      </c>
      <c r="E166" t="s">
        <v>15</v>
      </c>
      <c r="F166" t="s">
        <v>16</v>
      </c>
      <c r="G166" t="s">
        <v>104</v>
      </c>
      <c r="H166">
        <v>1</v>
      </c>
      <c r="I166">
        <v>15960</v>
      </c>
      <c r="J166">
        <v>0.25</v>
      </c>
      <c r="K166">
        <v>11970</v>
      </c>
      <c r="L166">
        <v>2514.48</v>
      </c>
    </row>
    <row r="167" spans="1:12" x14ac:dyDescent="0.3">
      <c r="A167" t="s">
        <v>331</v>
      </c>
      <c r="B167" s="3">
        <v>46007</v>
      </c>
      <c r="C167" t="s">
        <v>119</v>
      </c>
      <c r="D167" t="s">
        <v>80</v>
      </c>
      <c r="E167" t="s">
        <v>51</v>
      </c>
      <c r="F167" t="s">
        <v>16</v>
      </c>
      <c r="G167" t="s">
        <v>52</v>
      </c>
      <c r="H167">
        <v>5</v>
      </c>
      <c r="I167">
        <v>61636</v>
      </c>
      <c r="J167">
        <v>0.15</v>
      </c>
      <c r="K167">
        <v>261953</v>
      </c>
      <c r="L167">
        <v>53897.61</v>
      </c>
    </row>
    <row r="168" spans="1:12" x14ac:dyDescent="0.3">
      <c r="A168" t="s">
        <v>332</v>
      </c>
      <c r="B168" s="3">
        <v>45834</v>
      </c>
      <c r="C168" t="s">
        <v>333</v>
      </c>
      <c r="D168" t="s">
        <v>72</v>
      </c>
      <c r="E168" t="s">
        <v>73</v>
      </c>
      <c r="F168" t="s">
        <v>21</v>
      </c>
      <c r="G168" t="s">
        <v>55</v>
      </c>
      <c r="H168">
        <v>2</v>
      </c>
      <c r="I168">
        <v>809</v>
      </c>
      <c r="J168">
        <v>0</v>
      </c>
      <c r="K168">
        <v>1618</v>
      </c>
      <c r="L168">
        <v>257.43</v>
      </c>
    </row>
    <row r="169" spans="1:12" x14ac:dyDescent="0.3">
      <c r="A169" t="s">
        <v>334</v>
      </c>
      <c r="B169" s="3">
        <v>45900</v>
      </c>
      <c r="C169" t="s">
        <v>253</v>
      </c>
      <c r="D169" t="s">
        <v>65</v>
      </c>
      <c r="E169" t="s">
        <v>26</v>
      </c>
      <c r="F169" t="s">
        <v>27</v>
      </c>
      <c r="G169" t="s">
        <v>31</v>
      </c>
      <c r="H169">
        <v>2</v>
      </c>
      <c r="I169">
        <v>4211</v>
      </c>
      <c r="J169">
        <v>0</v>
      </c>
      <c r="K169">
        <v>8422</v>
      </c>
      <c r="L169">
        <v>1723.08</v>
      </c>
    </row>
    <row r="170" spans="1:12" x14ac:dyDescent="0.3">
      <c r="A170" t="s">
        <v>335</v>
      </c>
      <c r="B170" s="3">
        <v>45665</v>
      </c>
      <c r="C170" t="s">
        <v>37</v>
      </c>
      <c r="D170" t="s">
        <v>97</v>
      </c>
      <c r="E170" t="s">
        <v>44</v>
      </c>
      <c r="F170" t="s">
        <v>16</v>
      </c>
      <c r="G170" t="s">
        <v>104</v>
      </c>
      <c r="H170">
        <v>1</v>
      </c>
      <c r="I170">
        <v>822</v>
      </c>
      <c r="J170">
        <v>0.1</v>
      </c>
      <c r="K170">
        <v>739.8</v>
      </c>
      <c r="L170">
        <v>114.35</v>
      </c>
    </row>
    <row r="171" spans="1:12" x14ac:dyDescent="0.3">
      <c r="A171" t="s">
        <v>336</v>
      </c>
      <c r="B171" s="3">
        <v>45698</v>
      </c>
      <c r="C171" t="s">
        <v>337</v>
      </c>
      <c r="D171" t="s">
        <v>103</v>
      </c>
      <c r="E171" t="s">
        <v>51</v>
      </c>
      <c r="F171" t="s">
        <v>27</v>
      </c>
      <c r="G171" t="s">
        <v>28</v>
      </c>
      <c r="H171">
        <v>1</v>
      </c>
      <c r="I171">
        <v>7992</v>
      </c>
      <c r="J171">
        <v>0.05</v>
      </c>
      <c r="K171">
        <v>7592.4</v>
      </c>
      <c r="L171">
        <v>1389.13</v>
      </c>
    </row>
    <row r="172" spans="1:12" x14ac:dyDescent="0.3">
      <c r="A172" t="s">
        <v>338</v>
      </c>
      <c r="B172" s="3">
        <v>46002</v>
      </c>
      <c r="C172" t="s">
        <v>339</v>
      </c>
      <c r="D172" t="s">
        <v>25</v>
      </c>
      <c r="E172" t="s">
        <v>26</v>
      </c>
      <c r="F172" t="s">
        <v>58</v>
      </c>
      <c r="G172" t="s">
        <v>59</v>
      </c>
      <c r="H172">
        <v>5</v>
      </c>
      <c r="I172">
        <v>9098</v>
      </c>
      <c r="J172">
        <v>0.1</v>
      </c>
      <c r="K172">
        <v>40941</v>
      </c>
      <c r="L172">
        <v>5938</v>
      </c>
    </row>
    <row r="173" spans="1:12" x14ac:dyDescent="0.3">
      <c r="A173" t="s">
        <v>340</v>
      </c>
      <c r="B173" s="3">
        <v>45960</v>
      </c>
      <c r="C173" t="s">
        <v>96</v>
      </c>
      <c r="D173" t="s">
        <v>65</v>
      </c>
      <c r="E173" t="s">
        <v>26</v>
      </c>
      <c r="F173" t="s">
        <v>58</v>
      </c>
      <c r="G173" t="s">
        <v>59</v>
      </c>
      <c r="H173">
        <v>1</v>
      </c>
      <c r="I173">
        <v>4116</v>
      </c>
      <c r="J173">
        <v>0.05</v>
      </c>
      <c r="K173">
        <v>3910.2</v>
      </c>
      <c r="L173">
        <v>571.58000000000004</v>
      </c>
    </row>
    <row r="174" spans="1:12" x14ac:dyDescent="0.3">
      <c r="A174" t="s">
        <v>341</v>
      </c>
      <c r="B174" s="3">
        <v>45790</v>
      </c>
      <c r="C174" t="s">
        <v>49</v>
      </c>
      <c r="D174" t="s">
        <v>34</v>
      </c>
      <c r="E174" t="s">
        <v>15</v>
      </c>
      <c r="F174" t="s">
        <v>58</v>
      </c>
      <c r="G174" t="s">
        <v>126</v>
      </c>
      <c r="H174">
        <v>1</v>
      </c>
      <c r="I174">
        <v>18109</v>
      </c>
      <c r="J174">
        <v>0.1</v>
      </c>
      <c r="K174">
        <v>16298.1</v>
      </c>
      <c r="L174">
        <v>1848.34</v>
      </c>
    </row>
    <row r="175" spans="1:12" x14ac:dyDescent="0.3">
      <c r="A175" t="s">
        <v>342</v>
      </c>
      <c r="B175" s="3">
        <v>45861</v>
      </c>
      <c r="C175" t="s">
        <v>208</v>
      </c>
      <c r="D175" t="s">
        <v>103</v>
      </c>
      <c r="E175" t="s">
        <v>51</v>
      </c>
      <c r="F175" t="s">
        <v>16</v>
      </c>
      <c r="G175" t="s">
        <v>52</v>
      </c>
      <c r="H175">
        <v>2</v>
      </c>
      <c r="I175">
        <v>7785</v>
      </c>
      <c r="J175">
        <v>0.15</v>
      </c>
      <c r="K175">
        <v>13234.5</v>
      </c>
      <c r="L175">
        <v>2608.13</v>
      </c>
    </row>
    <row r="176" spans="1:12" x14ac:dyDescent="0.3">
      <c r="A176" t="s">
        <v>343</v>
      </c>
      <c r="B176" s="3">
        <v>45991</v>
      </c>
      <c r="C176" t="s">
        <v>100</v>
      </c>
      <c r="D176" t="s">
        <v>103</v>
      </c>
      <c r="E176" t="s">
        <v>51</v>
      </c>
      <c r="F176" t="s">
        <v>21</v>
      </c>
      <c r="G176" t="s">
        <v>55</v>
      </c>
      <c r="H176">
        <v>1</v>
      </c>
      <c r="I176">
        <v>5343</v>
      </c>
      <c r="J176">
        <v>0.2</v>
      </c>
      <c r="K176">
        <v>4274.3999999999996</v>
      </c>
      <c r="L176">
        <v>375.59</v>
      </c>
    </row>
    <row r="177" spans="1:12" x14ac:dyDescent="0.3">
      <c r="A177" t="s">
        <v>344</v>
      </c>
      <c r="B177" s="3">
        <v>45982</v>
      </c>
      <c r="C177" t="s">
        <v>111</v>
      </c>
      <c r="D177" t="s">
        <v>103</v>
      </c>
      <c r="E177" t="s">
        <v>51</v>
      </c>
      <c r="F177" t="s">
        <v>58</v>
      </c>
      <c r="G177" t="s">
        <v>59</v>
      </c>
      <c r="H177">
        <v>1</v>
      </c>
      <c r="I177">
        <v>5760</v>
      </c>
      <c r="J177">
        <v>0.1</v>
      </c>
      <c r="K177">
        <v>5184</v>
      </c>
      <c r="L177">
        <v>826.72</v>
      </c>
    </row>
    <row r="178" spans="1:12" x14ac:dyDescent="0.3">
      <c r="A178" t="s">
        <v>345</v>
      </c>
      <c r="B178" s="3">
        <v>45842</v>
      </c>
      <c r="C178" t="s">
        <v>346</v>
      </c>
      <c r="D178" t="s">
        <v>80</v>
      </c>
      <c r="E178" t="s">
        <v>51</v>
      </c>
      <c r="F178" t="s">
        <v>27</v>
      </c>
      <c r="G178" t="s">
        <v>28</v>
      </c>
      <c r="H178">
        <v>2</v>
      </c>
      <c r="I178">
        <v>55169</v>
      </c>
      <c r="J178">
        <v>0.1</v>
      </c>
      <c r="K178">
        <v>99304.2</v>
      </c>
      <c r="L178">
        <v>14749.72</v>
      </c>
    </row>
    <row r="179" spans="1:12" x14ac:dyDescent="0.3">
      <c r="A179" t="s">
        <v>347</v>
      </c>
      <c r="B179" s="3">
        <v>45891</v>
      </c>
      <c r="C179" t="s">
        <v>220</v>
      </c>
      <c r="D179" t="s">
        <v>103</v>
      </c>
      <c r="E179" t="s">
        <v>51</v>
      </c>
      <c r="F179" t="s">
        <v>21</v>
      </c>
      <c r="G179" t="s">
        <v>55</v>
      </c>
      <c r="H179">
        <v>3</v>
      </c>
      <c r="I179">
        <v>2467</v>
      </c>
      <c r="J179">
        <v>0</v>
      </c>
      <c r="K179">
        <v>7401</v>
      </c>
      <c r="L179">
        <v>1673.85</v>
      </c>
    </row>
    <row r="180" spans="1:12" x14ac:dyDescent="0.3">
      <c r="A180" t="s">
        <v>348</v>
      </c>
      <c r="B180" s="3">
        <v>45832</v>
      </c>
      <c r="C180" t="s">
        <v>109</v>
      </c>
      <c r="D180" t="s">
        <v>14</v>
      </c>
      <c r="E180" t="s">
        <v>15</v>
      </c>
      <c r="F180" t="s">
        <v>16</v>
      </c>
      <c r="G180" t="s">
        <v>104</v>
      </c>
      <c r="H180">
        <v>2</v>
      </c>
      <c r="I180">
        <v>16057</v>
      </c>
      <c r="J180">
        <v>0.2</v>
      </c>
      <c r="K180">
        <v>25691.200000000001</v>
      </c>
      <c r="L180">
        <v>5565.99</v>
      </c>
    </row>
    <row r="181" spans="1:12" x14ac:dyDescent="0.3">
      <c r="A181" t="s">
        <v>349</v>
      </c>
      <c r="B181" s="3">
        <v>45889</v>
      </c>
      <c r="C181" t="s">
        <v>240</v>
      </c>
      <c r="D181" t="s">
        <v>92</v>
      </c>
      <c r="E181" t="s">
        <v>51</v>
      </c>
      <c r="F181" t="s">
        <v>21</v>
      </c>
      <c r="G181" t="s">
        <v>22</v>
      </c>
      <c r="H181">
        <v>3</v>
      </c>
      <c r="I181">
        <v>10810</v>
      </c>
      <c r="J181">
        <v>0.15</v>
      </c>
      <c r="K181">
        <v>27565.5</v>
      </c>
      <c r="L181">
        <v>7270</v>
      </c>
    </row>
    <row r="182" spans="1:12" x14ac:dyDescent="0.3">
      <c r="A182" t="s">
        <v>350</v>
      </c>
      <c r="B182" s="3">
        <v>46018</v>
      </c>
      <c r="C182" t="s">
        <v>351</v>
      </c>
      <c r="D182" t="s">
        <v>103</v>
      </c>
      <c r="E182" t="s">
        <v>51</v>
      </c>
      <c r="F182" t="s">
        <v>21</v>
      </c>
      <c r="G182" t="s">
        <v>35</v>
      </c>
      <c r="H182">
        <v>1</v>
      </c>
      <c r="I182">
        <v>6331</v>
      </c>
      <c r="J182">
        <v>0.25</v>
      </c>
      <c r="K182">
        <v>4748.25</v>
      </c>
      <c r="L182">
        <v>425.64</v>
      </c>
    </row>
    <row r="183" spans="1:12" x14ac:dyDescent="0.3">
      <c r="A183" t="s">
        <v>352</v>
      </c>
      <c r="B183" s="3">
        <v>45730</v>
      </c>
      <c r="C183" t="s">
        <v>161</v>
      </c>
      <c r="D183" t="s">
        <v>97</v>
      </c>
      <c r="E183" t="s">
        <v>44</v>
      </c>
      <c r="F183" t="s">
        <v>21</v>
      </c>
      <c r="G183" t="s">
        <v>35</v>
      </c>
      <c r="H183">
        <v>1</v>
      </c>
      <c r="I183">
        <v>524</v>
      </c>
      <c r="J183">
        <v>0</v>
      </c>
      <c r="K183">
        <v>524</v>
      </c>
      <c r="L183">
        <v>110.09</v>
      </c>
    </row>
    <row r="184" spans="1:12" x14ac:dyDescent="0.3">
      <c r="A184" t="s">
        <v>353</v>
      </c>
      <c r="B184" s="3">
        <v>45739</v>
      </c>
      <c r="C184" t="s">
        <v>354</v>
      </c>
      <c r="D184" t="s">
        <v>34</v>
      </c>
      <c r="E184" t="s">
        <v>15</v>
      </c>
      <c r="F184" t="s">
        <v>16</v>
      </c>
      <c r="G184" t="s">
        <v>104</v>
      </c>
      <c r="H184">
        <v>4</v>
      </c>
      <c r="I184">
        <v>12710</v>
      </c>
      <c r="J184">
        <v>0.15</v>
      </c>
      <c r="K184">
        <v>43214</v>
      </c>
      <c r="L184">
        <v>6703.98</v>
      </c>
    </row>
    <row r="185" spans="1:12" x14ac:dyDescent="0.3">
      <c r="A185" t="s">
        <v>355</v>
      </c>
      <c r="B185" s="3">
        <v>45733</v>
      </c>
      <c r="C185" t="s">
        <v>87</v>
      </c>
      <c r="D185" t="s">
        <v>47</v>
      </c>
      <c r="E185" t="s">
        <v>26</v>
      </c>
      <c r="F185" t="s">
        <v>16</v>
      </c>
      <c r="G185" t="s">
        <v>52</v>
      </c>
      <c r="H185">
        <v>2</v>
      </c>
      <c r="I185">
        <v>15452</v>
      </c>
      <c r="J185">
        <v>0.05</v>
      </c>
      <c r="K185">
        <v>29358.799999999999</v>
      </c>
      <c r="L185">
        <v>5569.36</v>
      </c>
    </row>
    <row r="186" spans="1:12" x14ac:dyDescent="0.3">
      <c r="A186" t="s">
        <v>356</v>
      </c>
      <c r="B186" s="3">
        <v>45924</v>
      </c>
      <c r="C186" t="s">
        <v>71</v>
      </c>
      <c r="D186" t="s">
        <v>80</v>
      </c>
      <c r="E186" t="s">
        <v>51</v>
      </c>
      <c r="F186" t="s">
        <v>16</v>
      </c>
      <c r="G186" t="s">
        <v>104</v>
      </c>
      <c r="H186">
        <v>2</v>
      </c>
      <c r="I186">
        <v>71729</v>
      </c>
      <c r="J186">
        <v>0.1</v>
      </c>
      <c r="K186">
        <v>129112.2</v>
      </c>
      <c r="L186">
        <v>22297.52</v>
      </c>
    </row>
    <row r="187" spans="1:12" x14ac:dyDescent="0.3">
      <c r="A187" t="s">
        <v>357</v>
      </c>
      <c r="B187" s="3">
        <v>45774</v>
      </c>
      <c r="C187" t="s">
        <v>358</v>
      </c>
      <c r="D187" t="s">
        <v>65</v>
      </c>
      <c r="E187" t="s">
        <v>26</v>
      </c>
      <c r="F187" t="s">
        <v>21</v>
      </c>
      <c r="G187" t="s">
        <v>55</v>
      </c>
      <c r="H187">
        <v>3</v>
      </c>
      <c r="I187">
        <v>1559</v>
      </c>
      <c r="J187">
        <v>0</v>
      </c>
      <c r="K187">
        <v>4677</v>
      </c>
      <c r="L187">
        <v>866.76</v>
      </c>
    </row>
    <row r="188" spans="1:12" x14ac:dyDescent="0.3">
      <c r="A188" t="s">
        <v>359</v>
      </c>
      <c r="B188" s="3">
        <v>45983</v>
      </c>
      <c r="C188" t="s">
        <v>187</v>
      </c>
      <c r="D188" t="s">
        <v>153</v>
      </c>
      <c r="E188" t="s">
        <v>26</v>
      </c>
      <c r="F188" t="s">
        <v>21</v>
      </c>
      <c r="G188" t="s">
        <v>22</v>
      </c>
      <c r="H188">
        <v>3</v>
      </c>
      <c r="I188">
        <v>7866</v>
      </c>
      <c r="J188">
        <v>0.1</v>
      </c>
      <c r="K188">
        <v>21238.2</v>
      </c>
      <c r="L188">
        <v>5192.29</v>
      </c>
    </row>
    <row r="189" spans="1:12" x14ac:dyDescent="0.3">
      <c r="A189" t="s">
        <v>360</v>
      </c>
      <c r="B189" s="3">
        <v>45938</v>
      </c>
      <c r="C189" t="s">
        <v>143</v>
      </c>
      <c r="D189" t="s">
        <v>103</v>
      </c>
      <c r="E189" t="s">
        <v>51</v>
      </c>
      <c r="F189" t="s">
        <v>21</v>
      </c>
      <c r="G189" t="s">
        <v>22</v>
      </c>
      <c r="H189">
        <v>2</v>
      </c>
      <c r="I189">
        <v>4165</v>
      </c>
      <c r="J189">
        <v>0</v>
      </c>
      <c r="K189">
        <v>8330</v>
      </c>
      <c r="L189">
        <v>1464.72</v>
      </c>
    </row>
    <row r="190" spans="1:12" x14ac:dyDescent="0.3">
      <c r="A190" t="s">
        <v>361</v>
      </c>
      <c r="B190" s="3">
        <v>45709</v>
      </c>
      <c r="C190" t="s">
        <v>178</v>
      </c>
      <c r="D190" t="s">
        <v>103</v>
      </c>
      <c r="E190" t="s">
        <v>51</v>
      </c>
      <c r="F190" t="s">
        <v>21</v>
      </c>
      <c r="G190" t="s">
        <v>35</v>
      </c>
      <c r="H190">
        <v>2</v>
      </c>
      <c r="I190">
        <v>8451</v>
      </c>
      <c r="J190">
        <v>0.1</v>
      </c>
      <c r="K190">
        <v>15211.8</v>
      </c>
      <c r="L190">
        <v>2984.35</v>
      </c>
    </row>
    <row r="191" spans="1:12" x14ac:dyDescent="0.3">
      <c r="A191" t="s">
        <v>362</v>
      </c>
      <c r="B191" s="3">
        <v>45734</v>
      </c>
      <c r="C191" t="s">
        <v>363</v>
      </c>
      <c r="D191" t="s">
        <v>25</v>
      </c>
      <c r="E191" t="s">
        <v>26</v>
      </c>
      <c r="F191" t="s">
        <v>27</v>
      </c>
      <c r="G191" t="s">
        <v>28</v>
      </c>
      <c r="H191">
        <v>1</v>
      </c>
      <c r="I191">
        <v>7463</v>
      </c>
      <c r="J191">
        <v>0</v>
      </c>
      <c r="K191">
        <v>7463</v>
      </c>
      <c r="L191">
        <v>1613.68</v>
      </c>
    </row>
    <row r="192" spans="1:12" x14ac:dyDescent="0.3">
      <c r="A192" t="s">
        <v>364</v>
      </c>
      <c r="B192" s="3">
        <v>45969</v>
      </c>
      <c r="C192" t="s">
        <v>172</v>
      </c>
      <c r="D192" t="s">
        <v>88</v>
      </c>
      <c r="E192" t="s">
        <v>73</v>
      </c>
      <c r="F192" t="s">
        <v>16</v>
      </c>
      <c r="G192" t="s">
        <v>17</v>
      </c>
      <c r="H192">
        <v>3</v>
      </c>
      <c r="I192">
        <v>193</v>
      </c>
      <c r="J192">
        <v>0.2</v>
      </c>
      <c r="K192">
        <v>463.2</v>
      </c>
      <c r="L192">
        <v>76.38</v>
      </c>
    </row>
    <row r="193" spans="1:12" x14ac:dyDescent="0.3">
      <c r="A193" t="s">
        <v>365</v>
      </c>
      <c r="B193" s="3">
        <v>46019</v>
      </c>
      <c r="C193" t="s">
        <v>272</v>
      </c>
      <c r="D193" t="s">
        <v>83</v>
      </c>
      <c r="E193" t="s">
        <v>73</v>
      </c>
      <c r="F193" t="s">
        <v>21</v>
      </c>
      <c r="G193" t="s">
        <v>35</v>
      </c>
      <c r="H193">
        <v>1</v>
      </c>
      <c r="I193">
        <v>252</v>
      </c>
      <c r="J193">
        <v>0.1</v>
      </c>
      <c r="K193">
        <v>226.8</v>
      </c>
      <c r="L193">
        <v>41.51</v>
      </c>
    </row>
    <row r="194" spans="1:12" x14ac:dyDescent="0.3">
      <c r="A194" t="s">
        <v>366</v>
      </c>
      <c r="B194" s="3">
        <v>45778</v>
      </c>
      <c r="C194" t="s">
        <v>282</v>
      </c>
      <c r="D194" t="s">
        <v>88</v>
      </c>
      <c r="E194" t="s">
        <v>73</v>
      </c>
      <c r="F194" t="s">
        <v>27</v>
      </c>
      <c r="G194" t="s">
        <v>40</v>
      </c>
      <c r="H194">
        <v>3</v>
      </c>
      <c r="I194">
        <v>550</v>
      </c>
      <c r="J194">
        <v>0.05</v>
      </c>
      <c r="K194">
        <v>1567.5</v>
      </c>
      <c r="L194">
        <v>199.66</v>
      </c>
    </row>
    <row r="195" spans="1:12" x14ac:dyDescent="0.3">
      <c r="A195" t="s">
        <v>367</v>
      </c>
      <c r="B195" s="3">
        <v>45859</v>
      </c>
      <c r="C195" t="s">
        <v>368</v>
      </c>
      <c r="D195" t="s">
        <v>20</v>
      </c>
      <c r="E195" t="s">
        <v>15</v>
      </c>
      <c r="F195" t="s">
        <v>16</v>
      </c>
      <c r="G195" t="s">
        <v>17</v>
      </c>
      <c r="H195">
        <v>3</v>
      </c>
      <c r="I195">
        <v>13433</v>
      </c>
      <c r="J195">
        <v>0</v>
      </c>
      <c r="K195">
        <v>40299</v>
      </c>
      <c r="L195">
        <v>6640.83</v>
      </c>
    </row>
    <row r="196" spans="1:12" x14ac:dyDescent="0.3">
      <c r="A196" t="s">
        <v>369</v>
      </c>
      <c r="B196" s="3">
        <v>45818</v>
      </c>
      <c r="C196" t="s">
        <v>75</v>
      </c>
      <c r="D196" t="s">
        <v>50</v>
      </c>
      <c r="E196" t="s">
        <v>51</v>
      </c>
      <c r="F196" t="s">
        <v>21</v>
      </c>
      <c r="G196" t="s">
        <v>55</v>
      </c>
      <c r="H196">
        <v>1</v>
      </c>
      <c r="I196">
        <v>1058</v>
      </c>
      <c r="J196">
        <v>0</v>
      </c>
      <c r="K196">
        <v>1058</v>
      </c>
      <c r="L196">
        <v>220.48</v>
      </c>
    </row>
    <row r="197" spans="1:12" x14ac:dyDescent="0.3">
      <c r="A197" t="s">
        <v>370</v>
      </c>
      <c r="B197" s="3">
        <v>45911</v>
      </c>
      <c r="C197" t="s">
        <v>371</v>
      </c>
      <c r="D197" t="s">
        <v>47</v>
      </c>
      <c r="E197" t="s">
        <v>26</v>
      </c>
      <c r="F197" t="s">
        <v>27</v>
      </c>
      <c r="G197" t="s">
        <v>28</v>
      </c>
      <c r="H197">
        <v>1</v>
      </c>
      <c r="I197">
        <v>11118</v>
      </c>
      <c r="J197">
        <v>0.1</v>
      </c>
      <c r="K197">
        <v>10006.200000000001</v>
      </c>
      <c r="L197">
        <v>2153.02</v>
      </c>
    </row>
    <row r="198" spans="1:12" x14ac:dyDescent="0.3">
      <c r="A198" t="s">
        <v>372</v>
      </c>
      <c r="B198" s="3">
        <v>45937</v>
      </c>
      <c r="C198" t="s">
        <v>147</v>
      </c>
      <c r="D198" t="s">
        <v>30</v>
      </c>
      <c r="E198" t="s">
        <v>15</v>
      </c>
      <c r="F198" t="s">
        <v>58</v>
      </c>
      <c r="G198" t="s">
        <v>126</v>
      </c>
      <c r="H198">
        <v>1</v>
      </c>
      <c r="I198">
        <v>5489</v>
      </c>
      <c r="J198">
        <v>0.15</v>
      </c>
      <c r="K198">
        <v>4665.6499999999996</v>
      </c>
      <c r="L198">
        <v>912.96</v>
      </c>
    </row>
    <row r="199" spans="1:12" x14ac:dyDescent="0.3">
      <c r="A199" t="s">
        <v>373</v>
      </c>
      <c r="B199" s="3">
        <v>46010</v>
      </c>
      <c r="C199" t="s">
        <v>141</v>
      </c>
      <c r="D199" t="s">
        <v>72</v>
      </c>
      <c r="E199" t="s">
        <v>73</v>
      </c>
      <c r="F199" t="s">
        <v>21</v>
      </c>
      <c r="G199" t="s">
        <v>35</v>
      </c>
      <c r="H199">
        <v>2</v>
      </c>
      <c r="I199">
        <v>631</v>
      </c>
      <c r="J199">
        <v>0.05</v>
      </c>
      <c r="K199">
        <v>1198.9000000000001</v>
      </c>
      <c r="L199">
        <v>178.29</v>
      </c>
    </row>
    <row r="200" spans="1:12" x14ac:dyDescent="0.3">
      <c r="A200" t="s">
        <v>374</v>
      </c>
      <c r="B200" s="3">
        <v>45684</v>
      </c>
      <c r="C200" t="s">
        <v>358</v>
      </c>
      <c r="D200" t="s">
        <v>25</v>
      </c>
      <c r="E200" t="s">
        <v>26</v>
      </c>
      <c r="F200" t="s">
        <v>21</v>
      </c>
      <c r="G200" t="s">
        <v>35</v>
      </c>
      <c r="H200">
        <v>2</v>
      </c>
      <c r="I200">
        <v>9254</v>
      </c>
      <c r="J200">
        <v>0.1</v>
      </c>
      <c r="K200">
        <v>16657.2</v>
      </c>
      <c r="L200">
        <v>3598.39</v>
      </c>
    </row>
    <row r="201" spans="1:12" x14ac:dyDescent="0.3">
      <c r="A201" t="s">
        <v>375</v>
      </c>
      <c r="B201" s="3">
        <v>45787</v>
      </c>
      <c r="C201" t="s">
        <v>376</v>
      </c>
      <c r="D201" t="s">
        <v>30</v>
      </c>
      <c r="E201" t="s">
        <v>15</v>
      </c>
      <c r="F201" t="s">
        <v>27</v>
      </c>
      <c r="G201" t="s">
        <v>40</v>
      </c>
      <c r="H201">
        <v>5</v>
      </c>
      <c r="I201">
        <v>10787</v>
      </c>
      <c r="J201">
        <v>0.1</v>
      </c>
      <c r="K201">
        <v>48541.5</v>
      </c>
      <c r="L201">
        <v>10976.69</v>
      </c>
    </row>
    <row r="202" spans="1:12" x14ac:dyDescent="0.3">
      <c r="A202" t="s">
        <v>377</v>
      </c>
      <c r="B202" s="3">
        <v>45693</v>
      </c>
      <c r="C202" t="s">
        <v>178</v>
      </c>
      <c r="D202" t="s">
        <v>34</v>
      </c>
      <c r="E202" t="s">
        <v>15</v>
      </c>
      <c r="F202" t="s">
        <v>21</v>
      </c>
      <c r="G202" t="s">
        <v>55</v>
      </c>
      <c r="H202">
        <v>5</v>
      </c>
      <c r="I202">
        <v>18429</v>
      </c>
      <c r="J202">
        <v>0.15</v>
      </c>
      <c r="K202">
        <v>78323.25</v>
      </c>
      <c r="L202">
        <v>8936.34</v>
      </c>
    </row>
    <row r="203" spans="1:12" x14ac:dyDescent="0.3">
      <c r="A203" t="s">
        <v>378</v>
      </c>
      <c r="B203" s="3">
        <v>45793</v>
      </c>
      <c r="C203" t="s">
        <v>54</v>
      </c>
      <c r="D203" t="s">
        <v>80</v>
      </c>
      <c r="E203" t="s">
        <v>51</v>
      </c>
      <c r="F203" t="s">
        <v>16</v>
      </c>
      <c r="G203" t="s">
        <v>52</v>
      </c>
      <c r="H203">
        <v>3</v>
      </c>
      <c r="I203">
        <v>82087</v>
      </c>
      <c r="J203">
        <v>0.05</v>
      </c>
      <c r="K203">
        <v>233947.95</v>
      </c>
      <c r="L203">
        <v>37399.660000000003</v>
      </c>
    </row>
    <row r="204" spans="1:12" x14ac:dyDescent="0.3">
      <c r="A204" t="s">
        <v>379</v>
      </c>
      <c r="B204" s="3">
        <v>45778</v>
      </c>
      <c r="C204" t="s">
        <v>270</v>
      </c>
      <c r="D204" t="s">
        <v>120</v>
      </c>
      <c r="E204" t="s">
        <v>51</v>
      </c>
      <c r="F204" t="s">
        <v>21</v>
      </c>
      <c r="G204" t="s">
        <v>35</v>
      </c>
      <c r="H204">
        <v>2</v>
      </c>
      <c r="I204">
        <v>567</v>
      </c>
      <c r="J204">
        <v>0.05</v>
      </c>
      <c r="K204">
        <v>1077.3</v>
      </c>
      <c r="L204">
        <v>255.95</v>
      </c>
    </row>
    <row r="205" spans="1:12" x14ac:dyDescent="0.3">
      <c r="A205" t="s">
        <v>380</v>
      </c>
      <c r="B205" s="3">
        <v>45799</v>
      </c>
      <c r="C205" t="s">
        <v>37</v>
      </c>
      <c r="D205" t="s">
        <v>120</v>
      </c>
      <c r="E205" t="s">
        <v>51</v>
      </c>
      <c r="F205" t="s">
        <v>27</v>
      </c>
      <c r="G205" t="s">
        <v>40</v>
      </c>
      <c r="H205">
        <v>1</v>
      </c>
      <c r="I205">
        <v>809</v>
      </c>
      <c r="J205">
        <v>0.05</v>
      </c>
      <c r="K205">
        <v>768.55</v>
      </c>
      <c r="L205">
        <v>120.03</v>
      </c>
    </row>
    <row r="206" spans="1:12" x14ac:dyDescent="0.3">
      <c r="A206" t="s">
        <v>381</v>
      </c>
      <c r="B206" s="3">
        <v>45980</v>
      </c>
      <c r="C206" t="s">
        <v>382</v>
      </c>
      <c r="D206" t="s">
        <v>97</v>
      </c>
      <c r="E206" t="s">
        <v>44</v>
      </c>
      <c r="F206" t="s">
        <v>58</v>
      </c>
      <c r="G206" t="s">
        <v>59</v>
      </c>
      <c r="H206">
        <v>1</v>
      </c>
      <c r="I206">
        <v>675</v>
      </c>
      <c r="J206">
        <v>0.1</v>
      </c>
      <c r="K206">
        <v>607.5</v>
      </c>
      <c r="L206">
        <v>111.26</v>
      </c>
    </row>
    <row r="207" spans="1:12" x14ac:dyDescent="0.3">
      <c r="A207" t="s">
        <v>383</v>
      </c>
      <c r="B207" s="3">
        <v>45901</v>
      </c>
      <c r="C207" t="s">
        <v>136</v>
      </c>
      <c r="D207" t="s">
        <v>88</v>
      </c>
      <c r="E207" t="s">
        <v>73</v>
      </c>
      <c r="F207" t="s">
        <v>27</v>
      </c>
      <c r="G207" t="s">
        <v>28</v>
      </c>
      <c r="H207">
        <v>1</v>
      </c>
      <c r="I207">
        <v>565</v>
      </c>
      <c r="J207">
        <v>0</v>
      </c>
      <c r="K207">
        <v>565</v>
      </c>
      <c r="L207">
        <v>137.57</v>
      </c>
    </row>
    <row r="208" spans="1:12" x14ac:dyDescent="0.3">
      <c r="A208" t="s">
        <v>384</v>
      </c>
      <c r="B208" s="3">
        <v>45791</v>
      </c>
      <c r="C208" t="s">
        <v>382</v>
      </c>
      <c r="D208" t="s">
        <v>307</v>
      </c>
      <c r="E208" t="s">
        <v>73</v>
      </c>
      <c r="F208" t="s">
        <v>27</v>
      </c>
      <c r="G208" t="s">
        <v>40</v>
      </c>
      <c r="H208">
        <v>1</v>
      </c>
      <c r="I208">
        <v>158</v>
      </c>
      <c r="J208">
        <v>0.15</v>
      </c>
      <c r="K208">
        <v>134.30000000000001</v>
      </c>
      <c r="L208">
        <v>19.41</v>
      </c>
    </row>
    <row r="209" spans="1:12" x14ac:dyDescent="0.3">
      <c r="A209" t="s">
        <v>385</v>
      </c>
      <c r="B209" s="3">
        <v>45863</v>
      </c>
      <c r="C209" t="s">
        <v>354</v>
      </c>
      <c r="D209" t="s">
        <v>92</v>
      </c>
      <c r="E209" t="s">
        <v>51</v>
      </c>
      <c r="F209" t="s">
        <v>16</v>
      </c>
      <c r="G209" t="s">
        <v>104</v>
      </c>
      <c r="H209">
        <v>5</v>
      </c>
      <c r="I209">
        <v>19256</v>
      </c>
      <c r="J209">
        <v>0.15</v>
      </c>
      <c r="K209">
        <v>81838</v>
      </c>
      <c r="L209">
        <v>8716.15</v>
      </c>
    </row>
    <row r="210" spans="1:12" x14ac:dyDescent="0.3">
      <c r="A210" t="s">
        <v>386</v>
      </c>
      <c r="B210" s="3">
        <v>45767</v>
      </c>
      <c r="C210" t="s">
        <v>208</v>
      </c>
      <c r="D210" t="s">
        <v>30</v>
      </c>
      <c r="E210" t="s">
        <v>15</v>
      </c>
      <c r="F210" t="s">
        <v>27</v>
      </c>
      <c r="G210" t="s">
        <v>28</v>
      </c>
      <c r="H210">
        <v>4</v>
      </c>
      <c r="I210">
        <v>12379</v>
      </c>
      <c r="J210">
        <v>0.05</v>
      </c>
      <c r="K210">
        <v>47040.2</v>
      </c>
      <c r="L210">
        <v>12727.17</v>
      </c>
    </row>
    <row r="211" spans="1:12" x14ac:dyDescent="0.3">
      <c r="A211" t="s">
        <v>387</v>
      </c>
      <c r="B211" s="3">
        <v>45682</v>
      </c>
      <c r="C211" t="s">
        <v>33</v>
      </c>
      <c r="D211" t="s">
        <v>103</v>
      </c>
      <c r="E211" t="s">
        <v>51</v>
      </c>
      <c r="F211" t="s">
        <v>27</v>
      </c>
      <c r="G211" t="s">
        <v>28</v>
      </c>
      <c r="H211">
        <v>1</v>
      </c>
      <c r="I211">
        <v>1824</v>
      </c>
      <c r="J211">
        <v>0.15</v>
      </c>
      <c r="K211">
        <v>1550.4</v>
      </c>
      <c r="L211">
        <v>161.87</v>
      </c>
    </row>
    <row r="212" spans="1:12" x14ac:dyDescent="0.3">
      <c r="A212" t="s">
        <v>388</v>
      </c>
      <c r="B212" s="3">
        <v>45973</v>
      </c>
      <c r="C212" t="s">
        <v>389</v>
      </c>
      <c r="D212" t="s">
        <v>34</v>
      </c>
      <c r="E212" t="s">
        <v>15</v>
      </c>
      <c r="F212" t="s">
        <v>21</v>
      </c>
      <c r="G212" t="s">
        <v>55</v>
      </c>
      <c r="I212">
        <v>7006</v>
      </c>
      <c r="J212">
        <v>0</v>
      </c>
      <c r="K212">
        <v>21018</v>
      </c>
      <c r="L212">
        <v>4214.33</v>
      </c>
    </row>
    <row r="213" spans="1:12" x14ac:dyDescent="0.3">
      <c r="A213" t="s">
        <v>390</v>
      </c>
      <c r="B213" s="3">
        <v>45923</v>
      </c>
      <c r="C213" t="s">
        <v>391</v>
      </c>
      <c r="D213" t="s">
        <v>50</v>
      </c>
      <c r="E213" t="s">
        <v>51</v>
      </c>
      <c r="F213" t="s">
        <v>58</v>
      </c>
      <c r="G213" t="s">
        <v>59</v>
      </c>
      <c r="H213">
        <v>1</v>
      </c>
      <c r="I213">
        <v>2108</v>
      </c>
      <c r="J213">
        <v>0.15</v>
      </c>
      <c r="K213">
        <v>1791.8</v>
      </c>
      <c r="L213">
        <v>365.35</v>
      </c>
    </row>
    <row r="214" spans="1:12" x14ac:dyDescent="0.3">
      <c r="A214" t="s">
        <v>392</v>
      </c>
      <c r="B214" s="3">
        <v>45920</v>
      </c>
      <c r="C214" t="s">
        <v>234</v>
      </c>
      <c r="D214" t="s">
        <v>103</v>
      </c>
      <c r="E214" t="s">
        <v>51</v>
      </c>
      <c r="F214" t="s">
        <v>58</v>
      </c>
      <c r="G214" t="s">
        <v>69</v>
      </c>
      <c r="H214">
        <v>2</v>
      </c>
      <c r="I214">
        <v>1686</v>
      </c>
      <c r="J214">
        <v>0.1</v>
      </c>
      <c r="K214">
        <v>3034.8</v>
      </c>
      <c r="L214">
        <v>847.74</v>
      </c>
    </row>
    <row r="215" spans="1:12" x14ac:dyDescent="0.3">
      <c r="A215" t="s">
        <v>393</v>
      </c>
      <c r="B215" s="3">
        <v>45965</v>
      </c>
      <c r="C215" t="s">
        <v>394</v>
      </c>
      <c r="D215" t="s">
        <v>120</v>
      </c>
      <c r="E215" t="s">
        <v>51</v>
      </c>
      <c r="F215" t="s">
        <v>21</v>
      </c>
      <c r="G215" t="s">
        <v>35</v>
      </c>
      <c r="H215">
        <v>2</v>
      </c>
      <c r="I215">
        <v>1926</v>
      </c>
      <c r="J215">
        <v>0.15</v>
      </c>
      <c r="K215">
        <v>3274.2</v>
      </c>
      <c r="L215">
        <v>780.63</v>
      </c>
    </row>
    <row r="216" spans="1:12" x14ac:dyDescent="0.3">
      <c r="A216" t="s">
        <v>395</v>
      </c>
      <c r="B216" s="3">
        <v>45749</v>
      </c>
      <c r="C216" t="s">
        <v>260</v>
      </c>
      <c r="D216" t="s">
        <v>153</v>
      </c>
      <c r="E216" t="s">
        <v>26</v>
      </c>
      <c r="F216" t="s">
        <v>16</v>
      </c>
      <c r="G216" t="s">
        <v>17</v>
      </c>
      <c r="H216">
        <v>2</v>
      </c>
      <c r="I216">
        <v>3827</v>
      </c>
      <c r="J216">
        <v>0.05</v>
      </c>
      <c r="K216">
        <v>7271.3</v>
      </c>
      <c r="L216">
        <v>1983.35</v>
      </c>
    </row>
    <row r="217" spans="1:12" x14ac:dyDescent="0.3">
      <c r="A217" t="s">
        <v>396</v>
      </c>
      <c r="B217" s="3">
        <v>45736</v>
      </c>
      <c r="C217" t="s">
        <v>141</v>
      </c>
      <c r="D217" t="s">
        <v>103</v>
      </c>
      <c r="E217" t="s">
        <v>51</v>
      </c>
      <c r="F217" t="s">
        <v>27</v>
      </c>
      <c r="G217" t="s">
        <v>40</v>
      </c>
      <c r="H217">
        <v>2</v>
      </c>
      <c r="I217">
        <v>6512</v>
      </c>
      <c r="J217">
        <v>0</v>
      </c>
      <c r="K217">
        <v>13024</v>
      </c>
      <c r="L217">
        <v>2654.16</v>
      </c>
    </row>
    <row r="218" spans="1:12" x14ac:dyDescent="0.3">
      <c r="A218" t="s">
        <v>397</v>
      </c>
      <c r="B218" s="3">
        <v>45838</v>
      </c>
      <c r="C218" t="s">
        <v>398</v>
      </c>
      <c r="D218" t="s">
        <v>92</v>
      </c>
      <c r="E218" t="s">
        <v>51</v>
      </c>
      <c r="F218" t="s">
        <v>58</v>
      </c>
      <c r="G218" t="s">
        <v>126</v>
      </c>
      <c r="H218">
        <v>3</v>
      </c>
      <c r="I218">
        <v>24353</v>
      </c>
      <c r="J218">
        <v>0.1</v>
      </c>
      <c r="K218">
        <v>65753.100000000006</v>
      </c>
      <c r="L218">
        <v>6703.35</v>
      </c>
    </row>
    <row r="219" spans="1:12" x14ac:dyDescent="0.3">
      <c r="A219" t="s">
        <v>399</v>
      </c>
      <c r="B219" s="3">
        <v>45774</v>
      </c>
      <c r="C219" t="s">
        <v>223</v>
      </c>
      <c r="D219" t="s">
        <v>20</v>
      </c>
      <c r="E219" t="s">
        <v>15</v>
      </c>
      <c r="F219" t="s">
        <v>21</v>
      </c>
      <c r="G219" t="s">
        <v>22</v>
      </c>
      <c r="H219">
        <v>2</v>
      </c>
      <c r="I219">
        <v>6651</v>
      </c>
      <c r="J219">
        <v>0.05</v>
      </c>
      <c r="K219">
        <v>12636.9</v>
      </c>
      <c r="L219">
        <v>2874.53</v>
      </c>
    </row>
    <row r="220" spans="1:12" x14ac:dyDescent="0.3">
      <c r="A220" t="s">
        <v>400</v>
      </c>
      <c r="B220" s="3">
        <v>45770</v>
      </c>
      <c r="C220" t="s">
        <v>401</v>
      </c>
      <c r="D220" t="s">
        <v>68</v>
      </c>
      <c r="E220" t="s">
        <v>44</v>
      </c>
      <c r="F220" t="s">
        <v>58</v>
      </c>
      <c r="G220" t="s">
        <v>69</v>
      </c>
      <c r="H220">
        <v>5</v>
      </c>
      <c r="I220">
        <v>6679</v>
      </c>
      <c r="J220">
        <v>0.05</v>
      </c>
      <c r="K220">
        <v>31725.25</v>
      </c>
      <c r="L220">
        <v>6904.27</v>
      </c>
    </row>
    <row r="221" spans="1:12" x14ac:dyDescent="0.3">
      <c r="A221" t="s">
        <v>402</v>
      </c>
      <c r="B221" s="3">
        <v>45971</v>
      </c>
      <c r="C221" t="s">
        <v>403</v>
      </c>
      <c r="D221" t="s">
        <v>80</v>
      </c>
      <c r="E221" t="s">
        <v>51</v>
      </c>
      <c r="F221" t="s">
        <v>27</v>
      </c>
      <c r="G221" t="s">
        <v>40</v>
      </c>
      <c r="H221">
        <v>1</v>
      </c>
      <c r="I221">
        <v>76247</v>
      </c>
      <c r="J221">
        <v>0.15</v>
      </c>
      <c r="K221">
        <v>64809.95</v>
      </c>
      <c r="L221">
        <v>11606.84</v>
      </c>
    </row>
    <row r="222" spans="1:12" x14ac:dyDescent="0.3">
      <c r="A222" t="s">
        <v>404</v>
      </c>
      <c r="B222" s="3">
        <v>46000</v>
      </c>
      <c r="C222" t="s">
        <v>163</v>
      </c>
      <c r="D222" t="s">
        <v>43</v>
      </c>
      <c r="E222" t="s">
        <v>44</v>
      </c>
      <c r="F222" t="s">
        <v>58</v>
      </c>
      <c r="G222" t="s">
        <v>59</v>
      </c>
      <c r="H222">
        <v>2</v>
      </c>
      <c r="I222">
        <v>480</v>
      </c>
      <c r="J222">
        <v>0.15</v>
      </c>
      <c r="K222">
        <v>816</v>
      </c>
      <c r="L222">
        <v>148.87</v>
      </c>
    </row>
    <row r="223" spans="1:12" x14ac:dyDescent="0.3">
      <c r="A223" t="s">
        <v>405</v>
      </c>
      <c r="B223" s="3">
        <v>45766</v>
      </c>
      <c r="C223" t="s">
        <v>116</v>
      </c>
      <c r="D223" t="s">
        <v>80</v>
      </c>
      <c r="E223" t="s">
        <v>51</v>
      </c>
      <c r="F223" t="s">
        <v>16</v>
      </c>
      <c r="G223" t="s">
        <v>17</v>
      </c>
      <c r="H223">
        <v>3</v>
      </c>
      <c r="I223">
        <v>49215</v>
      </c>
      <c r="J223">
        <v>0</v>
      </c>
      <c r="K223">
        <v>147645</v>
      </c>
      <c r="L223">
        <v>26829.439999999999</v>
      </c>
    </row>
    <row r="224" spans="1:12" x14ac:dyDescent="0.3">
      <c r="A224" t="s">
        <v>406</v>
      </c>
      <c r="B224" s="3">
        <v>45868</v>
      </c>
      <c r="C224" t="s">
        <v>407</v>
      </c>
      <c r="D224" t="s">
        <v>65</v>
      </c>
      <c r="E224" t="s">
        <v>26</v>
      </c>
      <c r="F224" t="s">
        <v>16</v>
      </c>
      <c r="G224" t="s">
        <v>17</v>
      </c>
      <c r="H224">
        <v>2</v>
      </c>
      <c r="I224">
        <v>1811</v>
      </c>
      <c r="J224">
        <v>0</v>
      </c>
      <c r="K224">
        <v>3622</v>
      </c>
      <c r="L224">
        <v>361.04</v>
      </c>
    </row>
    <row r="225" spans="1:12" x14ac:dyDescent="0.3">
      <c r="A225" t="s">
        <v>408</v>
      </c>
      <c r="B225" s="3">
        <v>45695</v>
      </c>
      <c r="C225" t="s">
        <v>54</v>
      </c>
      <c r="D225" t="s">
        <v>43</v>
      </c>
      <c r="E225" t="s">
        <v>44</v>
      </c>
      <c r="F225" t="s">
        <v>21</v>
      </c>
      <c r="G225" t="s">
        <v>55</v>
      </c>
      <c r="H225">
        <v>1</v>
      </c>
      <c r="I225">
        <v>918</v>
      </c>
      <c r="J225">
        <v>0.2</v>
      </c>
      <c r="K225">
        <v>734.4</v>
      </c>
      <c r="L225">
        <v>173.68</v>
      </c>
    </row>
    <row r="226" spans="1:12" x14ac:dyDescent="0.3">
      <c r="A226" t="s">
        <v>409</v>
      </c>
      <c r="B226" s="3">
        <v>45706</v>
      </c>
      <c r="C226" t="s">
        <v>100</v>
      </c>
      <c r="D226" t="s">
        <v>25</v>
      </c>
      <c r="E226" t="s">
        <v>26</v>
      </c>
      <c r="F226" t="s">
        <v>16</v>
      </c>
      <c r="G226" t="s">
        <v>104</v>
      </c>
      <c r="H226">
        <v>1</v>
      </c>
      <c r="I226">
        <v>9129</v>
      </c>
      <c r="J226">
        <v>0</v>
      </c>
      <c r="K226">
        <v>9129</v>
      </c>
      <c r="L226">
        <v>2482.77</v>
      </c>
    </row>
    <row r="227" spans="1:12" x14ac:dyDescent="0.3">
      <c r="A227" t="s">
        <v>410</v>
      </c>
      <c r="B227" s="3">
        <v>45821</v>
      </c>
      <c r="C227" t="s">
        <v>39</v>
      </c>
      <c r="D227" t="s">
        <v>92</v>
      </c>
      <c r="E227" t="s">
        <v>51</v>
      </c>
      <c r="F227" t="s">
        <v>27</v>
      </c>
      <c r="G227" t="s">
        <v>28</v>
      </c>
      <c r="H227">
        <v>1</v>
      </c>
      <c r="I227">
        <v>24680</v>
      </c>
      <c r="J227">
        <v>0.1</v>
      </c>
      <c r="K227">
        <v>22212</v>
      </c>
      <c r="L227">
        <v>4364.3100000000004</v>
      </c>
    </row>
    <row r="228" spans="1:12" x14ac:dyDescent="0.3">
      <c r="A228" t="s">
        <v>411</v>
      </c>
      <c r="B228" s="3">
        <v>45668</v>
      </c>
      <c r="C228" t="s">
        <v>412</v>
      </c>
      <c r="D228" t="s">
        <v>65</v>
      </c>
      <c r="E228" t="s">
        <v>26</v>
      </c>
      <c r="F228" t="s">
        <v>21</v>
      </c>
      <c r="G228" t="s">
        <v>55</v>
      </c>
      <c r="H228">
        <v>1</v>
      </c>
      <c r="I228">
        <v>1566</v>
      </c>
      <c r="J228">
        <v>0.1</v>
      </c>
      <c r="K228">
        <v>1409.4</v>
      </c>
      <c r="L228">
        <v>139.53</v>
      </c>
    </row>
    <row r="229" spans="1:12" x14ac:dyDescent="0.3">
      <c r="A229" t="s">
        <v>413</v>
      </c>
      <c r="B229" s="3">
        <v>45935</v>
      </c>
      <c r="C229" t="s">
        <v>77</v>
      </c>
      <c r="D229" t="s">
        <v>25</v>
      </c>
      <c r="E229" t="s">
        <v>26</v>
      </c>
      <c r="F229" t="s">
        <v>58</v>
      </c>
      <c r="G229" t="s">
        <v>69</v>
      </c>
      <c r="H229">
        <v>1</v>
      </c>
      <c r="I229">
        <v>17140</v>
      </c>
      <c r="J229">
        <v>0.1</v>
      </c>
      <c r="K229">
        <v>15426</v>
      </c>
      <c r="L229">
        <v>2764.49</v>
      </c>
    </row>
    <row r="230" spans="1:12" x14ac:dyDescent="0.3">
      <c r="A230" t="s">
        <v>414</v>
      </c>
      <c r="B230" s="3">
        <v>45776</v>
      </c>
      <c r="C230" t="s">
        <v>415</v>
      </c>
      <c r="D230" t="s">
        <v>153</v>
      </c>
      <c r="E230" t="s">
        <v>26</v>
      </c>
      <c r="F230" t="s">
        <v>27</v>
      </c>
      <c r="G230" t="s">
        <v>40</v>
      </c>
      <c r="H230">
        <v>4</v>
      </c>
      <c r="I230">
        <v>4438</v>
      </c>
      <c r="J230">
        <v>0.1</v>
      </c>
      <c r="K230">
        <v>15976.8</v>
      </c>
      <c r="L230">
        <v>3310.62</v>
      </c>
    </row>
    <row r="231" spans="1:12" x14ac:dyDescent="0.3">
      <c r="A231" t="s">
        <v>416</v>
      </c>
      <c r="B231" s="3">
        <v>45792</v>
      </c>
      <c r="C231" t="s">
        <v>125</v>
      </c>
      <c r="D231" t="s">
        <v>68</v>
      </c>
      <c r="E231" t="s">
        <v>44</v>
      </c>
      <c r="F231" t="s">
        <v>21</v>
      </c>
      <c r="G231" t="s">
        <v>55</v>
      </c>
      <c r="H231">
        <v>1</v>
      </c>
      <c r="I231">
        <v>2134</v>
      </c>
      <c r="J231">
        <v>0.05</v>
      </c>
      <c r="K231">
        <v>2027.3</v>
      </c>
      <c r="L231">
        <v>467.57</v>
      </c>
    </row>
    <row r="232" spans="1:12" x14ac:dyDescent="0.3">
      <c r="A232" t="s">
        <v>417</v>
      </c>
      <c r="B232" s="3">
        <v>45915</v>
      </c>
      <c r="C232" t="s">
        <v>389</v>
      </c>
      <c r="D232" t="s">
        <v>97</v>
      </c>
      <c r="E232" t="s">
        <v>44</v>
      </c>
      <c r="F232" t="s">
        <v>58</v>
      </c>
      <c r="G232" t="s">
        <v>69</v>
      </c>
      <c r="H232">
        <v>1</v>
      </c>
      <c r="I232">
        <v>940</v>
      </c>
      <c r="J232">
        <v>0.15</v>
      </c>
      <c r="K232">
        <v>799</v>
      </c>
      <c r="L232">
        <v>98.04</v>
      </c>
    </row>
    <row r="233" spans="1:12" x14ac:dyDescent="0.3">
      <c r="A233" t="s">
        <v>418</v>
      </c>
      <c r="B233" s="3">
        <v>45846</v>
      </c>
      <c r="C233" t="s">
        <v>376</v>
      </c>
      <c r="D233" t="s">
        <v>97</v>
      </c>
      <c r="E233" t="s">
        <v>44</v>
      </c>
      <c r="F233" t="s">
        <v>27</v>
      </c>
      <c r="G233" t="s">
        <v>31</v>
      </c>
      <c r="H233">
        <v>3</v>
      </c>
      <c r="I233">
        <v>831</v>
      </c>
      <c r="J233">
        <v>0</v>
      </c>
      <c r="K233">
        <v>2493</v>
      </c>
      <c r="L233">
        <v>275.01</v>
      </c>
    </row>
    <row r="234" spans="1:12" x14ac:dyDescent="0.3">
      <c r="A234" t="s">
        <v>419</v>
      </c>
      <c r="B234" s="3">
        <v>45768</v>
      </c>
      <c r="C234" t="s">
        <v>71</v>
      </c>
      <c r="D234" t="s">
        <v>202</v>
      </c>
      <c r="E234" t="s">
        <v>44</v>
      </c>
      <c r="F234" t="s">
        <v>58</v>
      </c>
      <c r="G234" t="s">
        <v>126</v>
      </c>
      <c r="H234">
        <v>1</v>
      </c>
      <c r="I234">
        <v>2351</v>
      </c>
      <c r="J234">
        <v>0.15</v>
      </c>
      <c r="K234">
        <v>1998.35</v>
      </c>
      <c r="L234">
        <v>456.31</v>
      </c>
    </row>
    <row r="235" spans="1:12" x14ac:dyDescent="0.3">
      <c r="A235" t="s">
        <v>420</v>
      </c>
      <c r="B235" s="3">
        <v>46011</v>
      </c>
      <c r="C235" t="s">
        <v>421</v>
      </c>
      <c r="D235" t="s">
        <v>43</v>
      </c>
      <c r="E235" t="s">
        <v>44</v>
      </c>
      <c r="F235" t="s">
        <v>16</v>
      </c>
      <c r="G235" t="s">
        <v>104</v>
      </c>
      <c r="H235">
        <v>1</v>
      </c>
      <c r="I235">
        <v>966</v>
      </c>
      <c r="J235">
        <v>0.15</v>
      </c>
      <c r="K235">
        <v>821.1</v>
      </c>
      <c r="L235">
        <v>166.85</v>
      </c>
    </row>
    <row r="236" spans="1:12" x14ac:dyDescent="0.3">
      <c r="A236" t="s">
        <v>422</v>
      </c>
      <c r="B236" s="3">
        <v>45743</v>
      </c>
      <c r="C236" t="s">
        <v>197</v>
      </c>
      <c r="D236" t="s">
        <v>72</v>
      </c>
      <c r="E236" t="s">
        <v>73</v>
      </c>
      <c r="F236" t="s">
        <v>58</v>
      </c>
      <c r="G236" t="s">
        <v>126</v>
      </c>
      <c r="H236">
        <v>3</v>
      </c>
      <c r="I236">
        <v>1048</v>
      </c>
      <c r="J236">
        <v>0.15</v>
      </c>
      <c r="K236">
        <v>2672.4</v>
      </c>
      <c r="L236">
        <v>219.69</v>
      </c>
    </row>
    <row r="237" spans="1:12" x14ac:dyDescent="0.3">
      <c r="A237" t="s">
        <v>423</v>
      </c>
      <c r="B237" s="3">
        <v>45900</v>
      </c>
      <c r="C237" t="s">
        <v>145</v>
      </c>
      <c r="D237" t="s">
        <v>97</v>
      </c>
      <c r="E237" t="s">
        <v>44</v>
      </c>
      <c r="F237" t="s">
        <v>21</v>
      </c>
      <c r="G237" t="s">
        <v>22</v>
      </c>
      <c r="H237">
        <v>3</v>
      </c>
      <c r="I237">
        <v>697</v>
      </c>
      <c r="J237">
        <v>0.1</v>
      </c>
      <c r="K237">
        <v>1881.9</v>
      </c>
      <c r="L237">
        <v>197.49</v>
      </c>
    </row>
    <row r="238" spans="1:12" x14ac:dyDescent="0.3">
      <c r="A238" t="s">
        <v>424</v>
      </c>
      <c r="B238" s="3">
        <v>45884</v>
      </c>
      <c r="C238" t="s">
        <v>346</v>
      </c>
      <c r="D238" t="s">
        <v>20</v>
      </c>
      <c r="E238" t="s">
        <v>15</v>
      </c>
      <c r="F238" t="s">
        <v>27</v>
      </c>
      <c r="G238" t="s">
        <v>40</v>
      </c>
      <c r="H238">
        <v>1</v>
      </c>
      <c r="I238">
        <v>12293</v>
      </c>
      <c r="J238">
        <v>0</v>
      </c>
      <c r="K238">
        <v>12293</v>
      </c>
      <c r="L238">
        <v>1421.99</v>
      </c>
    </row>
    <row r="239" spans="1:12" x14ac:dyDescent="0.3">
      <c r="A239" t="s">
        <v>425</v>
      </c>
      <c r="B239" s="3">
        <v>45677</v>
      </c>
      <c r="C239" t="s">
        <v>156</v>
      </c>
      <c r="D239" t="s">
        <v>120</v>
      </c>
      <c r="E239" t="s">
        <v>51</v>
      </c>
      <c r="F239" t="s">
        <v>58</v>
      </c>
      <c r="G239" t="s">
        <v>126</v>
      </c>
      <c r="H239">
        <v>1</v>
      </c>
      <c r="I239">
        <v>1974</v>
      </c>
      <c r="J239">
        <v>0.1</v>
      </c>
      <c r="K239">
        <v>1776.6</v>
      </c>
      <c r="L239">
        <v>399.17</v>
      </c>
    </row>
    <row r="240" spans="1:12" x14ac:dyDescent="0.3">
      <c r="A240" t="s">
        <v>426</v>
      </c>
      <c r="B240" s="3">
        <v>45681</v>
      </c>
      <c r="C240" t="s">
        <v>427</v>
      </c>
      <c r="D240" t="s">
        <v>120</v>
      </c>
      <c r="E240" t="s">
        <v>51</v>
      </c>
      <c r="F240" t="s">
        <v>21</v>
      </c>
      <c r="G240" t="s">
        <v>55</v>
      </c>
      <c r="H240">
        <v>2</v>
      </c>
      <c r="I240">
        <v>1849</v>
      </c>
      <c r="J240">
        <v>0.05</v>
      </c>
      <c r="K240">
        <v>3513.1</v>
      </c>
      <c r="L240">
        <v>860.74</v>
      </c>
    </row>
    <row r="241" spans="1:12" x14ac:dyDescent="0.3">
      <c r="A241" t="s">
        <v>428</v>
      </c>
      <c r="B241" s="3">
        <v>45733</v>
      </c>
      <c r="C241" t="s">
        <v>429</v>
      </c>
      <c r="D241" t="s">
        <v>153</v>
      </c>
      <c r="E241" t="s">
        <v>26</v>
      </c>
      <c r="F241" t="s">
        <v>27</v>
      </c>
      <c r="G241" t="s">
        <v>28</v>
      </c>
      <c r="H241">
        <v>3</v>
      </c>
      <c r="I241">
        <v>7808</v>
      </c>
      <c r="J241">
        <v>0.15</v>
      </c>
      <c r="K241">
        <v>19910.400000000001</v>
      </c>
      <c r="L241">
        <v>3652.64</v>
      </c>
    </row>
    <row r="242" spans="1:12" x14ac:dyDescent="0.3">
      <c r="A242" t="s">
        <v>430</v>
      </c>
      <c r="B242" s="3">
        <v>45840</v>
      </c>
      <c r="C242" t="s">
        <v>174</v>
      </c>
      <c r="D242" t="s">
        <v>34</v>
      </c>
      <c r="E242" t="s">
        <v>15</v>
      </c>
      <c r="F242" t="s">
        <v>16</v>
      </c>
      <c r="G242" t="s">
        <v>52</v>
      </c>
      <c r="H242">
        <v>1</v>
      </c>
      <c r="I242">
        <v>13686</v>
      </c>
      <c r="J242">
        <v>0</v>
      </c>
      <c r="K242">
        <v>13686</v>
      </c>
      <c r="L242">
        <v>3288.38</v>
      </c>
    </row>
    <row r="243" spans="1:12" x14ac:dyDescent="0.3">
      <c r="A243" t="s">
        <v>431</v>
      </c>
      <c r="B243" s="3">
        <v>45818</v>
      </c>
      <c r="C243" t="s">
        <v>174</v>
      </c>
      <c r="D243" t="s">
        <v>43</v>
      </c>
      <c r="E243" t="s">
        <v>44</v>
      </c>
      <c r="F243" t="s">
        <v>27</v>
      </c>
      <c r="G243" t="s">
        <v>28</v>
      </c>
      <c r="H243">
        <v>2</v>
      </c>
      <c r="I243">
        <v>1063</v>
      </c>
      <c r="J243">
        <v>0.15</v>
      </c>
      <c r="K243">
        <v>1807.1</v>
      </c>
      <c r="L243">
        <v>187.34</v>
      </c>
    </row>
    <row r="244" spans="1:12" x14ac:dyDescent="0.3">
      <c r="A244" t="s">
        <v>432</v>
      </c>
      <c r="B244" s="3">
        <v>45747</v>
      </c>
      <c r="C244" t="s">
        <v>187</v>
      </c>
      <c r="D244" t="s">
        <v>202</v>
      </c>
      <c r="E244" t="s">
        <v>44</v>
      </c>
      <c r="F244" t="s">
        <v>16</v>
      </c>
      <c r="G244" t="s">
        <v>52</v>
      </c>
      <c r="H244">
        <v>2</v>
      </c>
      <c r="I244">
        <v>1380</v>
      </c>
      <c r="J244">
        <v>0.05</v>
      </c>
      <c r="K244">
        <v>2622</v>
      </c>
      <c r="L244">
        <v>385.18</v>
      </c>
    </row>
    <row r="245" spans="1:12" x14ac:dyDescent="0.3">
      <c r="A245" t="s">
        <v>433</v>
      </c>
      <c r="B245" s="3">
        <v>46022</v>
      </c>
      <c r="C245" t="s">
        <v>368</v>
      </c>
      <c r="D245" t="s">
        <v>103</v>
      </c>
      <c r="E245" t="s">
        <v>51</v>
      </c>
      <c r="F245" t="s">
        <v>27</v>
      </c>
      <c r="G245" t="s">
        <v>28</v>
      </c>
      <c r="H245">
        <v>3</v>
      </c>
      <c r="I245">
        <v>1638</v>
      </c>
      <c r="J245">
        <v>0.15</v>
      </c>
      <c r="K245">
        <v>4176.8999999999996</v>
      </c>
      <c r="L245">
        <v>522.55999999999995</v>
      </c>
    </row>
    <row r="246" spans="1:12" x14ac:dyDescent="0.3">
      <c r="A246" t="s">
        <v>434</v>
      </c>
      <c r="B246" s="3">
        <v>45731</v>
      </c>
      <c r="C246" t="s">
        <v>276</v>
      </c>
      <c r="D246" t="s">
        <v>97</v>
      </c>
      <c r="E246" t="s">
        <v>44</v>
      </c>
      <c r="F246" t="s">
        <v>21</v>
      </c>
      <c r="G246" t="s">
        <v>35</v>
      </c>
      <c r="H246">
        <v>4</v>
      </c>
      <c r="I246">
        <v>921</v>
      </c>
      <c r="J246">
        <v>0.1</v>
      </c>
      <c r="K246">
        <v>3315.6</v>
      </c>
      <c r="L246">
        <v>298.3</v>
      </c>
    </row>
    <row r="247" spans="1:12" x14ac:dyDescent="0.3">
      <c r="A247" t="s">
        <v>435</v>
      </c>
      <c r="B247" s="3">
        <v>45757</v>
      </c>
      <c r="C247" t="s">
        <v>436</v>
      </c>
      <c r="D247" t="s">
        <v>47</v>
      </c>
      <c r="E247" t="s">
        <v>26</v>
      </c>
      <c r="F247" t="s">
        <v>21</v>
      </c>
      <c r="G247" t="s">
        <v>35</v>
      </c>
      <c r="H247">
        <v>3</v>
      </c>
      <c r="I247">
        <v>9384</v>
      </c>
      <c r="J247">
        <v>0.1</v>
      </c>
      <c r="K247">
        <v>25336.799999999999</v>
      </c>
      <c r="L247">
        <v>2712.83</v>
      </c>
    </row>
    <row r="248" spans="1:12" x14ac:dyDescent="0.3">
      <c r="A248" t="s">
        <v>437</v>
      </c>
      <c r="B248" s="3">
        <v>46021</v>
      </c>
      <c r="C248" t="s">
        <v>159</v>
      </c>
      <c r="D248" t="s">
        <v>97</v>
      </c>
      <c r="E248" t="s">
        <v>44</v>
      </c>
      <c r="F248" t="s">
        <v>21</v>
      </c>
      <c r="G248" t="s">
        <v>35</v>
      </c>
      <c r="H248">
        <v>1</v>
      </c>
      <c r="I248">
        <v>284</v>
      </c>
      <c r="J248">
        <v>0.05</v>
      </c>
      <c r="K248">
        <v>269.8</v>
      </c>
      <c r="L248">
        <v>36.46</v>
      </c>
    </row>
    <row r="249" spans="1:12" x14ac:dyDescent="0.3">
      <c r="A249" t="s">
        <v>438</v>
      </c>
      <c r="B249" s="3">
        <v>45727</v>
      </c>
      <c r="C249" t="s">
        <v>187</v>
      </c>
      <c r="D249" t="s">
        <v>92</v>
      </c>
      <c r="E249" t="s">
        <v>51</v>
      </c>
      <c r="F249" t="s">
        <v>58</v>
      </c>
      <c r="G249" t="s">
        <v>126</v>
      </c>
      <c r="H249">
        <v>1</v>
      </c>
      <c r="I249">
        <v>16801</v>
      </c>
      <c r="J249">
        <v>0</v>
      </c>
      <c r="K249">
        <v>16801</v>
      </c>
      <c r="L249">
        <v>1554.61</v>
      </c>
    </row>
    <row r="250" spans="1:12" x14ac:dyDescent="0.3">
      <c r="A250" t="s">
        <v>439</v>
      </c>
      <c r="B250" s="3">
        <v>45664</v>
      </c>
      <c r="C250" t="s">
        <v>440</v>
      </c>
      <c r="D250" t="s">
        <v>120</v>
      </c>
      <c r="E250" t="s">
        <v>51</v>
      </c>
      <c r="F250" t="s">
        <v>27</v>
      </c>
      <c r="G250" t="s">
        <v>28</v>
      </c>
      <c r="H250">
        <v>1</v>
      </c>
      <c r="I250">
        <v>826</v>
      </c>
      <c r="J250">
        <v>0.15</v>
      </c>
      <c r="K250">
        <v>702.1</v>
      </c>
      <c r="L250">
        <v>133.16</v>
      </c>
    </row>
    <row r="251" spans="1:12" x14ac:dyDescent="0.3">
      <c r="A251" t="s">
        <v>441</v>
      </c>
      <c r="B251" s="3">
        <v>45799</v>
      </c>
      <c r="C251" t="s">
        <v>246</v>
      </c>
      <c r="D251" t="s">
        <v>97</v>
      </c>
      <c r="E251" t="s">
        <v>44</v>
      </c>
      <c r="F251" t="s">
        <v>27</v>
      </c>
      <c r="G251" t="s">
        <v>40</v>
      </c>
      <c r="H251">
        <v>3</v>
      </c>
      <c r="I251">
        <v>1182</v>
      </c>
      <c r="J251">
        <v>0.05</v>
      </c>
      <c r="K251">
        <v>3368.7</v>
      </c>
      <c r="L251">
        <v>710.24</v>
      </c>
    </row>
    <row r="252" spans="1:12" x14ac:dyDescent="0.3">
      <c r="A252" t="s">
        <v>442</v>
      </c>
      <c r="B252" s="3">
        <v>45998</v>
      </c>
      <c r="C252" t="s">
        <v>189</v>
      </c>
      <c r="D252" t="s">
        <v>153</v>
      </c>
      <c r="E252" t="s">
        <v>26</v>
      </c>
      <c r="F252" t="s">
        <v>16</v>
      </c>
      <c r="G252" t="s">
        <v>52</v>
      </c>
      <c r="H252">
        <v>2</v>
      </c>
      <c r="I252">
        <v>5121</v>
      </c>
      <c r="J252">
        <v>0</v>
      </c>
      <c r="K252">
        <v>10242</v>
      </c>
      <c r="L252">
        <v>1129.17</v>
      </c>
    </row>
    <row r="253" spans="1:12" x14ac:dyDescent="0.3">
      <c r="A253" t="s">
        <v>443</v>
      </c>
      <c r="B253" s="3">
        <v>45718</v>
      </c>
      <c r="C253" t="s">
        <v>234</v>
      </c>
      <c r="D253" t="s">
        <v>80</v>
      </c>
      <c r="E253" t="s">
        <v>51</v>
      </c>
      <c r="F253" t="s">
        <v>58</v>
      </c>
      <c r="G253" t="s">
        <v>126</v>
      </c>
      <c r="H253">
        <v>4</v>
      </c>
      <c r="I253">
        <v>73913</v>
      </c>
      <c r="J253">
        <v>0</v>
      </c>
      <c r="K253">
        <v>295652</v>
      </c>
      <c r="L253">
        <v>65506.73</v>
      </c>
    </row>
    <row r="254" spans="1:12" x14ac:dyDescent="0.3">
      <c r="A254" t="s">
        <v>444</v>
      </c>
      <c r="B254" s="3">
        <v>45722</v>
      </c>
      <c r="C254" t="s">
        <v>363</v>
      </c>
      <c r="D254" t="s">
        <v>25</v>
      </c>
      <c r="E254" t="s">
        <v>26</v>
      </c>
      <c r="F254" t="s">
        <v>27</v>
      </c>
      <c r="G254" t="s">
        <v>40</v>
      </c>
      <c r="H254">
        <v>2</v>
      </c>
      <c r="I254">
        <v>7692</v>
      </c>
      <c r="J254">
        <v>0.1</v>
      </c>
      <c r="K254">
        <v>13845.6</v>
      </c>
      <c r="L254">
        <v>1706.03</v>
      </c>
    </row>
    <row r="255" spans="1:12" x14ac:dyDescent="0.3">
      <c r="A255" t="s">
        <v>445</v>
      </c>
      <c r="B255" s="3">
        <v>45824</v>
      </c>
      <c r="C255" t="s">
        <v>295</v>
      </c>
      <c r="D255" t="s">
        <v>65</v>
      </c>
      <c r="E255" t="s">
        <v>26</v>
      </c>
      <c r="F255" t="s">
        <v>16</v>
      </c>
      <c r="G255" t="s">
        <v>52</v>
      </c>
      <c r="H255">
        <v>2</v>
      </c>
      <c r="I255">
        <v>1406</v>
      </c>
      <c r="J255">
        <v>0.1</v>
      </c>
      <c r="K255">
        <v>2530.8000000000002</v>
      </c>
      <c r="L255">
        <v>610.63</v>
      </c>
    </row>
    <row r="256" spans="1:12" x14ac:dyDescent="0.3">
      <c r="A256" t="s">
        <v>446</v>
      </c>
      <c r="B256" s="3">
        <v>45689</v>
      </c>
      <c r="C256" t="s">
        <v>440</v>
      </c>
      <c r="D256" t="s">
        <v>202</v>
      </c>
      <c r="E256" t="s">
        <v>44</v>
      </c>
      <c r="F256" t="s">
        <v>16</v>
      </c>
      <c r="G256" t="s">
        <v>52</v>
      </c>
      <c r="H256">
        <v>1</v>
      </c>
      <c r="I256">
        <v>1328</v>
      </c>
      <c r="J256">
        <v>0.05</v>
      </c>
      <c r="K256">
        <v>1261.5999999999999</v>
      </c>
      <c r="L256">
        <v>291.87</v>
      </c>
    </row>
    <row r="257" spans="1:12" x14ac:dyDescent="0.3">
      <c r="A257" t="s">
        <v>447</v>
      </c>
      <c r="B257" s="3">
        <v>45773</v>
      </c>
      <c r="C257" t="s">
        <v>448</v>
      </c>
      <c r="D257" t="s">
        <v>103</v>
      </c>
      <c r="E257" t="s">
        <v>51</v>
      </c>
      <c r="F257" t="s">
        <v>16</v>
      </c>
      <c r="G257" t="s">
        <v>104</v>
      </c>
      <c r="H257">
        <v>4</v>
      </c>
      <c r="I257">
        <v>3063</v>
      </c>
      <c r="J257">
        <v>0.05</v>
      </c>
      <c r="K257">
        <v>11639.4</v>
      </c>
      <c r="L257">
        <v>3224.09</v>
      </c>
    </row>
    <row r="258" spans="1:12" x14ac:dyDescent="0.3">
      <c r="A258" t="s">
        <v>449</v>
      </c>
      <c r="B258" s="3">
        <v>45701</v>
      </c>
      <c r="C258" t="s">
        <v>125</v>
      </c>
      <c r="D258" t="s">
        <v>25</v>
      </c>
      <c r="E258" t="s">
        <v>26</v>
      </c>
      <c r="F258" t="s">
        <v>58</v>
      </c>
      <c r="G258" t="s">
        <v>69</v>
      </c>
      <c r="H258">
        <v>2</v>
      </c>
      <c r="I258">
        <v>11974</v>
      </c>
      <c r="J258">
        <v>0</v>
      </c>
      <c r="K258">
        <v>23948</v>
      </c>
      <c r="L258">
        <v>5061.55</v>
      </c>
    </row>
    <row r="259" spans="1:12" x14ac:dyDescent="0.3">
      <c r="A259" t="s">
        <v>450</v>
      </c>
      <c r="B259" s="3">
        <v>45964</v>
      </c>
      <c r="C259" t="s">
        <v>451</v>
      </c>
      <c r="D259" t="s">
        <v>30</v>
      </c>
      <c r="E259" t="s">
        <v>15</v>
      </c>
      <c r="F259" t="s">
        <v>16</v>
      </c>
      <c r="G259" t="s">
        <v>52</v>
      </c>
      <c r="H259">
        <v>1</v>
      </c>
      <c r="I259">
        <v>6274</v>
      </c>
      <c r="J259">
        <v>0</v>
      </c>
      <c r="K259">
        <v>6274</v>
      </c>
      <c r="L259">
        <v>949.47</v>
      </c>
    </row>
    <row r="260" spans="1:12" x14ac:dyDescent="0.3">
      <c r="A260" t="s">
        <v>452</v>
      </c>
      <c r="B260" s="3">
        <v>45704</v>
      </c>
      <c r="C260" t="s">
        <v>328</v>
      </c>
      <c r="D260" t="s">
        <v>47</v>
      </c>
      <c r="E260" t="s">
        <v>26</v>
      </c>
      <c r="F260" t="s">
        <v>21</v>
      </c>
      <c r="G260" t="s">
        <v>22</v>
      </c>
      <c r="H260">
        <v>1</v>
      </c>
      <c r="I260">
        <v>20454</v>
      </c>
      <c r="J260">
        <v>0.1</v>
      </c>
      <c r="K260">
        <v>18408.599999999999</v>
      </c>
      <c r="L260">
        <v>3120.64</v>
      </c>
    </row>
    <row r="261" spans="1:12" x14ac:dyDescent="0.3">
      <c r="A261" t="s">
        <v>453</v>
      </c>
      <c r="B261" s="3">
        <v>45940</v>
      </c>
      <c r="C261" t="s">
        <v>403</v>
      </c>
      <c r="D261" t="s">
        <v>50</v>
      </c>
      <c r="E261" t="s">
        <v>51</v>
      </c>
      <c r="F261" t="s">
        <v>58</v>
      </c>
      <c r="G261" t="s">
        <v>59</v>
      </c>
      <c r="H261">
        <v>1</v>
      </c>
      <c r="I261">
        <v>3456</v>
      </c>
      <c r="J261">
        <v>0</v>
      </c>
      <c r="K261">
        <v>3456</v>
      </c>
      <c r="L261">
        <v>416.11</v>
      </c>
    </row>
    <row r="262" spans="1:12" x14ac:dyDescent="0.3">
      <c r="A262" t="s">
        <v>454</v>
      </c>
      <c r="B262" s="3">
        <v>45758</v>
      </c>
      <c r="C262" t="s">
        <v>328</v>
      </c>
      <c r="D262" t="s">
        <v>43</v>
      </c>
      <c r="E262" t="s">
        <v>44</v>
      </c>
      <c r="F262" t="s">
        <v>21</v>
      </c>
      <c r="G262" t="s">
        <v>22</v>
      </c>
      <c r="H262">
        <v>2</v>
      </c>
      <c r="I262">
        <v>1038</v>
      </c>
      <c r="J262">
        <v>0</v>
      </c>
      <c r="K262">
        <v>2076</v>
      </c>
      <c r="L262">
        <v>532.46</v>
      </c>
    </row>
    <row r="263" spans="1:12" x14ac:dyDescent="0.3">
      <c r="A263" t="s">
        <v>455</v>
      </c>
      <c r="B263" s="3">
        <v>45720</v>
      </c>
      <c r="C263" t="s">
        <v>456</v>
      </c>
      <c r="D263" t="s">
        <v>88</v>
      </c>
      <c r="E263" t="s">
        <v>73</v>
      </c>
      <c r="F263" t="s">
        <v>21</v>
      </c>
      <c r="G263" t="s">
        <v>35</v>
      </c>
      <c r="H263">
        <v>2</v>
      </c>
      <c r="I263">
        <v>161</v>
      </c>
      <c r="J263">
        <v>0.15</v>
      </c>
      <c r="K263">
        <v>273.7</v>
      </c>
      <c r="L263">
        <v>39.58</v>
      </c>
    </row>
    <row r="264" spans="1:12" x14ac:dyDescent="0.3">
      <c r="A264" t="s">
        <v>457</v>
      </c>
      <c r="B264" s="3">
        <v>45785</v>
      </c>
      <c r="C264" t="s">
        <v>458</v>
      </c>
      <c r="D264" t="s">
        <v>202</v>
      </c>
      <c r="E264" t="s">
        <v>44</v>
      </c>
      <c r="F264" t="s">
        <v>16</v>
      </c>
      <c r="G264" t="s">
        <v>17</v>
      </c>
      <c r="H264">
        <v>1</v>
      </c>
      <c r="I264">
        <v>2355</v>
      </c>
      <c r="J264">
        <v>0.1</v>
      </c>
      <c r="K264">
        <v>2119.5</v>
      </c>
      <c r="L264">
        <v>474.49</v>
      </c>
    </row>
    <row r="265" spans="1:12" x14ac:dyDescent="0.3">
      <c r="A265" t="s">
        <v>459</v>
      </c>
      <c r="B265" s="3">
        <v>45922</v>
      </c>
      <c r="C265" t="s">
        <v>398</v>
      </c>
      <c r="D265" t="s">
        <v>103</v>
      </c>
      <c r="E265" t="s">
        <v>51</v>
      </c>
      <c r="F265" t="s">
        <v>16</v>
      </c>
      <c r="G265" t="s">
        <v>52</v>
      </c>
      <c r="H265">
        <v>3</v>
      </c>
      <c r="I265">
        <v>5418</v>
      </c>
      <c r="J265">
        <v>0.1</v>
      </c>
      <c r="K265">
        <v>14628.6</v>
      </c>
      <c r="L265">
        <v>2089.9899999999998</v>
      </c>
    </row>
    <row r="266" spans="1:12" x14ac:dyDescent="0.3">
      <c r="A266" t="s">
        <v>460</v>
      </c>
      <c r="B266" s="3">
        <v>45870</v>
      </c>
      <c r="C266" t="s">
        <v>19</v>
      </c>
      <c r="D266" t="s">
        <v>43</v>
      </c>
      <c r="E266" t="s">
        <v>44</v>
      </c>
      <c r="F266" t="s">
        <v>21</v>
      </c>
      <c r="G266" t="s">
        <v>35</v>
      </c>
      <c r="H266">
        <v>1</v>
      </c>
      <c r="I266">
        <v>1283</v>
      </c>
      <c r="J266">
        <v>0.15</v>
      </c>
      <c r="K266">
        <v>1090.55</v>
      </c>
      <c r="L266">
        <v>201.85</v>
      </c>
    </row>
    <row r="267" spans="1:12" x14ac:dyDescent="0.3">
      <c r="A267" t="s">
        <v>461</v>
      </c>
      <c r="B267" s="3">
        <v>45820</v>
      </c>
      <c r="C267" t="s">
        <v>123</v>
      </c>
      <c r="D267" t="s">
        <v>92</v>
      </c>
      <c r="E267" t="s">
        <v>51</v>
      </c>
      <c r="F267" t="s">
        <v>27</v>
      </c>
      <c r="G267" t="s">
        <v>28</v>
      </c>
      <c r="H267">
        <v>1</v>
      </c>
      <c r="I267">
        <v>14567</v>
      </c>
      <c r="J267">
        <v>0.05</v>
      </c>
      <c r="K267">
        <v>13838.65</v>
      </c>
      <c r="L267">
        <v>3179.64</v>
      </c>
    </row>
    <row r="268" spans="1:12" x14ac:dyDescent="0.3">
      <c r="A268" t="s">
        <v>462</v>
      </c>
      <c r="B268" s="3">
        <v>45765</v>
      </c>
      <c r="C268" t="s">
        <v>463</v>
      </c>
      <c r="D268" t="s">
        <v>25</v>
      </c>
      <c r="E268" t="s">
        <v>26</v>
      </c>
      <c r="F268" t="s">
        <v>58</v>
      </c>
      <c r="G268" t="s">
        <v>126</v>
      </c>
      <c r="H268">
        <v>2</v>
      </c>
      <c r="I268">
        <v>17749</v>
      </c>
      <c r="J268">
        <v>0.1</v>
      </c>
      <c r="K268">
        <v>31948.2</v>
      </c>
      <c r="L268">
        <v>3362.64</v>
      </c>
    </row>
    <row r="269" spans="1:12" x14ac:dyDescent="0.3">
      <c r="A269" t="s">
        <v>464</v>
      </c>
      <c r="B269" s="3">
        <v>45858</v>
      </c>
      <c r="C269" t="s">
        <v>134</v>
      </c>
      <c r="D269" t="s">
        <v>50</v>
      </c>
      <c r="E269" t="s">
        <v>51</v>
      </c>
      <c r="F269" t="s">
        <v>21</v>
      </c>
      <c r="G269" t="s">
        <v>22</v>
      </c>
      <c r="H269">
        <v>2</v>
      </c>
      <c r="I269">
        <v>3478</v>
      </c>
      <c r="J269">
        <v>0</v>
      </c>
      <c r="K269">
        <v>6956</v>
      </c>
      <c r="L269">
        <v>663.71</v>
      </c>
    </row>
    <row r="270" spans="1:12" x14ac:dyDescent="0.3">
      <c r="A270" t="s">
        <v>465</v>
      </c>
      <c r="B270" s="3">
        <v>45800</v>
      </c>
      <c r="C270" t="s">
        <v>57</v>
      </c>
      <c r="D270" t="s">
        <v>83</v>
      </c>
      <c r="E270" t="s">
        <v>73</v>
      </c>
      <c r="F270" t="s">
        <v>16</v>
      </c>
      <c r="G270" t="s">
        <v>104</v>
      </c>
      <c r="H270">
        <v>1</v>
      </c>
      <c r="I270">
        <v>272</v>
      </c>
      <c r="J270">
        <v>0.05</v>
      </c>
      <c r="K270">
        <v>258.39999999999998</v>
      </c>
      <c r="L270">
        <v>54.43</v>
      </c>
    </row>
    <row r="271" spans="1:12" x14ac:dyDescent="0.3">
      <c r="A271" t="s">
        <v>466</v>
      </c>
      <c r="B271" s="3">
        <v>46012</v>
      </c>
      <c r="C271" t="s">
        <v>389</v>
      </c>
      <c r="D271" t="s">
        <v>97</v>
      </c>
      <c r="E271" t="s">
        <v>44</v>
      </c>
      <c r="F271" t="s">
        <v>16</v>
      </c>
      <c r="G271" t="s">
        <v>52</v>
      </c>
      <c r="H271">
        <v>1</v>
      </c>
      <c r="I271">
        <v>1104</v>
      </c>
      <c r="J271">
        <v>0.1</v>
      </c>
      <c r="K271">
        <v>993.6</v>
      </c>
      <c r="L271">
        <v>253.21</v>
      </c>
    </row>
    <row r="272" spans="1:12" x14ac:dyDescent="0.3">
      <c r="A272" t="s">
        <v>467</v>
      </c>
      <c r="B272" s="3">
        <v>45695</v>
      </c>
      <c r="C272" t="s">
        <v>468</v>
      </c>
      <c r="D272" t="s">
        <v>92</v>
      </c>
      <c r="E272" t="s">
        <v>51</v>
      </c>
      <c r="F272" t="s">
        <v>21</v>
      </c>
      <c r="G272" t="s">
        <v>55</v>
      </c>
      <c r="H272">
        <v>1</v>
      </c>
      <c r="I272">
        <v>15106</v>
      </c>
      <c r="J272">
        <v>0</v>
      </c>
      <c r="K272">
        <v>15106</v>
      </c>
      <c r="L272">
        <v>2455.5100000000002</v>
      </c>
    </row>
    <row r="273" spans="1:12" x14ac:dyDescent="0.3">
      <c r="A273" t="s">
        <v>469</v>
      </c>
      <c r="B273" s="3">
        <v>45811</v>
      </c>
      <c r="C273" t="s">
        <v>266</v>
      </c>
      <c r="D273" t="s">
        <v>47</v>
      </c>
      <c r="E273" t="s">
        <v>26</v>
      </c>
      <c r="F273" t="s">
        <v>58</v>
      </c>
      <c r="G273" t="s">
        <v>69</v>
      </c>
      <c r="H273">
        <v>5</v>
      </c>
      <c r="I273">
        <v>8912</v>
      </c>
      <c r="J273">
        <v>0.1</v>
      </c>
      <c r="K273">
        <v>40104</v>
      </c>
      <c r="L273">
        <v>11010.76</v>
      </c>
    </row>
    <row r="274" spans="1:12" x14ac:dyDescent="0.3">
      <c r="A274" t="s">
        <v>470</v>
      </c>
      <c r="B274" s="3">
        <v>45984</v>
      </c>
      <c r="C274" t="s">
        <v>143</v>
      </c>
      <c r="D274" t="s">
        <v>83</v>
      </c>
      <c r="E274" t="s">
        <v>73</v>
      </c>
      <c r="F274" t="s">
        <v>21</v>
      </c>
      <c r="G274" t="s">
        <v>35</v>
      </c>
      <c r="H274">
        <v>2</v>
      </c>
      <c r="I274">
        <v>613</v>
      </c>
      <c r="J274">
        <v>0.1</v>
      </c>
      <c r="K274">
        <v>1103.4000000000001</v>
      </c>
      <c r="L274">
        <v>205.82</v>
      </c>
    </row>
    <row r="275" spans="1:12" x14ac:dyDescent="0.3">
      <c r="A275" t="s">
        <v>471</v>
      </c>
      <c r="B275" s="3">
        <v>45974</v>
      </c>
      <c r="C275" t="s">
        <v>61</v>
      </c>
      <c r="D275" t="s">
        <v>68</v>
      </c>
      <c r="E275" t="s">
        <v>44</v>
      </c>
      <c r="F275" t="s">
        <v>21</v>
      </c>
      <c r="G275" t="s">
        <v>55</v>
      </c>
      <c r="H275">
        <v>1</v>
      </c>
      <c r="I275">
        <v>3433</v>
      </c>
      <c r="J275">
        <v>0</v>
      </c>
      <c r="K275">
        <v>3433</v>
      </c>
      <c r="L275">
        <v>664.06</v>
      </c>
    </row>
    <row r="276" spans="1:12" x14ac:dyDescent="0.3">
      <c r="A276" t="s">
        <v>472</v>
      </c>
      <c r="B276" s="3">
        <v>45991</v>
      </c>
      <c r="C276" t="s">
        <v>473</v>
      </c>
      <c r="D276" t="s">
        <v>30</v>
      </c>
      <c r="E276" t="s">
        <v>15</v>
      </c>
      <c r="F276" t="s">
        <v>58</v>
      </c>
      <c r="G276" t="s">
        <v>59</v>
      </c>
      <c r="H276">
        <v>3</v>
      </c>
      <c r="I276">
        <v>4957</v>
      </c>
      <c r="J276">
        <v>0.2</v>
      </c>
      <c r="K276">
        <v>11896.8</v>
      </c>
      <c r="L276">
        <v>2979.59</v>
      </c>
    </row>
    <row r="277" spans="1:12" x14ac:dyDescent="0.3">
      <c r="A277" t="s">
        <v>474</v>
      </c>
      <c r="B277" s="3">
        <v>45912</v>
      </c>
      <c r="C277" t="s">
        <v>136</v>
      </c>
      <c r="D277" t="s">
        <v>34</v>
      </c>
      <c r="E277" t="s">
        <v>15</v>
      </c>
      <c r="F277" t="s">
        <v>58</v>
      </c>
      <c r="H277">
        <v>1</v>
      </c>
      <c r="I277">
        <v>11311</v>
      </c>
      <c r="J277">
        <v>0.15</v>
      </c>
      <c r="K277">
        <v>9614.35</v>
      </c>
      <c r="L277">
        <v>835.81</v>
      </c>
    </row>
    <row r="278" spans="1:12" x14ac:dyDescent="0.3">
      <c r="A278" t="s">
        <v>475</v>
      </c>
      <c r="B278" s="3">
        <v>45806</v>
      </c>
      <c r="C278" t="s">
        <v>272</v>
      </c>
      <c r="D278" t="s">
        <v>92</v>
      </c>
      <c r="E278" t="s">
        <v>51</v>
      </c>
      <c r="F278" t="s">
        <v>58</v>
      </c>
      <c r="G278" t="s">
        <v>59</v>
      </c>
      <c r="H278">
        <v>1</v>
      </c>
      <c r="I278">
        <v>22302</v>
      </c>
      <c r="J278">
        <v>0.1</v>
      </c>
      <c r="K278">
        <v>20071.8</v>
      </c>
      <c r="L278">
        <v>2067.13</v>
      </c>
    </row>
    <row r="279" spans="1:12" x14ac:dyDescent="0.3">
      <c r="A279" t="s">
        <v>476</v>
      </c>
      <c r="B279" s="3">
        <v>45665</v>
      </c>
      <c r="C279" t="s">
        <v>174</v>
      </c>
      <c r="D279" t="s">
        <v>83</v>
      </c>
      <c r="E279" t="s">
        <v>73</v>
      </c>
      <c r="F279" t="s">
        <v>27</v>
      </c>
      <c r="G279" t="s">
        <v>28</v>
      </c>
      <c r="H279">
        <v>2</v>
      </c>
      <c r="I279">
        <v>530</v>
      </c>
      <c r="J279">
        <v>0.05</v>
      </c>
      <c r="K279">
        <v>1007</v>
      </c>
      <c r="L279">
        <v>168.09</v>
      </c>
    </row>
    <row r="280" spans="1:12" x14ac:dyDescent="0.3">
      <c r="A280" t="s">
        <v>477</v>
      </c>
      <c r="B280" s="3">
        <v>45889</v>
      </c>
      <c r="C280" t="s">
        <v>199</v>
      </c>
      <c r="D280" t="s">
        <v>50</v>
      </c>
      <c r="E280" t="s">
        <v>51</v>
      </c>
      <c r="F280" t="s">
        <v>27</v>
      </c>
      <c r="G280" t="s">
        <v>28</v>
      </c>
      <c r="H280">
        <v>4</v>
      </c>
      <c r="I280">
        <v>2002</v>
      </c>
      <c r="J280">
        <v>0.15</v>
      </c>
      <c r="K280">
        <v>6806.8</v>
      </c>
      <c r="L280">
        <v>1415.28</v>
      </c>
    </row>
    <row r="281" spans="1:12" x14ac:dyDescent="0.3">
      <c r="A281" t="s">
        <v>478</v>
      </c>
      <c r="B281" s="3">
        <v>45733</v>
      </c>
      <c r="C281" t="s">
        <v>473</v>
      </c>
      <c r="D281" t="s">
        <v>65</v>
      </c>
      <c r="E281" t="s">
        <v>26</v>
      </c>
      <c r="F281" t="s">
        <v>21</v>
      </c>
      <c r="G281" t="s">
        <v>55</v>
      </c>
      <c r="H281">
        <v>2</v>
      </c>
      <c r="I281">
        <v>3352</v>
      </c>
      <c r="J281">
        <v>0.2</v>
      </c>
      <c r="K281">
        <v>5363.2</v>
      </c>
      <c r="L281">
        <v>1073.3399999999999</v>
      </c>
    </row>
    <row r="282" spans="1:12" x14ac:dyDescent="0.3">
      <c r="A282" t="s">
        <v>479</v>
      </c>
      <c r="B282" s="3">
        <v>45871</v>
      </c>
      <c r="C282" t="s">
        <v>204</v>
      </c>
      <c r="D282" t="s">
        <v>153</v>
      </c>
      <c r="E282" t="s">
        <v>26</v>
      </c>
      <c r="F282" t="s">
        <v>27</v>
      </c>
      <c r="G282" t="s">
        <v>40</v>
      </c>
      <c r="H282">
        <v>1</v>
      </c>
      <c r="I282">
        <v>5214</v>
      </c>
      <c r="J282">
        <v>0.1</v>
      </c>
      <c r="K282">
        <v>4692.6000000000004</v>
      </c>
      <c r="L282">
        <v>418.25</v>
      </c>
    </row>
    <row r="283" spans="1:12" x14ac:dyDescent="0.3">
      <c r="A283" t="s">
        <v>480</v>
      </c>
      <c r="B283" s="3">
        <v>45750</v>
      </c>
      <c r="C283" t="s">
        <v>337</v>
      </c>
      <c r="D283" t="s">
        <v>92</v>
      </c>
      <c r="E283" t="s">
        <v>51</v>
      </c>
      <c r="F283" t="s">
        <v>58</v>
      </c>
      <c r="G283" t="s">
        <v>126</v>
      </c>
      <c r="H283">
        <v>2</v>
      </c>
      <c r="I283">
        <v>18960</v>
      </c>
      <c r="J283">
        <v>0.05</v>
      </c>
      <c r="K283">
        <v>36024</v>
      </c>
      <c r="L283">
        <v>6105.84</v>
      </c>
    </row>
    <row r="284" spans="1:12" x14ac:dyDescent="0.3">
      <c r="A284" t="s">
        <v>481</v>
      </c>
      <c r="B284" s="3">
        <v>45706</v>
      </c>
      <c r="C284" t="s">
        <v>482</v>
      </c>
      <c r="D284" t="s">
        <v>103</v>
      </c>
      <c r="E284" t="s">
        <v>51</v>
      </c>
      <c r="F284" t="s">
        <v>58</v>
      </c>
      <c r="G284" t="s">
        <v>69</v>
      </c>
      <c r="H284">
        <v>1</v>
      </c>
      <c r="I284">
        <v>2909</v>
      </c>
      <c r="J284">
        <v>0</v>
      </c>
      <c r="K284">
        <v>2909</v>
      </c>
      <c r="L284">
        <v>295.57</v>
      </c>
    </row>
    <row r="285" spans="1:12" x14ac:dyDescent="0.3">
      <c r="A285" t="s">
        <v>483</v>
      </c>
      <c r="B285" s="3">
        <v>45763</v>
      </c>
      <c r="C285" t="s">
        <v>451</v>
      </c>
      <c r="D285" t="s">
        <v>47</v>
      </c>
      <c r="E285" t="s">
        <v>26</v>
      </c>
      <c r="F285" t="s">
        <v>58</v>
      </c>
      <c r="G285" t="s">
        <v>69</v>
      </c>
      <c r="H285">
        <v>1</v>
      </c>
      <c r="I285">
        <v>20976</v>
      </c>
      <c r="J285">
        <v>0.05</v>
      </c>
      <c r="K285">
        <v>19927.2</v>
      </c>
      <c r="L285">
        <v>1941.28</v>
      </c>
    </row>
    <row r="286" spans="1:12" x14ac:dyDescent="0.3">
      <c r="A286" t="s">
        <v>484</v>
      </c>
      <c r="B286" s="3">
        <v>45840</v>
      </c>
      <c r="C286" t="s">
        <v>485</v>
      </c>
      <c r="D286" t="s">
        <v>83</v>
      </c>
      <c r="E286" t="s">
        <v>73</v>
      </c>
      <c r="F286" t="s">
        <v>16</v>
      </c>
      <c r="G286" t="s">
        <v>17</v>
      </c>
      <c r="H286">
        <v>4</v>
      </c>
      <c r="I286">
        <v>571</v>
      </c>
      <c r="J286">
        <v>0.1</v>
      </c>
      <c r="K286">
        <v>2055.6</v>
      </c>
      <c r="L286">
        <v>572.61</v>
      </c>
    </row>
    <row r="287" spans="1:12" x14ac:dyDescent="0.3">
      <c r="A287" t="s">
        <v>486</v>
      </c>
      <c r="B287" s="3">
        <v>45989</v>
      </c>
      <c r="C287" t="s">
        <v>87</v>
      </c>
      <c r="D287" t="s">
        <v>97</v>
      </c>
      <c r="E287" t="s">
        <v>44</v>
      </c>
      <c r="F287" t="s">
        <v>58</v>
      </c>
      <c r="G287" t="s">
        <v>59</v>
      </c>
      <c r="H287">
        <v>4</v>
      </c>
      <c r="I287">
        <v>887</v>
      </c>
      <c r="J287">
        <v>0.05</v>
      </c>
      <c r="K287">
        <v>3370.6</v>
      </c>
      <c r="L287">
        <v>724.41</v>
      </c>
    </row>
    <row r="288" spans="1:12" x14ac:dyDescent="0.3">
      <c r="A288" t="s">
        <v>487</v>
      </c>
      <c r="B288" s="3">
        <v>45665</v>
      </c>
      <c r="C288" t="s">
        <v>139</v>
      </c>
      <c r="D288" t="s">
        <v>202</v>
      </c>
      <c r="E288" t="s">
        <v>44</v>
      </c>
      <c r="F288" t="s">
        <v>21</v>
      </c>
      <c r="G288" t="s">
        <v>55</v>
      </c>
      <c r="H288">
        <v>4</v>
      </c>
      <c r="I288">
        <v>905</v>
      </c>
      <c r="J288">
        <v>0.1</v>
      </c>
      <c r="K288">
        <v>3258</v>
      </c>
      <c r="L288">
        <v>801.2</v>
      </c>
    </row>
    <row r="289" spans="1:12" x14ac:dyDescent="0.3">
      <c r="A289" t="s">
        <v>488</v>
      </c>
      <c r="B289" s="3">
        <v>45981</v>
      </c>
      <c r="C289" t="s">
        <v>456</v>
      </c>
      <c r="D289" t="s">
        <v>25</v>
      </c>
      <c r="E289" t="s">
        <v>26</v>
      </c>
      <c r="F289" t="s">
        <v>27</v>
      </c>
      <c r="G289" t="s">
        <v>40</v>
      </c>
      <c r="H289">
        <v>1</v>
      </c>
      <c r="I289">
        <v>11475</v>
      </c>
      <c r="J289">
        <v>0.05</v>
      </c>
      <c r="K289">
        <v>10901.25</v>
      </c>
      <c r="L289">
        <v>1135.96</v>
      </c>
    </row>
    <row r="290" spans="1:12" x14ac:dyDescent="0.3">
      <c r="A290" t="s">
        <v>489</v>
      </c>
      <c r="B290" s="3">
        <v>45900</v>
      </c>
      <c r="C290" t="s">
        <v>183</v>
      </c>
      <c r="D290" t="s">
        <v>47</v>
      </c>
      <c r="E290" t="s">
        <v>26</v>
      </c>
      <c r="F290" t="s">
        <v>58</v>
      </c>
      <c r="G290" t="s">
        <v>69</v>
      </c>
      <c r="H290">
        <v>1</v>
      </c>
      <c r="I290">
        <v>21126</v>
      </c>
      <c r="J290">
        <v>0.1</v>
      </c>
      <c r="K290">
        <v>19013.400000000001</v>
      </c>
      <c r="L290">
        <v>4101.84</v>
      </c>
    </row>
    <row r="291" spans="1:12" x14ac:dyDescent="0.3">
      <c r="A291" t="s">
        <v>490</v>
      </c>
      <c r="B291" s="3">
        <v>45708</v>
      </c>
      <c r="C291" t="s">
        <v>421</v>
      </c>
      <c r="D291" t="s">
        <v>25</v>
      </c>
      <c r="E291" t="s">
        <v>26</v>
      </c>
      <c r="F291" t="s">
        <v>27</v>
      </c>
      <c r="G291" t="s">
        <v>40</v>
      </c>
      <c r="H291">
        <v>4</v>
      </c>
      <c r="I291">
        <v>13351</v>
      </c>
      <c r="J291">
        <v>0.15</v>
      </c>
      <c r="K291">
        <v>45393.4</v>
      </c>
      <c r="L291">
        <v>10204.19</v>
      </c>
    </row>
    <row r="292" spans="1:12" x14ac:dyDescent="0.3">
      <c r="A292" t="s">
        <v>491</v>
      </c>
      <c r="B292" s="3">
        <v>46007</v>
      </c>
      <c r="C292" t="s">
        <v>492</v>
      </c>
      <c r="D292" t="s">
        <v>83</v>
      </c>
      <c r="E292" t="s">
        <v>73</v>
      </c>
      <c r="F292" t="s">
        <v>27</v>
      </c>
      <c r="G292" t="s">
        <v>31</v>
      </c>
      <c r="H292">
        <v>1</v>
      </c>
      <c r="I292">
        <v>258</v>
      </c>
      <c r="J292">
        <v>0.05</v>
      </c>
      <c r="K292">
        <v>245.1</v>
      </c>
      <c r="L292">
        <v>34.07</v>
      </c>
    </row>
    <row r="293" spans="1:12" x14ac:dyDescent="0.3">
      <c r="A293" t="s">
        <v>493</v>
      </c>
      <c r="B293" s="3">
        <v>45719</v>
      </c>
      <c r="C293" t="s">
        <v>49</v>
      </c>
      <c r="D293" t="s">
        <v>92</v>
      </c>
      <c r="E293" t="s">
        <v>51</v>
      </c>
      <c r="F293" t="s">
        <v>58</v>
      </c>
      <c r="G293" t="s">
        <v>126</v>
      </c>
      <c r="H293">
        <v>2</v>
      </c>
      <c r="I293">
        <v>14491</v>
      </c>
      <c r="J293">
        <v>0.15</v>
      </c>
      <c r="K293">
        <v>24634.7</v>
      </c>
      <c r="L293">
        <v>5184.58</v>
      </c>
    </row>
    <row r="294" spans="1:12" x14ac:dyDescent="0.3">
      <c r="A294" t="s">
        <v>494</v>
      </c>
      <c r="B294" s="3">
        <v>45730</v>
      </c>
      <c r="C294" t="s">
        <v>456</v>
      </c>
      <c r="D294" t="s">
        <v>30</v>
      </c>
      <c r="E294" t="s">
        <v>15</v>
      </c>
      <c r="F294" t="s">
        <v>27</v>
      </c>
      <c r="G294" t="s">
        <v>31</v>
      </c>
      <c r="H294">
        <v>1</v>
      </c>
      <c r="I294">
        <v>11995</v>
      </c>
      <c r="J294">
        <v>0.05</v>
      </c>
      <c r="K294">
        <v>11395.25</v>
      </c>
      <c r="L294">
        <v>2731.17</v>
      </c>
    </row>
    <row r="295" spans="1:12" x14ac:dyDescent="0.3">
      <c r="A295" t="s">
        <v>495</v>
      </c>
      <c r="B295" s="3">
        <v>46017</v>
      </c>
      <c r="C295" t="s">
        <v>106</v>
      </c>
      <c r="D295" t="s">
        <v>47</v>
      </c>
      <c r="E295" t="s">
        <v>26</v>
      </c>
      <c r="F295" t="s">
        <v>16</v>
      </c>
      <c r="G295" t="s">
        <v>17</v>
      </c>
      <c r="H295">
        <v>4</v>
      </c>
      <c r="I295">
        <v>7185</v>
      </c>
      <c r="J295">
        <v>0.05</v>
      </c>
      <c r="K295">
        <v>27303</v>
      </c>
      <c r="L295">
        <v>2333.9699999999998</v>
      </c>
    </row>
    <row r="296" spans="1:12" x14ac:dyDescent="0.3">
      <c r="A296" t="s">
        <v>496</v>
      </c>
      <c r="B296" s="3">
        <v>45664</v>
      </c>
      <c r="C296" t="s">
        <v>220</v>
      </c>
      <c r="D296" t="s">
        <v>88</v>
      </c>
      <c r="E296" t="s">
        <v>73</v>
      </c>
      <c r="F296" t="s">
        <v>27</v>
      </c>
      <c r="G296" t="s">
        <v>28</v>
      </c>
      <c r="H296">
        <v>1</v>
      </c>
      <c r="I296">
        <v>545</v>
      </c>
      <c r="J296">
        <v>0.05</v>
      </c>
      <c r="K296">
        <v>517.75</v>
      </c>
      <c r="L296">
        <v>57.41</v>
      </c>
    </row>
    <row r="297" spans="1:12" x14ac:dyDescent="0.3">
      <c r="A297" t="s">
        <v>497</v>
      </c>
      <c r="B297" s="3">
        <v>45783</v>
      </c>
      <c r="C297" t="s">
        <v>429</v>
      </c>
      <c r="D297" t="s">
        <v>25</v>
      </c>
      <c r="E297" t="s">
        <v>26</v>
      </c>
      <c r="F297" t="s">
        <v>21</v>
      </c>
      <c r="G297" t="s">
        <v>22</v>
      </c>
      <c r="H297">
        <v>2</v>
      </c>
      <c r="I297">
        <v>7215</v>
      </c>
      <c r="J297">
        <v>0.15</v>
      </c>
      <c r="K297">
        <v>12265.5</v>
      </c>
      <c r="L297">
        <v>2284.0500000000002</v>
      </c>
    </row>
    <row r="298" spans="1:12" x14ac:dyDescent="0.3">
      <c r="A298" t="s">
        <v>498</v>
      </c>
      <c r="B298" s="3">
        <v>45688</v>
      </c>
      <c r="C298" t="s">
        <v>134</v>
      </c>
      <c r="D298" t="s">
        <v>120</v>
      </c>
      <c r="E298" t="s">
        <v>51</v>
      </c>
      <c r="F298" t="s">
        <v>27</v>
      </c>
      <c r="G298" t="s">
        <v>28</v>
      </c>
      <c r="H298">
        <v>2</v>
      </c>
      <c r="I298">
        <v>653</v>
      </c>
      <c r="J298">
        <v>0.1</v>
      </c>
      <c r="K298">
        <v>1175.4000000000001</v>
      </c>
      <c r="L298">
        <v>100.51</v>
      </c>
    </row>
    <row r="299" spans="1:12" x14ac:dyDescent="0.3">
      <c r="A299" t="s">
        <v>499</v>
      </c>
      <c r="B299" s="3">
        <v>46020</v>
      </c>
      <c r="C299" t="s">
        <v>440</v>
      </c>
      <c r="D299" t="s">
        <v>43</v>
      </c>
      <c r="E299" t="s">
        <v>44</v>
      </c>
      <c r="F299" t="s">
        <v>27</v>
      </c>
      <c r="G299" t="s">
        <v>31</v>
      </c>
      <c r="H299">
        <v>1</v>
      </c>
      <c r="I299">
        <v>492</v>
      </c>
      <c r="J299">
        <v>0</v>
      </c>
      <c r="K299">
        <v>492</v>
      </c>
      <c r="L299">
        <v>113.77</v>
      </c>
    </row>
    <row r="300" spans="1:12" x14ac:dyDescent="0.3">
      <c r="A300" t="s">
        <v>500</v>
      </c>
      <c r="B300" s="3">
        <v>45782</v>
      </c>
      <c r="C300" t="s">
        <v>501</v>
      </c>
      <c r="D300" t="s">
        <v>25</v>
      </c>
      <c r="E300" t="s">
        <v>26</v>
      </c>
      <c r="F300" t="s">
        <v>58</v>
      </c>
      <c r="G300" t="s">
        <v>69</v>
      </c>
      <c r="H300">
        <v>1</v>
      </c>
      <c r="I300">
        <v>10498</v>
      </c>
      <c r="J300">
        <v>0.1</v>
      </c>
      <c r="K300">
        <v>9448.2000000000007</v>
      </c>
      <c r="L300">
        <v>1595.1</v>
      </c>
    </row>
    <row r="301" spans="1:12" x14ac:dyDescent="0.3">
      <c r="A301" t="s">
        <v>502</v>
      </c>
      <c r="B301" s="3">
        <v>45716</v>
      </c>
      <c r="C301" t="s">
        <v>503</v>
      </c>
      <c r="D301" t="s">
        <v>97</v>
      </c>
      <c r="E301" t="s">
        <v>44</v>
      </c>
      <c r="F301" t="s">
        <v>58</v>
      </c>
      <c r="G301" t="s">
        <v>126</v>
      </c>
      <c r="H301">
        <v>5</v>
      </c>
      <c r="I301">
        <v>620</v>
      </c>
      <c r="J301">
        <v>0.05</v>
      </c>
      <c r="K301">
        <v>2945</v>
      </c>
      <c r="L301">
        <v>436.09</v>
      </c>
    </row>
    <row r="302" spans="1:12" x14ac:dyDescent="0.3">
      <c r="A302" t="s">
        <v>504</v>
      </c>
      <c r="B302" s="3">
        <v>45819</v>
      </c>
      <c r="C302" t="s">
        <v>255</v>
      </c>
      <c r="D302" t="s">
        <v>97</v>
      </c>
      <c r="E302" t="s">
        <v>44</v>
      </c>
      <c r="F302" t="s">
        <v>58</v>
      </c>
      <c r="G302" t="s">
        <v>126</v>
      </c>
      <c r="H302">
        <v>1</v>
      </c>
      <c r="I302">
        <v>485</v>
      </c>
      <c r="J302">
        <v>0.15</v>
      </c>
      <c r="K302">
        <v>412.25</v>
      </c>
      <c r="L302">
        <v>62.35</v>
      </c>
    </row>
    <row r="303" spans="1:12" x14ac:dyDescent="0.3">
      <c r="A303" t="s">
        <v>505</v>
      </c>
      <c r="B303" s="3">
        <v>45998</v>
      </c>
      <c r="C303" t="s">
        <v>46</v>
      </c>
      <c r="D303" t="s">
        <v>50</v>
      </c>
      <c r="E303" t="s">
        <v>51</v>
      </c>
      <c r="F303" t="s">
        <v>27</v>
      </c>
      <c r="G303" t="s">
        <v>28</v>
      </c>
      <c r="H303">
        <v>1</v>
      </c>
      <c r="I303">
        <v>1530</v>
      </c>
      <c r="J303">
        <v>0.2</v>
      </c>
      <c r="K303">
        <v>1224</v>
      </c>
      <c r="L303">
        <v>234.45</v>
      </c>
    </row>
    <row r="304" spans="1:12" x14ac:dyDescent="0.3">
      <c r="A304" t="s">
        <v>506</v>
      </c>
      <c r="B304" s="3">
        <v>45768</v>
      </c>
      <c r="C304" t="s">
        <v>507</v>
      </c>
      <c r="D304" t="s">
        <v>65</v>
      </c>
      <c r="E304" t="s">
        <v>26</v>
      </c>
      <c r="F304" t="s">
        <v>58</v>
      </c>
      <c r="G304" t="s">
        <v>59</v>
      </c>
      <c r="H304">
        <v>3</v>
      </c>
      <c r="I304">
        <v>1884</v>
      </c>
      <c r="J304">
        <v>0.15</v>
      </c>
      <c r="K304">
        <v>4804.2</v>
      </c>
      <c r="L304">
        <v>1090.1500000000001</v>
      </c>
    </row>
    <row r="305" spans="1:12" x14ac:dyDescent="0.3">
      <c r="A305" t="s">
        <v>508</v>
      </c>
      <c r="B305" s="3">
        <v>45932</v>
      </c>
      <c r="C305" t="s">
        <v>225</v>
      </c>
      <c r="D305" t="s">
        <v>47</v>
      </c>
      <c r="E305" t="s">
        <v>26</v>
      </c>
      <c r="F305" t="s">
        <v>21</v>
      </c>
      <c r="G305" t="s">
        <v>55</v>
      </c>
      <c r="H305">
        <v>1</v>
      </c>
      <c r="I305">
        <v>12927</v>
      </c>
      <c r="J305">
        <v>0</v>
      </c>
      <c r="K305">
        <v>12927</v>
      </c>
      <c r="L305">
        <v>2263.64</v>
      </c>
    </row>
    <row r="306" spans="1:12" x14ac:dyDescent="0.3">
      <c r="A306" t="s">
        <v>509</v>
      </c>
      <c r="B306" s="3">
        <v>45774</v>
      </c>
      <c r="C306" t="s">
        <v>398</v>
      </c>
      <c r="D306" t="s">
        <v>202</v>
      </c>
      <c r="E306" t="s">
        <v>44</v>
      </c>
      <c r="F306" t="s">
        <v>21</v>
      </c>
      <c r="G306" t="s">
        <v>22</v>
      </c>
      <c r="H306">
        <v>2</v>
      </c>
      <c r="I306">
        <v>1819</v>
      </c>
      <c r="J306">
        <v>0.05</v>
      </c>
      <c r="K306">
        <v>3456.1</v>
      </c>
      <c r="L306">
        <v>302.74</v>
      </c>
    </row>
    <row r="307" spans="1:12" x14ac:dyDescent="0.3">
      <c r="A307" t="s">
        <v>510</v>
      </c>
      <c r="B307" s="3">
        <v>45703</v>
      </c>
      <c r="C307" t="s">
        <v>119</v>
      </c>
      <c r="D307" t="s">
        <v>47</v>
      </c>
      <c r="E307" t="s">
        <v>26</v>
      </c>
      <c r="F307" t="s">
        <v>58</v>
      </c>
      <c r="G307" t="s">
        <v>126</v>
      </c>
      <c r="H307">
        <v>1</v>
      </c>
      <c r="I307">
        <v>21544</v>
      </c>
      <c r="J307">
        <v>0.2</v>
      </c>
      <c r="K307">
        <v>17235.2</v>
      </c>
      <c r="L307">
        <v>3146.81</v>
      </c>
    </row>
    <row r="308" spans="1:12" x14ac:dyDescent="0.3">
      <c r="A308" t="s">
        <v>511</v>
      </c>
      <c r="B308" s="3">
        <v>45840</v>
      </c>
      <c r="C308" t="s">
        <v>440</v>
      </c>
      <c r="D308" t="s">
        <v>65</v>
      </c>
      <c r="E308" t="s">
        <v>26</v>
      </c>
      <c r="F308" t="s">
        <v>27</v>
      </c>
      <c r="G308" t="s">
        <v>31</v>
      </c>
      <c r="H308">
        <v>1</v>
      </c>
      <c r="I308">
        <v>2143</v>
      </c>
      <c r="J308">
        <v>0</v>
      </c>
      <c r="K308">
        <v>2143</v>
      </c>
      <c r="L308">
        <v>497.95</v>
      </c>
    </row>
    <row r="309" spans="1:12" x14ac:dyDescent="0.3">
      <c r="A309" t="s">
        <v>512</v>
      </c>
      <c r="B309" s="3">
        <v>45899</v>
      </c>
      <c r="C309" t="s">
        <v>305</v>
      </c>
      <c r="D309" t="s">
        <v>65</v>
      </c>
      <c r="E309" t="s">
        <v>26</v>
      </c>
      <c r="F309" t="s">
        <v>58</v>
      </c>
      <c r="G309" t="s">
        <v>59</v>
      </c>
      <c r="H309">
        <v>3</v>
      </c>
      <c r="I309">
        <v>4152</v>
      </c>
      <c r="J309">
        <v>0.05</v>
      </c>
      <c r="K309">
        <v>11833.2</v>
      </c>
      <c r="L309">
        <v>1996.16</v>
      </c>
    </row>
    <row r="310" spans="1:12" x14ac:dyDescent="0.3">
      <c r="A310" t="s">
        <v>513</v>
      </c>
      <c r="B310" s="3">
        <v>45820</v>
      </c>
      <c r="C310" t="s">
        <v>77</v>
      </c>
      <c r="D310" t="s">
        <v>72</v>
      </c>
      <c r="E310" t="s">
        <v>73</v>
      </c>
      <c r="F310" t="s">
        <v>16</v>
      </c>
      <c r="G310" t="s">
        <v>52</v>
      </c>
      <c r="H310">
        <v>1</v>
      </c>
      <c r="I310">
        <v>354</v>
      </c>
      <c r="J310">
        <v>0.15</v>
      </c>
      <c r="K310">
        <v>300.89999999999998</v>
      </c>
      <c r="L310">
        <v>50.5</v>
      </c>
    </row>
    <row r="311" spans="1:12" x14ac:dyDescent="0.3">
      <c r="A311" t="s">
        <v>514</v>
      </c>
      <c r="B311" s="3">
        <v>45951</v>
      </c>
      <c r="C311" t="s">
        <v>109</v>
      </c>
      <c r="D311" t="s">
        <v>20</v>
      </c>
      <c r="E311" t="s">
        <v>15</v>
      </c>
      <c r="F311" t="s">
        <v>16</v>
      </c>
      <c r="G311" t="s">
        <v>17</v>
      </c>
      <c r="H311">
        <v>1</v>
      </c>
      <c r="I311">
        <v>5339</v>
      </c>
      <c r="J311">
        <v>0.25</v>
      </c>
      <c r="K311">
        <v>4004.25</v>
      </c>
      <c r="L311">
        <v>497.12</v>
      </c>
    </row>
    <row r="312" spans="1:12" x14ac:dyDescent="0.3">
      <c r="A312" t="s">
        <v>515</v>
      </c>
      <c r="B312" s="3">
        <v>45980</v>
      </c>
      <c r="C312" t="s">
        <v>516</v>
      </c>
      <c r="D312" t="s">
        <v>47</v>
      </c>
      <c r="E312" t="s">
        <v>26</v>
      </c>
      <c r="F312" t="s">
        <v>27</v>
      </c>
      <c r="G312" t="s">
        <v>31</v>
      </c>
      <c r="H312">
        <v>2</v>
      </c>
      <c r="I312">
        <v>9017</v>
      </c>
      <c r="J312">
        <v>0.05</v>
      </c>
      <c r="K312">
        <v>17132.3</v>
      </c>
      <c r="L312">
        <v>2599.71</v>
      </c>
    </row>
    <row r="313" spans="1:12" x14ac:dyDescent="0.3">
      <c r="A313" t="s">
        <v>517</v>
      </c>
      <c r="B313" s="3">
        <v>45820</v>
      </c>
      <c r="C313" t="s">
        <v>113</v>
      </c>
      <c r="D313" t="s">
        <v>80</v>
      </c>
      <c r="E313" t="s">
        <v>51</v>
      </c>
      <c r="F313" t="s">
        <v>27</v>
      </c>
      <c r="G313" t="s">
        <v>31</v>
      </c>
      <c r="H313">
        <v>5</v>
      </c>
      <c r="I313">
        <v>72073</v>
      </c>
      <c r="J313">
        <v>0.15</v>
      </c>
      <c r="K313">
        <v>306310.25</v>
      </c>
      <c r="L313">
        <v>42553.81</v>
      </c>
    </row>
    <row r="314" spans="1:12" x14ac:dyDescent="0.3">
      <c r="A314" t="s">
        <v>518</v>
      </c>
      <c r="B314" s="3">
        <v>45658</v>
      </c>
      <c r="C314" t="s">
        <v>189</v>
      </c>
      <c r="D314" t="s">
        <v>120</v>
      </c>
      <c r="E314" t="s">
        <v>51</v>
      </c>
      <c r="F314" t="s">
        <v>58</v>
      </c>
      <c r="G314" t="s">
        <v>126</v>
      </c>
      <c r="H314">
        <v>1</v>
      </c>
      <c r="I314">
        <v>410</v>
      </c>
      <c r="J314">
        <v>0.2</v>
      </c>
      <c r="K314">
        <v>328</v>
      </c>
      <c r="L314">
        <v>80.16</v>
      </c>
    </row>
    <row r="315" spans="1:12" x14ac:dyDescent="0.3">
      <c r="A315" t="s">
        <v>519</v>
      </c>
      <c r="B315" s="3">
        <v>45761</v>
      </c>
      <c r="C315" t="s">
        <v>161</v>
      </c>
      <c r="D315" t="s">
        <v>202</v>
      </c>
      <c r="E315" t="s">
        <v>44</v>
      </c>
      <c r="F315" t="s">
        <v>27</v>
      </c>
      <c r="G315" t="s">
        <v>31</v>
      </c>
      <c r="H315">
        <v>1</v>
      </c>
      <c r="I315">
        <v>2780</v>
      </c>
      <c r="J315">
        <v>0.05</v>
      </c>
      <c r="K315">
        <v>2641</v>
      </c>
      <c r="L315">
        <v>574.37</v>
      </c>
    </row>
    <row r="316" spans="1:12" x14ac:dyDescent="0.3">
      <c r="A316" t="s">
        <v>520</v>
      </c>
      <c r="B316" s="3">
        <v>45845</v>
      </c>
      <c r="C316" t="s">
        <v>161</v>
      </c>
      <c r="D316" t="s">
        <v>20</v>
      </c>
      <c r="E316" t="s">
        <v>15</v>
      </c>
      <c r="F316" t="s">
        <v>16</v>
      </c>
      <c r="G316" t="s">
        <v>104</v>
      </c>
      <c r="H316">
        <v>2</v>
      </c>
      <c r="I316">
        <v>12675</v>
      </c>
      <c r="J316">
        <v>0</v>
      </c>
      <c r="K316">
        <v>25350</v>
      </c>
      <c r="L316">
        <v>2539.77</v>
      </c>
    </row>
    <row r="317" spans="1:12" x14ac:dyDescent="0.3">
      <c r="A317" t="s">
        <v>521</v>
      </c>
      <c r="B317" s="3">
        <v>45819</v>
      </c>
      <c r="C317" t="s">
        <v>141</v>
      </c>
      <c r="D317" t="s">
        <v>20</v>
      </c>
      <c r="E317" t="s">
        <v>15</v>
      </c>
      <c r="F317" t="s">
        <v>58</v>
      </c>
      <c r="G317" t="s">
        <v>59</v>
      </c>
      <c r="H317">
        <v>3</v>
      </c>
      <c r="I317">
        <v>12778</v>
      </c>
      <c r="J317">
        <v>0</v>
      </c>
      <c r="K317">
        <v>38334</v>
      </c>
      <c r="L317">
        <v>3625.64</v>
      </c>
    </row>
    <row r="318" spans="1:12" x14ac:dyDescent="0.3">
      <c r="A318" t="s">
        <v>522</v>
      </c>
      <c r="B318" s="3">
        <v>45952</v>
      </c>
      <c r="C318" t="s">
        <v>172</v>
      </c>
      <c r="D318" t="s">
        <v>88</v>
      </c>
      <c r="E318" t="s">
        <v>73</v>
      </c>
      <c r="F318" t="s">
        <v>21</v>
      </c>
      <c r="G318" t="s">
        <v>55</v>
      </c>
      <c r="H318">
        <v>1</v>
      </c>
      <c r="I318">
        <v>246</v>
      </c>
      <c r="J318">
        <v>0</v>
      </c>
      <c r="K318">
        <v>246</v>
      </c>
      <c r="L318">
        <v>32.78</v>
      </c>
    </row>
    <row r="319" spans="1:12" x14ac:dyDescent="0.3">
      <c r="A319" t="s">
        <v>523</v>
      </c>
      <c r="B319" s="3">
        <v>45890</v>
      </c>
      <c r="C319" t="s">
        <v>194</v>
      </c>
      <c r="D319" t="s">
        <v>14</v>
      </c>
      <c r="E319" t="s">
        <v>15</v>
      </c>
      <c r="F319" t="s">
        <v>16</v>
      </c>
      <c r="G319" t="s">
        <v>52</v>
      </c>
      <c r="H319">
        <v>1</v>
      </c>
      <c r="I319">
        <v>6404</v>
      </c>
      <c r="J319">
        <v>0</v>
      </c>
      <c r="K319">
        <v>6404</v>
      </c>
      <c r="L319">
        <v>1045.29</v>
      </c>
    </row>
    <row r="320" spans="1:12" x14ac:dyDescent="0.3">
      <c r="A320" t="s">
        <v>524</v>
      </c>
      <c r="B320" s="3">
        <v>45689</v>
      </c>
      <c r="C320" t="s">
        <v>75</v>
      </c>
      <c r="D320" t="s">
        <v>80</v>
      </c>
      <c r="E320" t="s">
        <v>51</v>
      </c>
      <c r="F320" t="s">
        <v>16</v>
      </c>
      <c r="G320" t="s">
        <v>17</v>
      </c>
      <c r="H320">
        <v>2</v>
      </c>
      <c r="I320">
        <v>68435</v>
      </c>
      <c r="J320">
        <v>0.1</v>
      </c>
      <c r="K320">
        <v>123183</v>
      </c>
      <c r="L320">
        <v>11622.95</v>
      </c>
    </row>
    <row r="321" spans="1:12" x14ac:dyDescent="0.3">
      <c r="A321" t="s">
        <v>525</v>
      </c>
      <c r="B321" s="3">
        <v>45710</v>
      </c>
      <c r="C321" t="s">
        <v>403</v>
      </c>
      <c r="D321" t="s">
        <v>25</v>
      </c>
      <c r="E321" t="s">
        <v>26</v>
      </c>
      <c r="F321" t="s">
        <v>21</v>
      </c>
      <c r="G321" t="s">
        <v>55</v>
      </c>
      <c r="H321">
        <v>3</v>
      </c>
      <c r="I321">
        <v>12630</v>
      </c>
      <c r="J321">
        <v>0.1</v>
      </c>
      <c r="K321">
        <v>34101</v>
      </c>
      <c r="L321">
        <v>3702.52</v>
      </c>
    </row>
    <row r="322" spans="1:12" x14ac:dyDescent="0.3">
      <c r="A322" t="s">
        <v>526</v>
      </c>
      <c r="B322" s="3">
        <v>45784</v>
      </c>
      <c r="C322" t="s">
        <v>96</v>
      </c>
      <c r="D322" t="s">
        <v>527</v>
      </c>
      <c r="E322" t="s">
        <v>51</v>
      </c>
      <c r="F322" t="s">
        <v>27</v>
      </c>
      <c r="G322" t="s">
        <v>40</v>
      </c>
      <c r="H322">
        <v>1</v>
      </c>
      <c r="I322">
        <v>20978</v>
      </c>
      <c r="J322">
        <v>0.05</v>
      </c>
      <c r="K322">
        <v>19929.099999999999</v>
      </c>
      <c r="L322">
        <v>1594.86</v>
      </c>
    </row>
    <row r="323" spans="1:12" x14ac:dyDescent="0.3">
      <c r="A323" t="s">
        <v>528</v>
      </c>
      <c r="B323" s="3">
        <v>45921</v>
      </c>
      <c r="C323" t="s">
        <v>398</v>
      </c>
      <c r="D323" t="s">
        <v>80</v>
      </c>
      <c r="E323" t="s">
        <v>51</v>
      </c>
      <c r="F323" t="s">
        <v>16</v>
      </c>
      <c r="G323" t="s">
        <v>104</v>
      </c>
      <c r="H323">
        <v>1</v>
      </c>
      <c r="I323">
        <v>54873</v>
      </c>
      <c r="J323">
        <v>0.15</v>
      </c>
      <c r="K323">
        <v>46642.05</v>
      </c>
      <c r="L323">
        <v>6681.66</v>
      </c>
    </row>
    <row r="324" spans="1:12" x14ac:dyDescent="0.3">
      <c r="A324" t="s">
        <v>529</v>
      </c>
      <c r="B324" s="3">
        <v>45819</v>
      </c>
      <c r="C324" t="s">
        <v>139</v>
      </c>
      <c r="D324" t="s">
        <v>202</v>
      </c>
      <c r="E324" t="s">
        <v>44</v>
      </c>
      <c r="F324" t="s">
        <v>16</v>
      </c>
      <c r="G324" t="s">
        <v>52</v>
      </c>
      <c r="H324">
        <v>1</v>
      </c>
      <c r="I324">
        <v>2951</v>
      </c>
      <c r="J324">
        <v>0.2</v>
      </c>
      <c r="K324">
        <v>2360.8000000000002</v>
      </c>
      <c r="L324">
        <v>393.7</v>
      </c>
    </row>
    <row r="325" spans="1:12" x14ac:dyDescent="0.3">
      <c r="A325" t="s">
        <v>530</v>
      </c>
      <c r="B325" s="3">
        <v>45843</v>
      </c>
      <c r="C325" t="s">
        <v>295</v>
      </c>
      <c r="D325" t="s">
        <v>20</v>
      </c>
      <c r="E325" t="s">
        <v>15</v>
      </c>
      <c r="F325" t="s">
        <v>21</v>
      </c>
      <c r="G325" t="s">
        <v>22</v>
      </c>
      <c r="H325">
        <v>1</v>
      </c>
      <c r="I325">
        <v>11211</v>
      </c>
      <c r="J325">
        <v>0.2</v>
      </c>
      <c r="K325">
        <v>8968.7999999999993</v>
      </c>
      <c r="L325">
        <v>2231.88</v>
      </c>
    </row>
    <row r="326" spans="1:12" x14ac:dyDescent="0.3">
      <c r="A326" t="s">
        <v>531</v>
      </c>
      <c r="B326" s="3">
        <v>45670</v>
      </c>
      <c r="C326" t="s">
        <v>194</v>
      </c>
      <c r="D326" t="s">
        <v>103</v>
      </c>
      <c r="E326" t="s">
        <v>51</v>
      </c>
      <c r="F326" t="s">
        <v>58</v>
      </c>
      <c r="G326" t="s">
        <v>59</v>
      </c>
      <c r="H326">
        <v>1</v>
      </c>
      <c r="I326">
        <v>3372</v>
      </c>
      <c r="J326">
        <v>0</v>
      </c>
      <c r="K326">
        <v>3372</v>
      </c>
      <c r="L326">
        <v>725.73</v>
      </c>
    </row>
    <row r="327" spans="1:12" x14ac:dyDescent="0.3">
      <c r="A327" t="s">
        <v>532</v>
      </c>
      <c r="B327" s="3">
        <v>45868</v>
      </c>
      <c r="C327" t="s">
        <v>49</v>
      </c>
      <c r="D327" t="s">
        <v>14</v>
      </c>
      <c r="E327" t="s">
        <v>15</v>
      </c>
      <c r="F327" t="s">
        <v>21</v>
      </c>
      <c r="G327" t="s">
        <v>22</v>
      </c>
      <c r="H327">
        <v>2</v>
      </c>
      <c r="I327">
        <v>6578</v>
      </c>
      <c r="J327">
        <v>0.05</v>
      </c>
      <c r="K327">
        <v>12498.2</v>
      </c>
      <c r="L327">
        <v>3391.51</v>
      </c>
    </row>
    <row r="328" spans="1:12" x14ac:dyDescent="0.3">
      <c r="A328" t="s">
        <v>533</v>
      </c>
      <c r="B328" s="3">
        <v>45913</v>
      </c>
      <c r="C328" t="s">
        <v>165</v>
      </c>
      <c r="D328" t="s">
        <v>202</v>
      </c>
      <c r="E328" t="s">
        <v>44</v>
      </c>
      <c r="F328" t="s">
        <v>16</v>
      </c>
      <c r="G328" t="s">
        <v>104</v>
      </c>
      <c r="H328">
        <v>1</v>
      </c>
      <c r="I328">
        <v>1862</v>
      </c>
      <c r="J328">
        <v>0</v>
      </c>
      <c r="K328">
        <v>1862</v>
      </c>
      <c r="L328">
        <v>434.8</v>
      </c>
    </row>
    <row r="329" spans="1:12" x14ac:dyDescent="0.3">
      <c r="A329" t="s">
        <v>534</v>
      </c>
      <c r="B329" s="3">
        <v>45986</v>
      </c>
      <c r="C329" t="s">
        <v>535</v>
      </c>
      <c r="D329" t="s">
        <v>34</v>
      </c>
      <c r="E329" t="s">
        <v>15</v>
      </c>
      <c r="F329" t="s">
        <v>21</v>
      </c>
      <c r="G329" t="s">
        <v>35</v>
      </c>
      <c r="H329">
        <v>4</v>
      </c>
      <c r="I329">
        <v>20149</v>
      </c>
      <c r="J329">
        <v>0.1</v>
      </c>
      <c r="K329">
        <v>72536.399999999994</v>
      </c>
      <c r="L329">
        <v>17354.2</v>
      </c>
    </row>
    <row r="330" spans="1:12" x14ac:dyDescent="0.3">
      <c r="A330" t="s">
        <v>536</v>
      </c>
      <c r="B330" s="3">
        <v>45949</v>
      </c>
      <c r="C330" t="s">
        <v>354</v>
      </c>
      <c r="D330" t="s">
        <v>25</v>
      </c>
      <c r="E330" t="s">
        <v>26</v>
      </c>
      <c r="F330" t="s">
        <v>58</v>
      </c>
      <c r="G330" t="s">
        <v>59</v>
      </c>
      <c r="H330">
        <v>3</v>
      </c>
      <c r="I330">
        <v>9788</v>
      </c>
      <c r="J330">
        <v>0.1</v>
      </c>
      <c r="K330">
        <v>26427.599999999999</v>
      </c>
      <c r="L330">
        <v>4202.68</v>
      </c>
    </row>
    <row r="331" spans="1:12" x14ac:dyDescent="0.3">
      <c r="A331" t="s">
        <v>537</v>
      </c>
      <c r="B331" s="3">
        <v>45884</v>
      </c>
      <c r="C331" t="s">
        <v>174</v>
      </c>
      <c r="D331" t="s">
        <v>120</v>
      </c>
      <c r="E331" t="s">
        <v>51</v>
      </c>
      <c r="F331" t="s">
        <v>58</v>
      </c>
      <c r="G331" t="s">
        <v>59</v>
      </c>
      <c r="H331">
        <v>2</v>
      </c>
      <c r="I331">
        <v>1882</v>
      </c>
      <c r="J331">
        <v>0.15</v>
      </c>
      <c r="K331">
        <v>3199.4</v>
      </c>
      <c r="L331">
        <v>603.91999999999996</v>
      </c>
    </row>
    <row r="332" spans="1:12" x14ac:dyDescent="0.3">
      <c r="A332" t="s">
        <v>538</v>
      </c>
      <c r="B332" s="3">
        <v>45759</v>
      </c>
      <c r="C332" t="s">
        <v>257</v>
      </c>
      <c r="D332" t="s">
        <v>68</v>
      </c>
      <c r="E332" t="s">
        <v>44</v>
      </c>
      <c r="F332" t="s">
        <v>58</v>
      </c>
      <c r="G332" t="s">
        <v>126</v>
      </c>
      <c r="H332">
        <v>1</v>
      </c>
      <c r="I332">
        <v>1920</v>
      </c>
      <c r="J332">
        <v>0</v>
      </c>
      <c r="K332">
        <v>1920</v>
      </c>
      <c r="L332">
        <v>312.44</v>
      </c>
    </row>
    <row r="333" spans="1:12" x14ac:dyDescent="0.3">
      <c r="A333" t="s">
        <v>539</v>
      </c>
      <c r="B333" s="3">
        <v>45681</v>
      </c>
      <c r="C333" t="s">
        <v>492</v>
      </c>
      <c r="D333" t="s">
        <v>307</v>
      </c>
      <c r="E333" t="s">
        <v>73</v>
      </c>
      <c r="F333" t="s">
        <v>58</v>
      </c>
      <c r="G333" t="s">
        <v>69</v>
      </c>
      <c r="H333">
        <v>3</v>
      </c>
      <c r="I333">
        <v>405</v>
      </c>
      <c r="J333">
        <v>0</v>
      </c>
      <c r="K333">
        <v>1215</v>
      </c>
      <c r="L333">
        <v>193.83</v>
      </c>
    </row>
    <row r="334" spans="1:12" x14ac:dyDescent="0.3">
      <c r="A334" t="s">
        <v>540</v>
      </c>
      <c r="B334" s="3">
        <v>45761</v>
      </c>
      <c r="C334" t="s">
        <v>305</v>
      </c>
      <c r="D334" t="s">
        <v>20</v>
      </c>
      <c r="E334" t="s">
        <v>15</v>
      </c>
      <c r="F334" t="s">
        <v>21</v>
      </c>
      <c r="G334" t="s">
        <v>22</v>
      </c>
      <c r="H334">
        <v>1</v>
      </c>
      <c r="I334">
        <v>14428</v>
      </c>
      <c r="J334">
        <v>0.1</v>
      </c>
      <c r="K334">
        <v>12985.2</v>
      </c>
      <c r="L334">
        <v>1237.19</v>
      </c>
    </row>
    <row r="335" spans="1:12" x14ac:dyDescent="0.3">
      <c r="A335" t="s">
        <v>541</v>
      </c>
      <c r="B335" s="3">
        <v>45881</v>
      </c>
      <c r="C335" t="s">
        <v>542</v>
      </c>
      <c r="D335" t="s">
        <v>307</v>
      </c>
      <c r="E335" t="s">
        <v>73</v>
      </c>
      <c r="F335" t="s">
        <v>58</v>
      </c>
      <c r="G335" t="s">
        <v>69</v>
      </c>
      <c r="H335">
        <v>1</v>
      </c>
      <c r="I335">
        <v>366</v>
      </c>
      <c r="J335">
        <v>0.1</v>
      </c>
      <c r="K335">
        <v>329.4</v>
      </c>
      <c r="L335">
        <v>49.28</v>
      </c>
    </row>
    <row r="336" spans="1:12" x14ac:dyDescent="0.3">
      <c r="A336" t="s">
        <v>543</v>
      </c>
      <c r="B336" s="3">
        <v>45792</v>
      </c>
      <c r="C336" t="s">
        <v>544</v>
      </c>
      <c r="D336" t="s">
        <v>65</v>
      </c>
      <c r="E336" t="s">
        <v>26</v>
      </c>
      <c r="F336" t="s">
        <v>16</v>
      </c>
      <c r="G336" t="s">
        <v>52</v>
      </c>
      <c r="H336">
        <v>4</v>
      </c>
      <c r="I336">
        <v>3429</v>
      </c>
      <c r="J336">
        <v>0.1</v>
      </c>
      <c r="K336">
        <v>12344.4</v>
      </c>
      <c r="L336">
        <v>3036.14</v>
      </c>
    </row>
    <row r="337" spans="1:12" x14ac:dyDescent="0.3">
      <c r="A337" t="s">
        <v>545</v>
      </c>
      <c r="B337" s="3">
        <v>45814</v>
      </c>
      <c r="C337" t="s">
        <v>546</v>
      </c>
      <c r="D337" t="s">
        <v>20</v>
      </c>
      <c r="E337" t="s">
        <v>15</v>
      </c>
      <c r="F337" t="s">
        <v>21</v>
      </c>
      <c r="G337" t="s">
        <v>22</v>
      </c>
      <c r="H337">
        <v>1</v>
      </c>
      <c r="I337">
        <v>10325</v>
      </c>
      <c r="J337">
        <v>0.15</v>
      </c>
      <c r="K337">
        <v>8776.25</v>
      </c>
      <c r="L337">
        <v>1533.75</v>
      </c>
    </row>
    <row r="338" spans="1:12" x14ac:dyDescent="0.3">
      <c r="A338" t="s">
        <v>547</v>
      </c>
      <c r="B338" s="3">
        <v>45969</v>
      </c>
      <c r="C338" t="s">
        <v>234</v>
      </c>
      <c r="D338" t="s">
        <v>97</v>
      </c>
      <c r="E338" t="s">
        <v>44</v>
      </c>
      <c r="F338" t="s">
        <v>16</v>
      </c>
      <c r="G338" t="s">
        <v>52</v>
      </c>
      <c r="H338">
        <v>5</v>
      </c>
      <c r="I338">
        <v>767</v>
      </c>
      <c r="J338">
        <v>0.2</v>
      </c>
      <c r="K338">
        <v>3068</v>
      </c>
      <c r="L338">
        <v>291.83</v>
      </c>
    </row>
    <row r="339" spans="1:12" x14ac:dyDescent="0.3">
      <c r="A339" t="s">
        <v>548</v>
      </c>
      <c r="B339" s="3">
        <v>45683</v>
      </c>
      <c r="C339" t="s">
        <v>54</v>
      </c>
      <c r="D339" t="s">
        <v>120</v>
      </c>
      <c r="E339" t="s">
        <v>51</v>
      </c>
      <c r="F339" t="s">
        <v>16</v>
      </c>
      <c r="G339" t="s">
        <v>104</v>
      </c>
      <c r="H339">
        <v>3</v>
      </c>
      <c r="I339">
        <v>967</v>
      </c>
      <c r="J339">
        <v>0.05</v>
      </c>
      <c r="K339">
        <v>2755.95</v>
      </c>
      <c r="L339">
        <v>761.55</v>
      </c>
    </row>
    <row r="340" spans="1:12" x14ac:dyDescent="0.3">
      <c r="A340" t="s">
        <v>549</v>
      </c>
      <c r="B340" s="3">
        <v>45978</v>
      </c>
      <c r="C340" t="s">
        <v>174</v>
      </c>
      <c r="D340" t="s">
        <v>202</v>
      </c>
      <c r="E340" t="s">
        <v>44</v>
      </c>
      <c r="F340" t="s">
        <v>21</v>
      </c>
      <c r="G340" t="s">
        <v>22</v>
      </c>
      <c r="H340">
        <v>1</v>
      </c>
      <c r="I340">
        <v>3285</v>
      </c>
      <c r="J340">
        <v>0.05</v>
      </c>
      <c r="K340">
        <v>3120.75</v>
      </c>
      <c r="L340">
        <v>543</v>
      </c>
    </row>
    <row r="341" spans="1:12" x14ac:dyDescent="0.3">
      <c r="A341" t="s">
        <v>550</v>
      </c>
      <c r="B341" s="3">
        <v>45662</v>
      </c>
      <c r="C341" t="s">
        <v>551</v>
      </c>
      <c r="D341" t="s">
        <v>92</v>
      </c>
      <c r="E341" t="s">
        <v>51</v>
      </c>
      <c r="F341" t="s">
        <v>27</v>
      </c>
      <c r="G341" t="s">
        <v>28</v>
      </c>
      <c r="H341">
        <v>2</v>
      </c>
      <c r="I341">
        <v>12684</v>
      </c>
      <c r="J341">
        <v>0</v>
      </c>
      <c r="K341">
        <v>25368</v>
      </c>
      <c r="L341">
        <v>4138.24</v>
      </c>
    </row>
    <row r="342" spans="1:12" x14ac:dyDescent="0.3">
      <c r="A342" t="s">
        <v>552</v>
      </c>
      <c r="B342" s="3">
        <v>45779</v>
      </c>
      <c r="C342" t="s">
        <v>468</v>
      </c>
      <c r="D342" t="s">
        <v>153</v>
      </c>
      <c r="E342" t="s">
        <v>26</v>
      </c>
      <c r="F342" t="s">
        <v>21</v>
      </c>
      <c r="G342" t="s">
        <v>35</v>
      </c>
      <c r="H342">
        <v>2</v>
      </c>
      <c r="I342">
        <v>3072</v>
      </c>
      <c r="J342">
        <v>0.05</v>
      </c>
      <c r="K342">
        <v>5836.8</v>
      </c>
      <c r="L342">
        <v>1408.96</v>
      </c>
    </row>
    <row r="343" spans="1:12" x14ac:dyDescent="0.3">
      <c r="A343" t="s">
        <v>553</v>
      </c>
      <c r="B343" s="3">
        <v>45660</v>
      </c>
      <c r="C343" t="s">
        <v>87</v>
      </c>
      <c r="D343" t="s">
        <v>47</v>
      </c>
      <c r="E343" t="s">
        <v>26</v>
      </c>
      <c r="F343" t="s">
        <v>16</v>
      </c>
      <c r="G343" t="s">
        <v>104</v>
      </c>
      <c r="H343">
        <v>1</v>
      </c>
      <c r="I343">
        <v>13683</v>
      </c>
      <c r="J343">
        <v>0</v>
      </c>
      <c r="K343">
        <v>13683</v>
      </c>
      <c r="L343">
        <v>1231.4100000000001</v>
      </c>
    </row>
    <row r="344" spans="1:12" x14ac:dyDescent="0.3">
      <c r="A344" t="s">
        <v>554</v>
      </c>
      <c r="B344" s="3">
        <v>45668</v>
      </c>
      <c r="C344" t="s">
        <v>555</v>
      </c>
      <c r="D344" t="s">
        <v>50</v>
      </c>
      <c r="E344" t="s">
        <v>51</v>
      </c>
      <c r="F344" t="s">
        <v>58</v>
      </c>
      <c r="G344" t="s">
        <v>69</v>
      </c>
      <c r="H344">
        <v>1</v>
      </c>
      <c r="I344">
        <v>2580</v>
      </c>
      <c r="J344">
        <v>0</v>
      </c>
      <c r="K344">
        <v>2580</v>
      </c>
      <c r="L344">
        <v>534.85</v>
      </c>
    </row>
    <row r="345" spans="1:12" x14ac:dyDescent="0.3">
      <c r="A345" t="s">
        <v>556</v>
      </c>
      <c r="B345" s="3">
        <v>45989</v>
      </c>
      <c r="C345" t="s">
        <v>172</v>
      </c>
      <c r="D345" t="s">
        <v>30</v>
      </c>
      <c r="E345" t="s">
        <v>15</v>
      </c>
      <c r="F345" t="s">
        <v>27</v>
      </c>
      <c r="G345" t="s">
        <v>40</v>
      </c>
      <c r="H345">
        <v>1</v>
      </c>
      <c r="I345">
        <v>8651</v>
      </c>
      <c r="J345">
        <v>0.1</v>
      </c>
      <c r="K345">
        <v>7785.9</v>
      </c>
      <c r="L345">
        <v>736.67</v>
      </c>
    </row>
    <row r="346" spans="1:12" x14ac:dyDescent="0.3">
      <c r="A346" t="s">
        <v>557</v>
      </c>
      <c r="B346" s="3">
        <v>45942</v>
      </c>
      <c r="C346" t="s">
        <v>458</v>
      </c>
      <c r="D346" t="s">
        <v>120</v>
      </c>
      <c r="E346" t="s">
        <v>51</v>
      </c>
      <c r="F346" t="s">
        <v>21</v>
      </c>
      <c r="G346" t="s">
        <v>22</v>
      </c>
      <c r="H346">
        <v>4</v>
      </c>
      <c r="I346">
        <v>2099</v>
      </c>
      <c r="J346">
        <v>0.2</v>
      </c>
      <c r="K346">
        <v>6716.8</v>
      </c>
      <c r="L346">
        <v>1237.8499999999999</v>
      </c>
    </row>
    <row r="347" spans="1:12" x14ac:dyDescent="0.3">
      <c r="A347" t="s">
        <v>558</v>
      </c>
      <c r="B347" s="3">
        <v>46009</v>
      </c>
      <c r="C347" t="s">
        <v>337</v>
      </c>
      <c r="D347" t="s">
        <v>83</v>
      </c>
      <c r="E347" t="s">
        <v>73</v>
      </c>
      <c r="F347" t="s">
        <v>27</v>
      </c>
      <c r="G347" t="s">
        <v>40</v>
      </c>
      <c r="H347">
        <v>1</v>
      </c>
      <c r="I347">
        <v>401</v>
      </c>
      <c r="J347">
        <v>0.05</v>
      </c>
      <c r="K347">
        <v>380.95</v>
      </c>
      <c r="L347">
        <v>90.01</v>
      </c>
    </row>
    <row r="348" spans="1:12" x14ac:dyDescent="0.3">
      <c r="A348" t="s">
        <v>559</v>
      </c>
      <c r="B348" s="3">
        <v>45701</v>
      </c>
      <c r="C348" t="s">
        <v>278</v>
      </c>
      <c r="D348" t="s">
        <v>25</v>
      </c>
      <c r="E348" t="s">
        <v>26</v>
      </c>
      <c r="F348" t="s">
        <v>58</v>
      </c>
      <c r="G348" t="s">
        <v>69</v>
      </c>
      <c r="H348">
        <v>1</v>
      </c>
      <c r="I348">
        <v>6108</v>
      </c>
      <c r="J348">
        <v>0.05</v>
      </c>
      <c r="K348">
        <v>5802.6</v>
      </c>
      <c r="L348">
        <v>1539.07</v>
      </c>
    </row>
    <row r="349" spans="1:12" x14ac:dyDescent="0.3">
      <c r="A349" t="s">
        <v>560</v>
      </c>
      <c r="B349" s="3">
        <v>45909</v>
      </c>
      <c r="C349" t="s">
        <v>421</v>
      </c>
      <c r="D349" t="s">
        <v>83</v>
      </c>
      <c r="E349" t="s">
        <v>73</v>
      </c>
      <c r="F349" t="s">
        <v>21</v>
      </c>
      <c r="G349" t="s">
        <v>55</v>
      </c>
      <c r="H349">
        <v>1</v>
      </c>
      <c r="I349">
        <v>585</v>
      </c>
      <c r="J349">
        <v>0.15</v>
      </c>
      <c r="K349">
        <v>497.25</v>
      </c>
      <c r="L349">
        <v>65.02</v>
      </c>
    </row>
    <row r="350" spans="1:12" x14ac:dyDescent="0.3">
      <c r="A350" t="s">
        <v>561</v>
      </c>
      <c r="B350" s="3">
        <v>45830</v>
      </c>
      <c r="C350" t="s">
        <v>46</v>
      </c>
      <c r="D350" t="s">
        <v>50</v>
      </c>
      <c r="E350" t="s">
        <v>51</v>
      </c>
      <c r="F350" t="s">
        <v>21</v>
      </c>
      <c r="G350" t="s">
        <v>35</v>
      </c>
      <c r="H350">
        <v>1</v>
      </c>
      <c r="I350">
        <v>1580</v>
      </c>
      <c r="J350">
        <v>0.05</v>
      </c>
      <c r="K350">
        <v>1501</v>
      </c>
      <c r="L350">
        <v>396.12</v>
      </c>
    </row>
    <row r="351" spans="1:12" x14ac:dyDescent="0.3">
      <c r="A351" t="s">
        <v>562</v>
      </c>
      <c r="B351" s="3">
        <v>45980</v>
      </c>
      <c r="C351" t="s">
        <v>563</v>
      </c>
      <c r="D351" t="s">
        <v>103</v>
      </c>
      <c r="E351" t="s">
        <v>51</v>
      </c>
      <c r="F351" t="s">
        <v>16</v>
      </c>
      <c r="G351" t="s">
        <v>52</v>
      </c>
      <c r="H351">
        <v>1</v>
      </c>
      <c r="I351">
        <v>7083</v>
      </c>
      <c r="J351">
        <v>0.2</v>
      </c>
      <c r="K351">
        <v>5666.4</v>
      </c>
      <c r="L351">
        <v>1530.98</v>
      </c>
    </row>
    <row r="352" spans="1:12" x14ac:dyDescent="0.3">
      <c r="A352" t="s">
        <v>564</v>
      </c>
      <c r="B352" s="3">
        <v>45773</v>
      </c>
      <c r="C352" t="s">
        <v>240</v>
      </c>
      <c r="D352" t="s">
        <v>80</v>
      </c>
      <c r="E352" t="s">
        <v>51</v>
      </c>
      <c r="F352" t="s">
        <v>27</v>
      </c>
      <c r="G352" t="s">
        <v>28</v>
      </c>
      <c r="H352">
        <v>1</v>
      </c>
      <c r="I352">
        <v>67954</v>
      </c>
      <c r="J352">
        <v>0.05</v>
      </c>
      <c r="K352">
        <v>64556.3</v>
      </c>
      <c r="L352">
        <v>16103.85</v>
      </c>
    </row>
    <row r="353" spans="1:12" x14ac:dyDescent="0.3">
      <c r="A353" t="s">
        <v>565</v>
      </c>
      <c r="B353" s="3">
        <v>45923</v>
      </c>
      <c r="C353" t="s">
        <v>300</v>
      </c>
      <c r="D353" t="s">
        <v>103</v>
      </c>
      <c r="E353" t="s">
        <v>51</v>
      </c>
      <c r="F353" t="s">
        <v>21</v>
      </c>
      <c r="G353" t="s">
        <v>22</v>
      </c>
      <c r="H353">
        <v>3</v>
      </c>
      <c r="I353">
        <v>7064</v>
      </c>
      <c r="J353">
        <v>0.05</v>
      </c>
      <c r="K353">
        <v>20132.400000000001</v>
      </c>
      <c r="L353">
        <v>5461.2</v>
      </c>
    </row>
    <row r="354" spans="1:12" x14ac:dyDescent="0.3">
      <c r="A354" t="s">
        <v>566</v>
      </c>
      <c r="B354" s="3">
        <v>45725</v>
      </c>
      <c r="C354" t="s">
        <v>448</v>
      </c>
      <c r="D354" t="s">
        <v>97</v>
      </c>
      <c r="E354" t="s">
        <v>44</v>
      </c>
      <c r="F354" t="s">
        <v>58</v>
      </c>
      <c r="G354" t="s">
        <v>126</v>
      </c>
      <c r="H354">
        <v>2</v>
      </c>
      <c r="I354">
        <v>665</v>
      </c>
      <c r="J354">
        <v>0.1</v>
      </c>
      <c r="K354">
        <v>1197</v>
      </c>
      <c r="L354">
        <v>219.46</v>
      </c>
    </row>
    <row r="355" spans="1:12" x14ac:dyDescent="0.3">
      <c r="A355" t="s">
        <v>567</v>
      </c>
      <c r="B355" s="3">
        <v>45960</v>
      </c>
      <c r="C355" t="s">
        <v>123</v>
      </c>
      <c r="D355" t="s">
        <v>97</v>
      </c>
      <c r="E355" t="s">
        <v>44</v>
      </c>
      <c r="F355" t="s">
        <v>21</v>
      </c>
      <c r="G355" t="s">
        <v>22</v>
      </c>
      <c r="H355">
        <v>4</v>
      </c>
      <c r="I355">
        <v>1054</v>
      </c>
      <c r="J355">
        <v>0.05</v>
      </c>
      <c r="K355">
        <v>4005.2</v>
      </c>
      <c r="L355">
        <v>931.7</v>
      </c>
    </row>
    <row r="356" spans="1:12" x14ac:dyDescent="0.3">
      <c r="A356" t="s">
        <v>568</v>
      </c>
      <c r="B356" s="3">
        <v>45878</v>
      </c>
      <c r="C356" t="s">
        <v>503</v>
      </c>
      <c r="D356" t="s">
        <v>153</v>
      </c>
      <c r="E356" t="s">
        <v>26</v>
      </c>
      <c r="F356" t="s">
        <v>27</v>
      </c>
      <c r="G356" t="s">
        <v>28</v>
      </c>
      <c r="H356">
        <v>1</v>
      </c>
      <c r="I356">
        <v>4718</v>
      </c>
      <c r="J356">
        <v>0.1</v>
      </c>
      <c r="K356">
        <v>4246.2</v>
      </c>
      <c r="L356">
        <v>367.56</v>
      </c>
    </row>
    <row r="357" spans="1:12" x14ac:dyDescent="0.3">
      <c r="A357" t="s">
        <v>569</v>
      </c>
      <c r="B357" s="3">
        <v>45852</v>
      </c>
      <c r="C357" t="s">
        <v>570</v>
      </c>
      <c r="D357" t="s">
        <v>30</v>
      </c>
      <c r="E357" t="s">
        <v>15</v>
      </c>
      <c r="F357" t="s">
        <v>58</v>
      </c>
      <c r="G357" t="s">
        <v>126</v>
      </c>
      <c r="H357">
        <v>1</v>
      </c>
      <c r="I357">
        <v>12354</v>
      </c>
      <c r="J357">
        <v>0</v>
      </c>
      <c r="K357">
        <v>12354</v>
      </c>
      <c r="L357">
        <v>2783.97</v>
      </c>
    </row>
    <row r="358" spans="1:12" x14ac:dyDescent="0.3">
      <c r="A358" t="s">
        <v>571</v>
      </c>
      <c r="B358" s="3">
        <v>45838</v>
      </c>
      <c r="C358" t="s">
        <v>394</v>
      </c>
      <c r="D358" t="s">
        <v>20</v>
      </c>
      <c r="E358" t="s">
        <v>15</v>
      </c>
      <c r="F358" t="s">
        <v>16</v>
      </c>
      <c r="G358" t="s">
        <v>104</v>
      </c>
      <c r="H358">
        <v>1</v>
      </c>
      <c r="I358">
        <v>9678</v>
      </c>
      <c r="J358">
        <v>0</v>
      </c>
      <c r="K358">
        <v>9678</v>
      </c>
      <c r="L358">
        <v>1021.74</v>
      </c>
    </row>
    <row r="359" spans="1:12" x14ac:dyDescent="0.3">
      <c r="A359" t="s">
        <v>572</v>
      </c>
      <c r="B359" s="3">
        <v>45983</v>
      </c>
      <c r="C359" t="s">
        <v>102</v>
      </c>
      <c r="D359" t="s">
        <v>47</v>
      </c>
      <c r="E359" t="s">
        <v>26</v>
      </c>
      <c r="F359" t="s">
        <v>58</v>
      </c>
      <c r="G359" t="s">
        <v>69</v>
      </c>
      <c r="H359">
        <v>1</v>
      </c>
      <c r="I359">
        <v>21596</v>
      </c>
      <c r="J359">
        <v>0.05</v>
      </c>
      <c r="K359">
        <v>20516.2</v>
      </c>
      <c r="L359">
        <v>2889.5</v>
      </c>
    </row>
    <row r="360" spans="1:12" x14ac:dyDescent="0.3">
      <c r="A360" t="s">
        <v>573</v>
      </c>
      <c r="B360" s="3">
        <v>45960</v>
      </c>
      <c r="C360" t="s">
        <v>516</v>
      </c>
      <c r="D360" t="s">
        <v>20</v>
      </c>
      <c r="E360" t="s">
        <v>15</v>
      </c>
      <c r="F360" t="s">
        <v>16</v>
      </c>
      <c r="G360" t="s">
        <v>104</v>
      </c>
      <c r="H360">
        <v>1</v>
      </c>
      <c r="I360">
        <v>8411</v>
      </c>
      <c r="J360">
        <v>0.15</v>
      </c>
      <c r="K360">
        <v>7149.35</v>
      </c>
      <c r="L360">
        <v>1487.97</v>
      </c>
    </row>
    <row r="361" spans="1:12" x14ac:dyDescent="0.3">
      <c r="A361" t="s">
        <v>574</v>
      </c>
      <c r="B361" s="3">
        <v>45687</v>
      </c>
      <c r="C361" t="s">
        <v>542</v>
      </c>
      <c r="D361" t="s">
        <v>202</v>
      </c>
      <c r="E361" t="s">
        <v>44</v>
      </c>
      <c r="F361" t="s">
        <v>27</v>
      </c>
      <c r="G361" t="s">
        <v>40</v>
      </c>
      <c r="H361">
        <v>1</v>
      </c>
      <c r="I361">
        <v>2753</v>
      </c>
      <c r="J361">
        <v>0.15</v>
      </c>
      <c r="K361">
        <v>2340.0500000000002</v>
      </c>
      <c r="L361">
        <v>272.2</v>
      </c>
    </row>
    <row r="362" spans="1:12" x14ac:dyDescent="0.3">
      <c r="A362" t="s">
        <v>575</v>
      </c>
      <c r="B362" s="3">
        <v>45673</v>
      </c>
      <c r="C362" t="s">
        <v>412</v>
      </c>
      <c r="D362" t="s">
        <v>30</v>
      </c>
      <c r="E362" t="s">
        <v>15</v>
      </c>
      <c r="F362" t="s">
        <v>27</v>
      </c>
      <c r="G362" t="s">
        <v>31</v>
      </c>
      <c r="H362">
        <v>3</v>
      </c>
      <c r="I362">
        <v>8235</v>
      </c>
      <c r="J362">
        <v>0.1</v>
      </c>
      <c r="K362">
        <v>22234.5</v>
      </c>
      <c r="L362">
        <v>4718.22</v>
      </c>
    </row>
    <row r="363" spans="1:12" x14ac:dyDescent="0.3">
      <c r="A363" t="s">
        <v>576</v>
      </c>
      <c r="B363" s="3">
        <v>45819</v>
      </c>
      <c r="C363" t="s">
        <v>234</v>
      </c>
      <c r="D363" t="s">
        <v>34</v>
      </c>
      <c r="E363" t="s">
        <v>15</v>
      </c>
      <c r="F363" t="s">
        <v>27</v>
      </c>
      <c r="G363" t="s">
        <v>31</v>
      </c>
      <c r="H363">
        <v>3</v>
      </c>
      <c r="I363">
        <v>17508</v>
      </c>
      <c r="J363">
        <v>0.2</v>
      </c>
      <c r="K363">
        <v>42019.199999999997</v>
      </c>
      <c r="L363">
        <v>3718.05</v>
      </c>
    </row>
    <row r="364" spans="1:12" x14ac:dyDescent="0.3">
      <c r="A364" t="s">
        <v>577</v>
      </c>
      <c r="B364" s="3">
        <v>45780</v>
      </c>
      <c r="C364" t="s">
        <v>578</v>
      </c>
      <c r="D364" t="s">
        <v>65</v>
      </c>
      <c r="E364" t="s">
        <v>26</v>
      </c>
      <c r="F364" t="s">
        <v>16</v>
      </c>
      <c r="G364" t="s">
        <v>52</v>
      </c>
      <c r="H364">
        <v>3</v>
      </c>
      <c r="I364">
        <v>1538</v>
      </c>
      <c r="J364">
        <v>0.1</v>
      </c>
      <c r="K364">
        <v>4152.6000000000004</v>
      </c>
      <c r="L364">
        <v>754.85</v>
      </c>
    </row>
    <row r="365" spans="1:12" x14ac:dyDescent="0.3">
      <c r="A365" t="s">
        <v>579</v>
      </c>
      <c r="B365" s="3">
        <v>45761</v>
      </c>
      <c r="C365" t="s">
        <v>580</v>
      </c>
      <c r="D365" t="s">
        <v>202</v>
      </c>
      <c r="E365" t="s">
        <v>44</v>
      </c>
      <c r="F365" t="s">
        <v>21</v>
      </c>
      <c r="G365" t="s">
        <v>55</v>
      </c>
      <c r="H365">
        <v>1</v>
      </c>
      <c r="I365">
        <v>1155</v>
      </c>
      <c r="J365">
        <v>0.15</v>
      </c>
      <c r="K365">
        <v>981.75</v>
      </c>
      <c r="L365">
        <v>102.5</v>
      </c>
    </row>
    <row r="366" spans="1:12" x14ac:dyDescent="0.3">
      <c r="A366" t="s">
        <v>581</v>
      </c>
      <c r="B366" s="3">
        <v>45908</v>
      </c>
      <c r="C366" t="s">
        <v>71</v>
      </c>
      <c r="D366" t="s">
        <v>307</v>
      </c>
      <c r="E366" t="s">
        <v>73</v>
      </c>
      <c r="F366" t="s">
        <v>58</v>
      </c>
      <c r="G366" t="s">
        <v>126</v>
      </c>
      <c r="H366">
        <v>1</v>
      </c>
      <c r="I366">
        <v>133</v>
      </c>
      <c r="J366">
        <v>0</v>
      </c>
      <c r="K366">
        <v>133</v>
      </c>
      <c r="L366">
        <v>28.33</v>
      </c>
    </row>
    <row r="367" spans="1:12" x14ac:dyDescent="0.3">
      <c r="A367" t="s">
        <v>582</v>
      </c>
      <c r="B367" s="3">
        <v>45766</v>
      </c>
      <c r="C367" t="s">
        <v>270</v>
      </c>
      <c r="D367" t="s">
        <v>80</v>
      </c>
      <c r="E367" t="s">
        <v>51</v>
      </c>
      <c r="F367" t="s">
        <v>21</v>
      </c>
      <c r="G367" t="s">
        <v>22</v>
      </c>
      <c r="H367">
        <v>4</v>
      </c>
      <c r="I367">
        <v>64850</v>
      </c>
      <c r="J367">
        <v>0.05</v>
      </c>
      <c r="K367">
        <v>246430</v>
      </c>
      <c r="L367">
        <v>27749.759999999998</v>
      </c>
    </row>
    <row r="368" spans="1:12" x14ac:dyDescent="0.3">
      <c r="A368" t="s">
        <v>583</v>
      </c>
      <c r="B368" s="3">
        <v>45996</v>
      </c>
      <c r="C368" t="s">
        <v>458</v>
      </c>
      <c r="D368" t="s">
        <v>20</v>
      </c>
      <c r="E368" t="s">
        <v>15</v>
      </c>
      <c r="F368" t="s">
        <v>27</v>
      </c>
      <c r="G368" t="s">
        <v>28</v>
      </c>
      <c r="H368">
        <v>3</v>
      </c>
      <c r="I368">
        <v>6368</v>
      </c>
      <c r="J368">
        <v>0.15</v>
      </c>
      <c r="K368">
        <v>16238.4</v>
      </c>
      <c r="L368">
        <v>3299.36</v>
      </c>
    </row>
    <row r="369" spans="1:12" x14ac:dyDescent="0.3">
      <c r="A369" t="s">
        <v>584</v>
      </c>
      <c r="B369" s="3">
        <v>45996</v>
      </c>
      <c r="C369" t="s">
        <v>310</v>
      </c>
      <c r="D369" t="s">
        <v>20</v>
      </c>
      <c r="E369" t="s">
        <v>15</v>
      </c>
      <c r="F369" t="s">
        <v>21</v>
      </c>
      <c r="G369" t="s">
        <v>22</v>
      </c>
      <c r="H369">
        <v>3</v>
      </c>
      <c r="I369">
        <v>10877</v>
      </c>
      <c r="J369">
        <v>0.1</v>
      </c>
      <c r="K369">
        <v>29367.9</v>
      </c>
      <c r="L369">
        <v>4872.7</v>
      </c>
    </row>
    <row r="370" spans="1:12" x14ac:dyDescent="0.3">
      <c r="A370" t="s">
        <v>585</v>
      </c>
      <c r="B370" s="3">
        <v>45804</v>
      </c>
      <c r="C370" t="s">
        <v>323</v>
      </c>
      <c r="D370" t="s">
        <v>65</v>
      </c>
      <c r="E370" t="s">
        <v>26</v>
      </c>
      <c r="F370" t="s">
        <v>58</v>
      </c>
      <c r="G370" t="s">
        <v>69</v>
      </c>
      <c r="H370">
        <v>1</v>
      </c>
      <c r="I370">
        <v>1635</v>
      </c>
      <c r="J370">
        <v>0.15</v>
      </c>
      <c r="K370">
        <v>1389.75</v>
      </c>
      <c r="L370">
        <v>154.88999999999999</v>
      </c>
    </row>
    <row r="371" spans="1:12" x14ac:dyDescent="0.3">
      <c r="A371" t="s">
        <v>586</v>
      </c>
      <c r="B371" s="3">
        <v>45970</v>
      </c>
      <c r="C371" t="s">
        <v>463</v>
      </c>
      <c r="D371" t="s">
        <v>20</v>
      </c>
      <c r="E371" t="s">
        <v>15</v>
      </c>
      <c r="F371" t="s">
        <v>27</v>
      </c>
      <c r="G371" t="s">
        <v>31</v>
      </c>
      <c r="H371">
        <v>3</v>
      </c>
      <c r="I371">
        <v>7755</v>
      </c>
      <c r="J371">
        <v>0.1</v>
      </c>
      <c r="K371">
        <v>20938.5</v>
      </c>
      <c r="L371">
        <v>4069.38</v>
      </c>
    </row>
    <row r="372" spans="1:12" x14ac:dyDescent="0.3">
      <c r="A372" t="s">
        <v>587</v>
      </c>
      <c r="B372" s="3">
        <v>45770</v>
      </c>
      <c r="C372" t="s">
        <v>208</v>
      </c>
      <c r="D372" t="s">
        <v>202</v>
      </c>
      <c r="E372" t="s">
        <v>44</v>
      </c>
      <c r="F372" t="s">
        <v>27</v>
      </c>
      <c r="G372" t="s">
        <v>28</v>
      </c>
      <c r="H372">
        <v>1</v>
      </c>
      <c r="I372">
        <v>1916</v>
      </c>
      <c r="J372">
        <v>0</v>
      </c>
      <c r="K372">
        <v>1916</v>
      </c>
      <c r="L372">
        <v>311.02999999999997</v>
      </c>
    </row>
    <row r="373" spans="1:12" x14ac:dyDescent="0.3">
      <c r="A373" t="s">
        <v>588</v>
      </c>
      <c r="B373" s="3">
        <v>45726</v>
      </c>
      <c r="C373" t="s">
        <v>143</v>
      </c>
      <c r="D373" t="s">
        <v>14</v>
      </c>
      <c r="E373" t="s">
        <v>15</v>
      </c>
      <c r="F373" t="s">
        <v>21</v>
      </c>
      <c r="G373" t="s">
        <v>55</v>
      </c>
      <c r="H373">
        <v>1</v>
      </c>
      <c r="I373">
        <v>15405</v>
      </c>
      <c r="J373">
        <v>0.05</v>
      </c>
      <c r="K373">
        <v>14634.75</v>
      </c>
      <c r="L373">
        <v>2437.4699999999998</v>
      </c>
    </row>
    <row r="374" spans="1:12" x14ac:dyDescent="0.3">
      <c r="A374" t="s">
        <v>589</v>
      </c>
      <c r="B374" s="3">
        <v>45704</v>
      </c>
      <c r="C374" t="s">
        <v>159</v>
      </c>
      <c r="D374" t="s">
        <v>88</v>
      </c>
      <c r="E374" t="s">
        <v>73</v>
      </c>
      <c r="F374" t="s">
        <v>27</v>
      </c>
      <c r="G374" t="s">
        <v>40</v>
      </c>
      <c r="H374">
        <v>1</v>
      </c>
      <c r="I374">
        <v>591</v>
      </c>
      <c r="J374">
        <v>0.15</v>
      </c>
      <c r="K374">
        <v>502.35</v>
      </c>
      <c r="L374">
        <v>113.88</v>
      </c>
    </row>
    <row r="375" spans="1:12" x14ac:dyDescent="0.3">
      <c r="A375" t="s">
        <v>590</v>
      </c>
      <c r="B375" s="3">
        <v>45905</v>
      </c>
      <c r="C375" t="s">
        <v>204</v>
      </c>
      <c r="D375" t="s">
        <v>72</v>
      </c>
      <c r="E375" t="s">
        <v>73</v>
      </c>
      <c r="F375" t="s">
        <v>27</v>
      </c>
      <c r="G375" t="s">
        <v>28</v>
      </c>
      <c r="H375">
        <v>5</v>
      </c>
      <c r="I375">
        <v>559</v>
      </c>
      <c r="J375">
        <v>0.2</v>
      </c>
      <c r="K375">
        <v>2236</v>
      </c>
      <c r="L375">
        <v>587.95000000000005</v>
      </c>
    </row>
    <row r="376" spans="1:12" x14ac:dyDescent="0.3">
      <c r="A376" t="s">
        <v>591</v>
      </c>
      <c r="B376" s="3">
        <v>45979</v>
      </c>
      <c r="C376" t="s">
        <v>516</v>
      </c>
      <c r="D376" t="s">
        <v>103</v>
      </c>
      <c r="E376" t="s">
        <v>51</v>
      </c>
      <c r="F376" t="s">
        <v>27</v>
      </c>
      <c r="G376" t="s">
        <v>28</v>
      </c>
      <c r="H376">
        <v>5</v>
      </c>
      <c r="I376">
        <v>2084</v>
      </c>
      <c r="J376">
        <v>0.05</v>
      </c>
      <c r="K376">
        <v>9899</v>
      </c>
      <c r="L376">
        <v>2252.7800000000002</v>
      </c>
    </row>
    <row r="377" spans="1:12" x14ac:dyDescent="0.3">
      <c r="A377" t="s">
        <v>592</v>
      </c>
      <c r="B377" s="3">
        <v>45923</v>
      </c>
      <c r="C377" t="s">
        <v>551</v>
      </c>
      <c r="D377" t="s">
        <v>80</v>
      </c>
      <c r="E377" t="s">
        <v>51</v>
      </c>
      <c r="F377" t="s">
        <v>21</v>
      </c>
      <c r="G377" t="s">
        <v>22</v>
      </c>
      <c r="H377">
        <v>2</v>
      </c>
      <c r="I377">
        <v>74606</v>
      </c>
      <c r="J377">
        <v>0.1</v>
      </c>
      <c r="K377">
        <v>134290.79999999999</v>
      </c>
      <c r="L377">
        <v>25504.68</v>
      </c>
    </row>
    <row r="378" spans="1:12" x14ac:dyDescent="0.3">
      <c r="A378" t="s">
        <v>593</v>
      </c>
      <c r="B378" s="3">
        <v>45876</v>
      </c>
      <c r="C378" t="s">
        <v>119</v>
      </c>
      <c r="D378" t="s">
        <v>202</v>
      </c>
      <c r="E378" t="s">
        <v>44</v>
      </c>
      <c r="F378" t="s">
        <v>16</v>
      </c>
      <c r="G378" t="s">
        <v>17</v>
      </c>
      <c r="H378">
        <v>1</v>
      </c>
      <c r="I378">
        <v>3374</v>
      </c>
      <c r="J378">
        <v>0.05</v>
      </c>
      <c r="K378">
        <v>3205.3</v>
      </c>
      <c r="L378">
        <v>315.44</v>
      </c>
    </row>
    <row r="379" spans="1:12" x14ac:dyDescent="0.3">
      <c r="A379" t="s">
        <v>594</v>
      </c>
      <c r="B379" s="3">
        <v>45966</v>
      </c>
      <c r="C379" t="s">
        <v>595</v>
      </c>
      <c r="D379" t="s">
        <v>30</v>
      </c>
      <c r="E379" t="s">
        <v>15</v>
      </c>
      <c r="F379" t="s">
        <v>16</v>
      </c>
      <c r="G379" t="s">
        <v>104</v>
      </c>
      <c r="H379">
        <v>1</v>
      </c>
      <c r="I379">
        <v>13668</v>
      </c>
      <c r="J379">
        <v>0.05</v>
      </c>
      <c r="K379">
        <v>12984.6</v>
      </c>
      <c r="L379">
        <v>2794.35</v>
      </c>
    </row>
    <row r="380" spans="1:12" x14ac:dyDescent="0.3">
      <c r="A380" t="s">
        <v>596</v>
      </c>
      <c r="B380" s="3">
        <v>45915</v>
      </c>
      <c r="C380" t="s">
        <v>597</v>
      </c>
      <c r="D380" t="s">
        <v>47</v>
      </c>
      <c r="E380" t="s">
        <v>26</v>
      </c>
      <c r="F380" t="s">
        <v>16</v>
      </c>
      <c r="G380" t="s">
        <v>17</v>
      </c>
      <c r="H380">
        <v>4</v>
      </c>
      <c r="I380">
        <v>21201</v>
      </c>
      <c r="J380">
        <v>0</v>
      </c>
      <c r="K380">
        <v>84804</v>
      </c>
      <c r="L380">
        <v>9410.34</v>
      </c>
    </row>
    <row r="381" spans="1:12" x14ac:dyDescent="0.3">
      <c r="A381" t="s">
        <v>598</v>
      </c>
      <c r="B381" s="3">
        <v>45905</v>
      </c>
      <c r="C381" t="s">
        <v>77</v>
      </c>
      <c r="D381" t="s">
        <v>50</v>
      </c>
      <c r="E381" t="s">
        <v>51</v>
      </c>
      <c r="F381" t="s">
        <v>21</v>
      </c>
      <c r="G381" t="s">
        <v>35</v>
      </c>
      <c r="H381">
        <v>2</v>
      </c>
      <c r="I381">
        <v>2693</v>
      </c>
      <c r="J381">
        <v>0.1</v>
      </c>
      <c r="K381">
        <v>4847.3999999999996</v>
      </c>
      <c r="L381">
        <v>783.49</v>
      </c>
    </row>
    <row r="382" spans="1:12" x14ac:dyDescent="0.3">
      <c r="A382" t="s">
        <v>599</v>
      </c>
      <c r="B382" s="3">
        <v>45821</v>
      </c>
      <c r="C382" t="s">
        <v>75</v>
      </c>
      <c r="D382" t="s">
        <v>30</v>
      </c>
      <c r="E382" t="s">
        <v>15</v>
      </c>
      <c r="F382" t="s">
        <v>58</v>
      </c>
      <c r="G382" t="s">
        <v>126</v>
      </c>
      <c r="H382">
        <v>4</v>
      </c>
      <c r="I382">
        <v>6595</v>
      </c>
      <c r="J382">
        <v>0.15</v>
      </c>
      <c r="K382">
        <v>22423</v>
      </c>
      <c r="L382">
        <v>4561.95</v>
      </c>
    </row>
    <row r="383" spans="1:12" x14ac:dyDescent="0.3">
      <c r="A383" t="s">
        <v>600</v>
      </c>
      <c r="B383" s="3">
        <v>45987</v>
      </c>
      <c r="C383" t="s">
        <v>189</v>
      </c>
      <c r="D383" t="s">
        <v>72</v>
      </c>
      <c r="E383" t="s">
        <v>73</v>
      </c>
      <c r="F383" t="s">
        <v>27</v>
      </c>
      <c r="G383" t="s">
        <v>28</v>
      </c>
      <c r="H383">
        <v>1</v>
      </c>
      <c r="I383">
        <v>662</v>
      </c>
      <c r="J383">
        <v>0</v>
      </c>
      <c r="K383">
        <v>662</v>
      </c>
      <c r="L383">
        <v>152.05000000000001</v>
      </c>
    </row>
    <row r="384" spans="1:12" x14ac:dyDescent="0.3">
      <c r="A384" t="s">
        <v>601</v>
      </c>
      <c r="B384" s="3">
        <v>45730</v>
      </c>
      <c r="C384" t="s">
        <v>451</v>
      </c>
      <c r="D384" t="s">
        <v>88</v>
      </c>
      <c r="E384" t="s">
        <v>73</v>
      </c>
      <c r="F384" t="s">
        <v>16</v>
      </c>
      <c r="G384" t="s">
        <v>52</v>
      </c>
      <c r="H384">
        <v>2</v>
      </c>
      <c r="I384">
        <v>598</v>
      </c>
      <c r="J384">
        <v>0.05</v>
      </c>
      <c r="K384">
        <v>1136.2</v>
      </c>
      <c r="L384">
        <v>215.17</v>
      </c>
    </row>
    <row r="385" spans="1:12" x14ac:dyDescent="0.3">
      <c r="A385" t="s">
        <v>602</v>
      </c>
      <c r="B385" s="3">
        <v>45902</v>
      </c>
      <c r="C385" t="s">
        <v>170</v>
      </c>
      <c r="D385" t="s">
        <v>120</v>
      </c>
      <c r="E385" t="s">
        <v>51</v>
      </c>
      <c r="F385" t="s">
        <v>58</v>
      </c>
      <c r="G385" t="s">
        <v>59</v>
      </c>
      <c r="H385">
        <v>4</v>
      </c>
      <c r="I385">
        <v>1730</v>
      </c>
      <c r="J385">
        <v>0</v>
      </c>
      <c r="K385">
        <v>6920</v>
      </c>
      <c r="L385">
        <v>897.35</v>
      </c>
    </row>
    <row r="386" spans="1:12" x14ac:dyDescent="0.3">
      <c r="A386" t="s">
        <v>603</v>
      </c>
      <c r="B386" s="3">
        <v>45718</v>
      </c>
      <c r="C386" t="s">
        <v>407</v>
      </c>
      <c r="D386" t="s">
        <v>92</v>
      </c>
      <c r="E386" t="s">
        <v>51</v>
      </c>
      <c r="F386" t="s">
        <v>21</v>
      </c>
      <c r="G386" t="s">
        <v>22</v>
      </c>
      <c r="H386">
        <v>2</v>
      </c>
      <c r="I386">
        <v>12446</v>
      </c>
      <c r="J386">
        <v>0.1</v>
      </c>
      <c r="K386">
        <v>22402.799999999999</v>
      </c>
      <c r="L386">
        <v>4457.28</v>
      </c>
    </row>
    <row r="387" spans="1:12" x14ac:dyDescent="0.3">
      <c r="A387" t="s">
        <v>604</v>
      </c>
      <c r="B387" s="3">
        <v>45784</v>
      </c>
      <c r="C387" t="s">
        <v>161</v>
      </c>
      <c r="D387" t="s">
        <v>68</v>
      </c>
      <c r="E387" t="s">
        <v>44</v>
      </c>
      <c r="F387" t="s">
        <v>27</v>
      </c>
      <c r="G387" t="s">
        <v>40</v>
      </c>
      <c r="H387">
        <v>3</v>
      </c>
      <c r="I387">
        <v>7583</v>
      </c>
      <c r="J387">
        <v>0.1</v>
      </c>
      <c r="K387">
        <v>20474.099999999999</v>
      </c>
      <c r="L387">
        <v>2458.0500000000002</v>
      </c>
    </row>
    <row r="388" spans="1:12" x14ac:dyDescent="0.3">
      <c r="A388" t="s">
        <v>605</v>
      </c>
      <c r="B388" s="3">
        <v>45921</v>
      </c>
      <c r="C388" t="s">
        <v>125</v>
      </c>
      <c r="D388" t="s">
        <v>72</v>
      </c>
      <c r="E388" t="s">
        <v>73</v>
      </c>
      <c r="F388" t="s">
        <v>16</v>
      </c>
      <c r="G388" t="s">
        <v>104</v>
      </c>
      <c r="H388">
        <v>1</v>
      </c>
      <c r="I388">
        <v>603</v>
      </c>
      <c r="J388">
        <v>0.2</v>
      </c>
      <c r="K388">
        <v>482.4</v>
      </c>
      <c r="L388">
        <v>94.98</v>
      </c>
    </row>
    <row r="389" spans="1:12" x14ac:dyDescent="0.3">
      <c r="A389" t="s">
        <v>606</v>
      </c>
      <c r="B389" s="3">
        <v>45839</v>
      </c>
      <c r="C389" t="s">
        <v>116</v>
      </c>
      <c r="D389" t="s">
        <v>20</v>
      </c>
      <c r="E389" t="s">
        <v>15</v>
      </c>
      <c r="F389" t="s">
        <v>21</v>
      </c>
      <c r="G389" t="s">
        <v>35</v>
      </c>
      <c r="H389">
        <v>3</v>
      </c>
      <c r="I389">
        <v>5385</v>
      </c>
      <c r="J389">
        <v>0.15</v>
      </c>
      <c r="K389">
        <v>13731.75</v>
      </c>
      <c r="L389">
        <v>2228.2199999999998</v>
      </c>
    </row>
    <row r="390" spans="1:12" x14ac:dyDescent="0.3">
      <c r="A390" t="s">
        <v>607</v>
      </c>
      <c r="B390" s="3">
        <v>45825</v>
      </c>
      <c r="C390" t="s">
        <v>255</v>
      </c>
      <c r="D390" t="s">
        <v>120</v>
      </c>
      <c r="E390" t="s">
        <v>51</v>
      </c>
      <c r="F390" t="s">
        <v>27</v>
      </c>
      <c r="G390" t="s">
        <v>40</v>
      </c>
      <c r="H390">
        <v>2</v>
      </c>
      <c r="I390">
        <v>1569</v>
      </c>
      <c r="J390">
        <v>0.2</v>
      </c>
      <c r="K390">
        <v>2510.4</v>
      </c>
      <c r="L390">
        <v>232.97</v>
      </c>
    </row>
    <row r="391" spans="1:12" x14ac:dyDescent="0.3">
      <c r="A391" t="s">
        <v>608</v>
      </c>
      <c r="B391" s="3">
        <v>45842</v>
      </c>
      <c r="C391" t="s">
        <v>13</v>
      </c>
      <c r="D391" t="s">
        <v>65</v>
      </c>
      <c r="E391" t="s">
        <v>26</v>
      </c>
      <c r="F391" t="s">
        <v>16</v>
      </c>
      <c r="G391" t="s">
        <v>104</v>
      </c>
      <c r="H391">
        <v>1</v>
      </c>
      <c r="I391">
        <v>3148</v>
      </c>
      <c r="J391">
        <v>0.05</v>
      </c>
      <c r="K391">
        <v>2990.6</v>
      </c>
      <c r="L391">
        <v>520.08000000000004</v>
      </c>
    </row>
    <row r="392" spans="1:12" x14ac:dyDescent="0.3">
      <c r="A392" t="s">
        <v>609</v>
      </c>
      <c r="B392" s="3">
        <v>45660</v>
      </c>
      <c r="C392" t="s">
        <v>220</v>
      </c>
      <c r="D392" t="s">
        <v>202</v>
      </c>
      <c r="E392" t="s">
        <v>44</v>
      </c>
      <c r="F392" t="s">
        <v>58</v>
      </c>
      <c r="G392" t="s">
        <v>59</v>
      </c>
      <c r="H392">
        <v>1</v>
      </c>
      <c r="I392">
        <v>2603</v>
      </c>
      <c r="J392">
        <v>0.05</v>
      </c>
      <c r="K392">
        <v>2472.85</v>
      </c>
      <c r="L392">
        <v>276.70999999999998</v>
      </c>
    </row>
    <row r="393" spans="1:12" x14ac:dyDescent="0.3">
      <c r="A393" t="s">
        <v>610</v>
      </c>
      <c r="B393" s="3">
        <v>45899</v>
      </c>
      <c r="C393" t="s">
        <v>368</v>
      </c>
      <c r="D393" t="s">
        <v>92</v>
      </c>
      <c r="E393" t="s">
        <v>51</v>
      </c>
      <c r="F393" t="s">
        <v>21</v>
      </c>
      <c r="G393" t="s">
        <v>35</v>
      </c>
      <c r="H393">
        <v>4</v>
      </c>
      <c r="I393">
        <v>22026</v>
      </c>
      <c r="J393">
        <v>0.1</v>
      </c>
      <c r="K393">
        <v>79293.600000000006</v>
      </c>
      <c r="L393">
        <v>8094.8</v>
      </c>
    </row>
    <row r="394" spans="1:12" x14ac:dyDescent="0.3">
      <c r="A394" t="s">
        <v>611</v>
      </c>
      <c r="B394" s="3">
        <v>45969</v>
      </c>
      <c r="C394" t="s">
        <v>13</v>
      </c>
      <c r="D394" t="s">
        <v>120</v>
      </c>
      <c r="E394" t="s">
        <v>51</v>
      </c>
      <c r="F394" t="s">
        <v>21</v>
      </c>
      <c r="G394" t="s">
        <v>22</v>
      </c>
      <c r="H394">
        <v>2</v>
      </c>
      <c r="I394">
        <v>859</v>
      </c>
      <c r="J394">
        <v>0.15</v>
      </c>
      <c r="K394">
        <v>1460.3</v>
      </c>
      <c r="L394">
        <v>139.21</v>
      </c>
    </row>
    <row r="395" spans="1:12" x14ac:dyDescent="0.3">
      <c r="A395" t="s">
        <v>612</v>
      </c>
      <c r="B395" s="3">
        <v>46009</v>
      </c>
      <c r="C395" t="s">
        <v>156</v>
      </c>
      <c r="D395" t="s">
        <v>88</v>
      </c>
      <c r="E395" t="s">
        <v>73</v>
      </c>
      <c r="F395" t="s">
        <v>27</v>
      </c>
      <c r="G395" t="s">
        <v>31</v>
      </c>
      <c r="H395">
        <v>3</v>
      </c>
      <c r="I395">
        <v>416</v>
      </c>
      <c r="J395">
        <v>0.05</v>
      </c>
      <c r="K395">
        <v>1185.5999999999999</v>
      </c>
      <c r="L395">
        <v>159.22999999999999</v>
      </c>
    </row>
    <row r="396" spans="1:12" x14ac:dyDescent="0.3">
      <c r="A396" t="s">
        <v>613</v>
      </c>
      <c r="B396" s="3">
        <v>45663</v>
      </c>
      <c r="C396" t="s">
        <v>278</v>
      </c>
      <c r="D396" t="s">
        <v>97</v>
      </c>
      <c r="E396" t="s">
        <v>44</v>
      </c>
      <c r="F396" t="s">
        <v>58</v>
      </c>
      <c r="G396" t="s">
        <v>126</v>
      </c>
      <c r="H396">
        <v>2</v>
      </c>
      <c r="I396">
        <v>728</v>
      </c>
      <c r="J396">
        <v>0</v>
      </c>
      <c r="K396">
        <v>1456</v>
      </c>
      <c r="L396">
        <v>366.57</v>
      </c>
    </row>
    <row r="397" spans="1:12" x14ac:dyDescent="0.3">
      <c r="A397" t="s">
        <v>614</v>
      </c>
      <c r="B397" s="3">
        <v>45970</v>
      </c>
      <c r="C397" t="s">
        <v>75</v>
      </c>
      <c r="D397" t="s">
        <v>43</v>
      </c>
      <c r="E397" t="s">
        <v>44</v>
      </c>
      <c r="F397" t="s">
        <v>16</v>
      </c>
      <c r="G397" t="s">
        <v>17</v>
      </c>
      <c r="H397">
        <v>1</v>
      </c>
      <c r="I397">
        <v>655</v>
      </c>
      <c r="J397">
        <v>0.05</v>
      </c>
      <c r="K397">
        <v>622.25</v>
      </c>
      <c r="L397">
        <v>100.94</v>
      </c>
    </row>
    <row r="398" spans="1:12" x14ac:dyDescent="0.3">
      <c r="A398" t="s">
        <v>615</v>
      </c>
      <c r="B398" s="3">
        <v>45702</v>
      </c>
      <c r="C398" t="s">
        <v>501</v>
      </c>
      <c r="D398" t="s">
        <v>88</v>
      </c>
      <c r="E398" t="s">
        <v>73</v>
      </c>
      <c r="F398" t="s">
        <v>21</v>
      </c>
      <c r="G398" t="s">
        <v>22</v>
      </c>
      <c r="H398">
        <v>1</v>
      </c>
      <c r="I398">
        <v>101</v>
      </c>
      <c r="J398">
        <v>0.1</v>
      </c>
      <c r="K398">
        <v>90.9</v>
      </c>
      <c r="L398">
        <v>20.59</v>
      </c>
    </row>
    <row r="399" spans="1:12" x14ac:dyDescent="0.3">
      <c r="A399" t="s">
        <v>616</v>
      </c>
      <c r="B399" s="3">
        <v>45866</v>
      </c>
      <c r="C399" t="s">
        <v>617</v>
      </c>
      <c r="D399" t="s">
        <v>34</v>
      </c>
      <c r="E399" t="s">
        <v>15</v>
      </c>
      <c r="F399" t="s">
        <v>58</v>
      </c>
      <c r="G399" t="s">
        <v>69</v>
      </c>
      <c r="H399">
        <v>1</v>
      </c>
      <c r="I399">
        <v>20183</v>
      </c>
      <c r="J399">
        <v>0.2</v>
      </c>
      <c r="K399">
        <v>16146.4</v>
      </c>
      <c r="L399">
        <v>1684.05</v>
      </c>
    </row>
    <row r="400" spans="1:12" x14ac:dyDescent="0.3">
      <c r="A400" t="s">
        <v>618</v>
      </c>
      <c r="B400" s="3">
        <v>45863</v>
      </c>
      <c r="C400" t="s">
        <v>542</v>
      </c>
      <c r="D400" t="s">
        <v>80</v>
      </c>
      <c r="E400" t="s">
        <v>51</v>
      </c>
      <c r="F400" t="s">
        <v>27</v>
      </c>
      <c r="G400" t="s">
        <v>31</v>
      </c>
      <c r="H400">
        <v>1</v>
      </c>
      <c r="I400">
        <v>54749</v>
      </c>
      <c r="J400">
        <v>0.05</v>
      </c>
      <c r="K400">
        <v>52011.55</v>
      </c>
      <c r="L400">
        <v>7652.71</v>
      </c>
    </row>
    <row r="401" spans="1:12" x14ac:dyDescent="0.3">
      <c r="A401" t="s">
        <v>619</v>
      </c>
      <c r="B401" s="3">
        <v>45794</v>
      </c>
      <c r="C401" t="s">
        <v>305</v>
      </c>
      <c r="D401" t="s">
        <v>43</v>
      </c>
      <c r="E401" t="s">
        <v>44</v>
      </c>
      <c r="F401" t="s">
        <v>16</v>
      </c>
      <c r="G401" t="s">
        <v>52</v>
      </c>
      <c r="H401">
        <v>1</v>
      </c>
      <c r="I401">
        <v>815</v>
      </c>
      <c r="J401">
        <v>0.1</v>
      </c>
      <c r="K401">
        <v>733.5</v>
      </c>
      <c r="L401">
        <v>160.85</v>
      </c>
    </row>
    <row r="402" spans="1:12" x14ac:dyDescent="0.3">
      <c r="A402" t="s">
        <v>620</v>
      </c>
      <c r="B402" s="3">
        <v>45798</v>
      </c>
      <c r="C402" t="s">
        <v>139</v>
      </c>
      <c r="D402" t="s">
        <v>83</v>
      </c>
      <c r="E402" t="s">
        <v>73</v>
      </c>
      <c r="F402" t="s">
        <v>27</v>
      </c>
      <c r="G402" t="s">
        <v>40</v>
      </c>
      <c r="H402">
        <v>4</v>
      </c>
      <c r="I402">
        <v>660</v>
      </c>
      <c r="J402">
        <v>0.1</v>
      </c>
      <c r="K402">
        <v>2376</v>
      </c>
      <c r="L402">
        <v>244.92</v>
      </c>
    </row>
    <row r="403" spans="1:12" x14ac:dyDescent="0.3">
      <c r="A403" t="s">
        <v>621</v>
      </c>
      <c r="B403" s="3">
        <v>45785</v>
      </c>
      <c r="C403" t="s">
        <v>191</v>
      </c>
      <c r="D403" t="s">
        <v>47</v>
      </c>
      <c r="E403" t="s">
        <v>26</v>
      </c>
      <c r="F403" t="s">
        <v>58</v>
      </c>
      <c r="G403" t="s">
        <v>59</v>
      </c>
      <c r="H403">
        <v>5</v>
      </c>
      <c r="I403">
        <v>14684</v>
      </c>
      <c r="J403">
        <v>0</v>
      </c>
      <c r="K403">
        <v>73420</v>
      </c>
      <c r="L403">
        <v>17103.939999999999</v>
      </c>
    </row>
    <row r="404" spans="1:12" x14ac:dyDescent="0.3">
      <c r="A404" t="s">
        <v>622</v>
      </c>
      <c r="B404" s="3">
        <v>45898</v>
      </c>
      <c r="C404" t="s">
        <v>248</v>
      </c>
      <c r="D404" t="s">
        <v>88</v>
      </c>
      <c r="E404" t="s">
        <v>73</v>
      </c>
      <c r="F404" t="s">
        <v>58</v>
      </c>
      <c r="G404" t="s">
        <v>126</v>
      </c>
      <c r="H404">
        <v>2</v>
      </c>
      <c r="I404">
        <v>529</v>
      </c>
      <c r="J404">
        <v>0.1</v>
      </c>
      <c r="K404">
        <v>952.2</v>
      </c>
      <c r="L404">
        <v>153.9</v>
      </c>
    </row>
    <row r="405" spans="1:12" x14ac:dyDescent="0.3">
      <c r="A405" t="s">
        <v>623</v>
      </c>
      <c r="B405" s="3">
        <v>45967</v>
      </c>
      <c r="C405" t="s">
        <v>156</v>
      </c>
      <c r="D405" t="s">
        <v>65</v>
      </c>
      <c r="E405" t="s">
        <v>26</v>
      </c>
      <c r="F405" t="s">
        <v>27</v>
      </c>
      <c r="G405" t="s">
        <v>28</v>
      </c>
      <c r="H405">
        <v>3</v>
      </c>
      <c r="I405">
        <v>2968</v>
      </c>
      <c r="J405">
        <v>0.15</v>
      </c>
      <c r="K405">
        <v>7568.4</v>
      </c>
      <c r="L405">
        <v>1848.79</v>
      </c>
    </row>
    <row r="406" spans="1:12" x14ac:dyDescent="0.3">
      <c r="A406" t="s">
        <v>624</v>
      </c>
      <c r="B406" s="3">
        <v>45890</v>
      </c>
      <c r="C406" t="s">
        <v>24</v>
      </c>
      <c r="D406" t="s">
        <v>120</v>
      </c>
      <c r="E406" t="s">
        <v>51</v>
      </c>
      <c r="F406" t="s">
        <v>16</v>
      </c>
      <c r="G406" t="s">
        <v>104</v>
      </c>
      <c r="H406">
        <v>2</v>
      </c>
      <c r="I406">
        <v>1319</v>
      </c>
      <c r="J406">
        <v>0.15</v>
      </c>
      <c r="K406">
        <v>2242.3000000000002</v>
      </c>
      <c r="L406">
        <v>360.82</v>
      </c>
    </row>
    <row r="407" spans="1:12" x14ac:dyDescent="0.3">
      <c r="A407" t="s">
        <v>625</v>
      </c>
      <c r="B407" s="3">
        <v>45714</v>
      </c>
      <c r="C407" t="s">
        <v>300</v>
      </c>
      <c r="D407" t="s">
        <v>47</v>
      </c>
      <c r="E407" t="s">
        <v>26</v>
      </c>
      <c r="F407" t="s">
        <v>27</v>
      </c>
      <c r="G407" t="s">
        <v>40</v>
      </c>
      <c r="H407">
        <v>3</v>
      </c>
      <c r="I407">
        <v>20527</v>
      </c>
      <c r="J407">
        <v>0</v>
      </c>
      <c r="K407">
        <v>61581</v>
      </c>
      <c r="L407">
        <v>5751.34</v>
      </c>
    </row>
    <row r="408" spans="1:12" x14ac:dyDescent="0.3">
      <c r="A408" t="s">
        <v>626</v>
      </c>
      <c r="B408" s="3">
        <v>45877</v>
      </c>
      <c r="C408" t="s">
        <v>597</v>
      </c>
      <c r="D408" t="s">
        <v>153</v>
      </c>
      <c r="E408" t="s">
        <v>26</v>
      </c>
      <c r="F408" t="s">
        <v>58</v>
      </c>
      <c r="G408" t="s">
        <v>59</v>
      </c>
      <c r="H408">
        <v>2</v>
      </c>
      <c r="I408">
        <v>9863</v>
      </c>
      <c r="J408">
        <v>0.05</v>
      </c>
      <c r="K408">
        <v>18739.7</v>
      </c>
      <c r="L408">
        <v>3423.25</v>
      </c>
    </row>
    <row r="409" spans="1:12" x14ac:dyDescent="0.3">
      <c r="A409" t="s">
        <v>627</v>
      </c>
      <c r="B409" s="3">
        <v>45878</v>
      </c>
      <c r="C409" t="s">
        <v>394</v>
      </c>
      <c r="D409" t="s">
        <v>103</v>
      </c>
      <c r="E409" t="s">
        <v>51</v>
      </c>
      <c r="F409" t="s">
        <v>16</v>
      </c>
      <c r="G409" t="s">
        <v>104</v>
      </c>
      <c r="H409">
        <v>2</v>
      </c>
      <c r="I409">
        <v>1746</v>
      </c>
      <c r="J409">
        <v>0.15</v>
      </c>
      <c r="K409">
        <v>2968.2</v>
      </c>
      <c r="L409">
        <v>598.63</v>
      </c>
    </row>
    <row r="410" spans="1:12" x14ac:dyDescent="0.3">
      <c r="A410" t="s">
        <v>628</v>
      </c>
      <c r="B410" s="3">
        <v>45779</v>
      </c>
      <c r="C410" t="s">
        <v>427</v>
      </c>
      <c r="D410" t="s">
        <v>20</v>
      </c>
      <c r="E410" t="s">
        <v>15</v>
      </c>
      <c r="F410" t="s">
        <v>21</v>
      </c>
      <c r="G410" t="s">
        <v>22</v>
      </c>
      <c r="H410">
        <v>1</v>
      </c>
      <c r="I410">
        <v>15222</v>
      </c>
      <c r="J410">
        <v>0.05</v>
      </c>
      <c r="K410">
        <v>14460.9</v>
      </c>
      <c r="L410">
        <v>3561.34</v>
      </c>
    </row>
    <row r="411" spans="1:12" x14ac:dyDescent="0.3">
      <c r="A411" t="s">
        <v>629</v>
      </c>
      <c r="B411" s="3">
        <v>45974</v>
      </c>
      <c r="C411" t="s">
        <v>116</v>
      </c>
      <c r="D411" t="s">
        <v>30</v>
      </c>
      <c r="E411" t="s">
        <v>15</v>
      </c>
      <c r="F411" t="s">
        <v>21</v>
      </c>
      <c r="G411" t="s">
        <v>55</v>
      </c>
      <c r="H411">
        <v>1</v>
      </c>
      <c r="I411">
        <v>4962</v>
      </c>
      <c r="J411">
        <v>0.1</v>
      </c>
      <c r="K411">
        <v>4465.8</v>
      </c>
      <c r="L411">
        <v>737.81</v>
      </c>
    </row>
    <row r="412" spans="1:12" x14ac:dyDescent="0.3">
      <c r="A412" t="s">
        <v>630</v>
      </c>
      <c r="B412" s="3">
        <v>45971</v>
      </c>
      <c r="C412" t="s">
        <v>412</v>
      </c>
      <c r="D412" t="s">
        <v>83</v>
      </c>
      <c r="E412" t="s">
        <v>631</v>
      </c>
      <c r="F412" t="s">
        <v>27</v>
      </c>
      <c r="G412" t="s">
        <v>31</v>
      </c>
      <c r="H412">
        <v>3</v>
      </c>
      <c r="I412">
        <v>260</v>
      </c>
      <c r="J412">
        <v>0</v>
      </c>
      <c r="K412">
        <v>780</v>
      </c>
      <c r="L412">
        <v>173.66</v>
      </c>
    </row>
    <row r="413" spans="1:12" x14ac:dyDescent="0.3">
      <c r="A413" t="s">
        <v>632</v>
      </c>
      <c r="B413" s="3">
        <v>45872</v>
      </c>
      <c r="C413" t="s">
        <v>394</v>
      </c>
      <c r="D413" t="s">
        <v>80</v>
      </c>
      <c r="E413" t="s">
        <v>51</v>
      </c>
      <c r="F413" t="s">
        <v>16</v>
      </c>
      <c r="G413" t="s">
        <v>104</v>
      </c>
      <c r="H413">
        <v>2</v>
      </c>
      <c r="I413">
        <v>62327</v>
      </c>
      <c r="J413">
        <v>0.15</v>
      </c>
      <c r="K413">
        <v>105955.9</v>
      </c>
      <c r="L413">
        <v>26543.75</v>
      </c>
    </row>
    <row r="414" spans="1:12" x14ac:dyDescent="0.3">
      <c r="A414" t="s">
        <v>633</v>
      </c>
      <c r="B414" s="3">
        <v>45924</v>
      </c>
      <c r="C414" t="s">
        <v>260</v>
      </c>
      <c r="D414" t="s">
        <v>92</v>
      </c>
      <c r="E414" t="s">
        <v>51</v>
      </c>
      <c r="F414" t="s">
        <v>58</v>
      </c>
      <c r="G414" t="s">
        <v>126</v>
      </c>
      <c r="H414">
        <v>1</v>
      </c>
      <c r="I414">
        <v>12236</v>
      </c>
      <c r="J414">
        <v>0.05</v>
      </c>
      <c r="K414">
        <v>11624.2</v>
      </c>
      <c r="L414">
        <v>1491.39</v>
      </c>
    </row>
    <row r="415" spans="1:12" x14ac:dyDescent="0.3">
      <c r="A415" t="s">
        <v>634</v>
      </c>
      <c r="B415" s="3">
        <v>45864</v>
      </c>
      <c r="C415" t="s">
        <v>123</v>
      </c>
      <c r="D415" t="s">
        <v>20</v>
      </c>
      <c r="E415" t="s">
        <v>15</v>
      </c>
      <c r="F415" t="s">
        <v>27</v>
      </c>
      <c r="G415" t="s">
        <v>31</v>
      </c>
      <c r="H415">
        <v>2</v>
      </c>
      <c r="I415">
        <v>11431</v>
      </c>
      <c r="J415">
        <v>0</v>
      </c>
      <c r="K415">
        <v>22862</v>
      </c>
      <c r="L415">
        <v>3858.46</v>
      </c>
    </row>
    <row r="416" spans="1:12" x14ac:dyDescent="0.3">
      <c r="A416" t="s">
        <v>635</v>
      </c>
      <c r="B416" s="3">
        <v>45951</v>
      </c>
      <c r="C416" t="s">
        <v>636</v>
      </c>
      <c r="D416" t="s">
        <v>65</v>
      </c>
      <c r="E416" t="s">
        <v>26</v>
      </c>
      <c r="F416" t="s">
        <v>58</v>
      </c>
      <c r="G416" t="s">
        <v>69</v>
      </c>
      <c r="H416">
        <v>2</v>
      </c>
      <c r="I416">
        <v>3301</v>
      </c>
      <c r="J416">
        <v>0.15</v>
      </c>
      <c r="K416">
        <v>5611.7</v>
      </c>
      <c r="L416">
        <v>701.51</v>
      </c>
    </row>
    <row r="417" spans="1:12" x14ac:dyDescent="0.3">
      <c r="A417" t="s">
        <v>637</v>
      </c>
      <c r="B417" s="3">
        <v>45926</v>
      </c>
      <c r="C417" t="s">
        <v>326</v>
      </c>
      <c r="D417" t="s">
        <v>97</v>
      </c>
      <c r="E417" t="s">
        <v>44</v>
      </c>
      <c r="F417" t="s">
        <v>27</v>
      </c>
      <c r="G417" t="s">
        <v>40</v>
      </c>
      <c r="H417">
        <v>2</v>
      </c>
      <c r="I417">
        <v>1033</v>
      </c>
      <c r="J417">
        <v>0</v>
      </c>
      <c r="K417">
        <v>2066</v>
      </c>
      <c r="L417">
        <v>486.25</v>
      </c>
    </row>
    <row r="418" spans="1:12" x14ac:dyDescent="0.3">
      <c r="A418" t="s">
        <v>638</v>
      </c>
      <c r="B418" s="3">
        <v>46014</v>
      </c>
      <c r="C418" t="s">
        <v>300</v>
      </c>
      <c r="D418" t="s">
        <v>153</v>
      </c>
      <c r="E418" t="s">
        <v>26</v>
      </c>
      <c r="F418" t="s">
        <v>27</v>
      </c>
      <c r="G418" t="s">
        <v>40</v>
      </c>
      <c r="H418">
        <v>3</v>
      </c>
      <c r="I418">
        <v>3630</v>
      </c>
      <c r="J418">
        <v>0</v>
      </c>
      <c r="K418">
        <v>10890</v>
      </c>
      <c r="L418">
        <v>1881.77</v>
      </c>
    </row>
    <row r="419" spans="1:12" x14ac:dyDescent="0.3">
      <c r="A419" t="s">
        <v>639</v>
      </c>
      <c r="B419" s="3">
        <v>45736</v>
      </c>
      <c r="C419" t="s">
        <v>640</v>
      </c>
      <c r="D419" t="s">
        <v>103</v>
      </c>
      <c r="E419" t="s">
        <v>51</v>
      </c>
      <c r="F419" t="s">
        <v>21</v>
      </c>
      <c r="G419" t="s">
        <v>22</v>
      </c>
      <c r="H419">
        <v>2</v>
      </c>
      <c r="I419">
        <v>1504</v>
      </c>
      <c r="J419">
        <v>0.1</v>
      </c>
      <c r="K419">
        <v>2707.2</v>
      </c>
      <c r="L419">
        <v>391.48</v>
      </c>
    </row>
    <row r="420" spans="1:12" x14ac:dyDescent="0.3">
      <c r="A420" t="s">
        <v>641</v>
      </c>
      <c r="B420" s="3">
        <v>45887</v>
      </c>
      <c r="C420" t="s">
        <v>346</v>
      </c>
      <c r="D420" t="s">
        <v>103</v>
      </c>
      <c r="E420" t="s">
        <v>51</v>
      </c>
      <c r="F420" t="s">
        <v>16</v>
      </c>
      <c r="G420" t="s">
        <v>52</v>
      </c>
      <c r="H420">
        <v>1</v>
      </c>
      <c r="I420">
        <v>7034</v>
      </c>
      <c r="J420">
        <v>0.15</v>
      </c>
      <c r="K420">
        <v>5978.9</v>
      </c>
      <c r="L420">
        <v>1323.53</v>
      </c>
    </row>
    <row r="421" spans="1:12" x14ac:dyDescent="0.3">
      <c r="A421" t="s">
        <v>642</v>
      </c>
      <c r="B421" s="3">
        <v>45944</v>
      </c>
      <c r="C421" t="s">
        <v>39</v>
      </c>
      <c r="D421" t="s">
        <v>120</v>
      </c>
      <c r="E421" t="s">
        <v>51</v>
      </c>
      <c r="F421" t="s">
        <v>21</v>
      </c>
      <c r="G421" t="s">
        <v>22</v>
      </c>
      <c r="H421">
        <v>3</v>
      </c>
      <c r="I421">
        <v>1614</v>
      </c>
      <c r="J421">
        <v>0</v>
      </c>
      <c r="K421">
        <v>4842</v>
      </c>
      <c r="L421">
        <v>838.47</v>
      </c>
    </row>
    <row r="422" spans="1:12" x14ac:dyDescent="0.3">
      <c r="A422" t="s">
        <v>643</v>
      </c>
      <c r="B422" s="3">
        <v>45948</v>
      </c>
      <c r="C422" t="s">
        <v>555</v>
      </c>
      <c r="D422" t="s">
        <v>103</v>
      </c>
      <c r="E422" t="s">
        <v>51</v>
      </c>
      <c r="F422" t="s">
        <v>58</v>
      </c>
      <c r="G422" t="s">
        <v>126</v>
      </c>
      <c r="H422">
        <v>1</v>
      </c>
      <c r="I422">
        <v>4011</v>
      </c>
      <c r="J422">
        <v>0.15</v>
      </c>
      <c r="K422">
        <v>3409.35</v>
      </c>
      <c r="L422">
        <v>658.81</v>
      </c>
    </row>
    <row r="423" spans="1:12" x14ac:dyDescent="0.3">
      <c r="A423" t="s">
        <v>644</v>
      </c>
      <c r="B423" s="3">
        <v>45771</v>
      </c>
      <c r="C423" t="s">
        <v>90</v>
      </c>
      <c r="D423" t="s">
        <v>34</v>
      </c>
      <c r="E423" t="s">
        <v>15</v>
      </c>
      <c r="F423" t="s">
        <v>27</v>
      </c>
      <c r="G423" t="s">
        <v>31</v>
      </c>
      <c r="H423">
        <v>3</v>
      </c>
      <c r="I423">
        <v>12561</v>
      </c>
      <c r="J423">
        <v>0</v>
      </c>
      <c r="K423">
        <v>37683</v>
      </c>
      <c r="L423">
        <v>6870.63</v>
      </c>
    </row>
    <row r="424" spans="1:12" x14ac:dyDescent="0.3">
      <c r="A424" t="s">
        <v>645</v>
      </c>
      <c r="B424" s="3">
        <v>45795</v>
      </c>
      <c r="C424" t="s">
        <v>363</v>
      </c>
      <c r="D424" t="s">
        <v>97</v>
      </c>
      <c r="E424" t="s">
        <v>44</v>
      </c>
      <c r="F424" t="s">
        <v>58</v>
      </c>
      <c r="G424" t="s">
        <v>126</v>
      </c>
      <c r="H424">
        <v>1</v>
      </c>
      <c r="I424">
        <v>316</v>
      </c>
      <c r="J424">
        <v>0.1</v>
      </c>
      <c r="K424">
        <v>284.39999999999998</v>
      </c>
      <c r="L424">
        <v>64.45</v>
      </c>
    </row>
    <row r="425" spans="1:12" x14ac:dyDescent="0.3">
      <c r="A425" t="s">
        <v>646</v>
      </c>
      <c r="B425" s="3">
        <v>46000</v>
      </c>
      <c r="C425" t="s">
        <v>412</v>
      </c>
      <c r="D425" t="s">
        <v>80</v>
      </c>
      <c r="E425" t="s">
        <v>51</v>
      </c>
      <c r="F425" t="s">
        <v>21</v>
      </c>
      <c r="G425" t="s">
        <v>22</v>
      </c>
      <c r="H425">
        <v>4</v>
      </c>
      <c r="I425">
        <v>82166</v>
      </c>
      <c r="J425">
        <v>0.05</v>
      </c>
      <c r="K425">
        <v>312230.8</v>
      </c>
      <c r="L425">
        <v>57929.9</v>
      </c>
    </row>
    <row r="426" spans="1:12" x14ac:dyDescent="0.3">
      <c r="A426" t="s">
        <v>647</v>
      </c>
      <c r="B426" s="3">
        <v>45903</v>
      </c>
      <c r="C426" t="s">
        <v>398</v>
      </c>
      <c r="D426" t="s">
        <v>47</v>
      </c>
      <c r="E426" t="s">
        <v>26</v>
      </c>
      <c r="F426" t="s">
        <v>21</v>
      </c>
      <c r="G426" t="s">
        <v>55</v>
      </c>
      <c r="H426">
        <v>3</v>
      </c>
      <c r="I426">
        <v>17727</v>
      </c>
      <c r="J426">
        <v>0.1</v>
      </c>
      <c r="K426">
        <v>47862.9</v>
      </c>
      <c r="L426">
        <v>4339.71</v>
      </c>
    </row>
    <row r="427" spans="1:12" x14ac:dyDescent="0.3">
      <c r="A427" t="s">
        <v>648</v>
      </c>
      <c r="B427" s="3">
        <v>45867</v>
      </c>
      <c r="C427" t="s">
        <v>412</v>
      </c>
      <c r="D427" t="s">
        <v>202</v>
      </c>
      <c r="E427" t="s">
        <v>44</v>
      </c>
      <c r="F427" t="s">
        <v>16</v>
      </c>
      <c r="G427" t="s">
        <v>104</v>
      </c>
      <c r="H427">
        <v>1</v>
      </c>
      <c r="I427">
        <v>3305</v>
      </c>
      <c r="J427">
        <v>0.1</v>
      </c>
      <c r="K427">
        <v>2974.5</v>
      </c>
      <c r="L427">
        <v>270.32</v>
      </c>
    </row>
    <row r="428" spans="1:12" x14ac:dyDescent="0.3">
      <c r="A428" t="s">
        <v>649</v>
      </c>
      <c r="B428" s="3">
        <v>45996</v>
      </c>
      <c r="C428" t="s">
        <v>650</v>
      </c>
      <c r="D428" t="s">
        <v>83</v>
      </c>
      <c r="E428" t="s">
        <v>73</v>
      </c>
      <c r="F428" t="s">
        <v>27</v>
      </c>
      <c r="G428" t="s">
        <v>40</v>
      </c>
      <c r="H428">
        <v>3</v>
      </c>
      <c r="I428">
        <v>777</v>
      </c>
      <c r="J428">
        <v>0.05</v>
      </c>
      <c r="K428">
        <v>2214.4499999999998</v>
      </c>
      <c r="L428">
        <v>267.58</v>
      </c>
    </row>
    <row r="429" spans="1:12" x14ac:dyDescent="0.3">
      <c r="A429" t="s">
        <v>651</v>
      </c>
      <c r="B429" s="3">
        <v>45799</v>
      </c>
      <c r="C429" t="s">
        <v>328</v>
      </c>
      <c r="D429" t="s">
        <v>30</v>
      </c>
      <c r="E429" t="s">
        <v>15</v>
      </c>
      <c r="F429" t="s">
        <v>58</v>
      </c>
      <c r="G429" t="s">
        <v>126</v>
      </c>
      <c r="H429">
        <v>1</v>
      </c>
      <c r="I429">
        <v>11011</v>
      </c>
      <c r="J429">
        <v>0</v>
      </c>
      <c r="K429">
        <v>11011</v>
      </c>
      <c r="L429">
        <v>1258.4100000000001</v>
      </c>
    </row>
    <row r="430" spans="1:12" x14ac:dyDescent="0.3">
      <c r="A430" t="s">
        <v>652</v>
      </c>
      <c r="B430" s="3">
        <v>45788</v>
      </c>
      <c r="C430" t="s">
        <v>139</v>
      </c>
      <c r="D430" t="s">
        <v>20</v>
      </c>
      <c r="E430" t="s">
        <v>15</v>
      </c>
      <c r="F430" t="s">
        <v>27</v>
      </c>
      <c r="G430" t="s">
        <v>40</v>
      </c>
      <c r="H430">
        <v>2</v>
      </c>
      <c r="I430">
        <v>15489</v>
      </c>
      <c r="J430">
        <v>0.2</v>
      </c>
      <c r="K430">
        <v>24782.400000000001</v>
      </c>
      <c r="L430">
        <v>4879.6499999999996</v>
      </c>
    </row>
    <row r="431" spans="1:12" x14ac:dyDescent="0.3">
      <c r="A431" t="s">
        <v>653</v>
      </c>
      <c r="B431" s="3">
        <v>45732</v>
      </c>
      <c r="C431" t="s">
        <v>253</v>
      </c>
      <c r="D431" t="s">
        <v>120</v>
      </c>
      <c r="E431" t="s">
        <v>51</v>
      </c>
      <c r="F431" t="s">
        <v>27</v>
      </c>
      <c r="G431" t="s">
        <v>40</v>
      </c>
      <c r="H431">
        <v>2</v>
      </c>
      <c r="I431">
        <v>1039</v>
      </c>
      <c r="J431">
        <v>0</v>
      </c>
      <c r="K431">
        <v>2078</v>
      </c>
      <c r="L431">
        <v>179.43</v>
      </c>
    </row>
    <row r="432" spans="1:12" x14ac:dyDescent="0.3">
      <c r="A432" t="s">
        <v>654</v>
      </c>
      <c r="B432" s="3">
        <v>45801</v>
      </c>
      <c r="C432" t="s">
        <v>429</v>
      </c>
      <c r="D432" t="s">
        <v>80</v>
      </c>
      <c r="E432" t="s">
        <v>51</v>
      </c>
      <c r="F432" t="s">
        <v>21</v>
      </c>
      <c r="G432" t="s">
        <v>22</v>
      </c>
      <c r="H432">
        <v>2</v>
      </c>
      <c r="I432">
        <v>68871</v>
      </c>
      <c r="J432">
        <v>0.1</v>
      </c>
      <c r="K432">
        <v>123967.8</v>
      </c>
      <c r="L432">
        <v>34120.57</v>
      </c>
    </row>
    <row r="433" spans="1:12" x14ac:dyDescent="0.3">
      <c r="A433" t="s">
        <v>655</v>
      </c>
      <c r="B433" s="3">
        <v>45730</v>
      </c>
      <c r="C433" t="s">
        <v>100</v>
      </c>
      <c r="D433" t="s">
        <v>30</v>
      </c>
      <c r="E433" t="s">
        <v>15</v>
      </c>
      <c r="F433" t="s">
        <v>21</v>
      </c>
      <c r="G433" t="s">
        <v>22</v>
      </c>
      <c r="H433">
        <v>5</v>
      </c>
      <c r="I433">
        <v>4785</v>
      </c>
      <c r="J433">
        <v>0.2</v>
      </c>
      <c r="K433">
        <v>19140</v>
      </c>
      <c r="L433">
        <v>3914.63</v>
      </c>
    </row>
    <row r="434" spans="1:12" x14ac:dyDescent="0.3">
      <c r="A434" t="s">
        <v>656</v>
      </c>
      <c r="B434" s="3">
        <v>45879</v>
      </c>
      <c r="C434" t="s">
        <v>234</v>
      </c>
      <c r="D434" t="s">
        <v>153</v>
      </c>
      <c r="E434" t="s">
        <v>26</v>
      </c>
      <c r="F434" t="s">
        <v>16</v>
      </c>
      <c r="G434" t="s">
        <v>52</v>
      </c>
      <c r="H434">
        <v>1</v>
      </c>
      <c r="I434">
        <v>5106</v>
      </c>
      <c r="J434">
        <v>0.05</v>
      </c>
      <c r="K434">
        <v>4850.7</v>
      </c>
      <c r="L434">
        <v>772.19</v>
      </c>
    </row>
    <row r="435" spans="1:12" x14ac:dyDescent="0.3">
      <c r="A435" t="s">
        <v>657</v>
      </c>
      <c r="B435" s="3">
        <v>45668</v>
      </c>
      <c r="C435" t="s">
        <v>176</v>
      </c>
      <c r="D435" t="s">
        <v>68</v>
      </c>
      <c r="E435" t="s">
        <v>44</v>
      </c>
      <c r="F435" t="s">
        <v>58</v>
      </c>
      <c r="G435" t="s">
        <v>59</v>
      </c>
      <c r="H435">
        <v>3</v>
      </c>
      <c r="I435">
        <v>4381</v>
      </c>
      <c r="J435">
        <v>0</v>
      </c>
      <c r="K435">
        <v>13143</v>
      </c>
      <c r="L435">
        <v>2299.9</v>
      </c>
    </row>
    <row r="436" spans="1:12" x14ac:dyDescent="0.3">
      <c r="A436" t="s">
        <v>658</v>
      </c>
      <c r="B436" s="3">
        <v>45741</v>
      </c>
      <c r="C436" t="s">
        <v>640</v>
      </c>
      <c r="D436" t="s">
        <v>92</v>
      </c>
      <c r="E436" t="s">
        <v>51</v>
      </c>
      <c r="F436" t="s">
        <v>21</v>
      </c>
      <c r="G436" t="s">
        <v>22</v>
      </c>
      <c r="H436">
        <v>5</v>
      </c>
      <c r="I436">
        <v>21149</v>
      </c>
      <c r="J436">
        <v>0.2</v>
      </c>
      <c r="K436">
        <v>84596</v>
      </c>
      <c r="L436">
        <v>14207.74</v>
      </c>
    </row>
    <row r="437" spans="1:12" x14ac:dyDescent="0.3">
      <c r="A437" t="s">
        <v>659</v>
      </c>
      <c r="B437" s="3">
        <v>46007</v>
      </c>
      <c r="C437" t="s">
        <v>141</v>
      </c>
      <c r="D437" t="s">
        <v>50</v>
      </c>
      <c r="E437" t="s">
        <v>51</v>
      </c>
      <c r="F437" t="s">
        <v>27</v>
      </c>
      <c r="G437" t="s">
        <v>28</v>
      </c>
      <c r="H437">
        <v>1</v>
      </c>
      <c r="I437">
        <v>3032</v>
      </c>
      <c r="J437">
        <v>0.05</v>
      </c>
      <c r="K437">
        <v>2880.4</v>
      </c>
      <c r="L437">
        <v>434.19</v>
      </c>
    </row>
    <row r="438" spans="1:12" x14ac:dyDescent="0.3">
      <c r="A438" t="s">
        <v>660</v>
      </c>
      <c r="B438" s="3">
        <v>45661</v>
      </c>
      <c r="C438" t="s">
        <v>300</v>
      </c>
      <c r="D438" t="s">
        <v>103</v>
      </c>
      <c r="E438" t="s">
        <v>51</v>
      </c>
      <c r="F438" t="s">
        <v>27</v>
      </c>
      <c r="G438" t="s">
        <v>40</v>
      </c>
      <c r="H438">
        <v>1</v>
      </c>
      <c r="I438">
        <v>3873</v>
      </c>
      <c r="J438">
        <v>0.15</v>
      </c>
      <c r="K438">
        <v>3292.05</v>
      </c>
      <c r="L438">
        <v>365.37</v>
      </c>
    </row>
    <row r="439" spans="1:12" x14ac:dyDescent="0.3">
      <c r="A439" t="s">
        <v>661</v>
      </c>
      <c r="B439" s="3">
        <v>45753</v>
      </c>
      <c r="C439" t="s">
        <v>94</v>
      </c>
      <c r="D439" t="s">
        <v>153</v>
      </c>
      <c r="E439" t="s">
        <v>26</v>
      </c>
      <c r="F439" t="s">
        <v>16</v>
      </c>
      <c r="G439" t="s">
        <v>104</v>
      </c>
      <c r="H439">
        <v>1</v>
      </c>
      <c r="I439">
        <v>6089</v>
      </c>
      <c r="J439">
        <v>0.15</v>
      </c>
      <c r="K439">
        <v>5175.6499999999996</v>
      </c>
      <c r="L439">
        <v>728.34</v>
      </c>
    </row>
    <row r="440" spans="1:12" x14ac:dyDescent="0.3">
      <c r="A440" t="s">
        <v>662</v>
      </c>
      <c r="B440" s="3">
        <v>46000</v>
      </c>
      <c r="C440" t="s">
        <v>178</v>
      </c>
      <c r="D440" t="s">
        <v>65</v>
      </c>
      <c r="E440" t="s">
        <v>26</v>
      </c>
      <c r="F440" t="s">
        <v>21</v>
      </c>
      <c r="G440" t="s">
        <v>55</v>
      </c>
      <c r="H440">
        <v>1</v>
      </c>
      <c r="I440">
        <v>2717</v>
      </c>
      <c r="J440">
        <v>0.05</v>
      </c>
      <c r="K440">
        <v>2581.15</v>
      </c>
      <c r="L440">
        <v>631.03</v>
      </c>
    </row>
    <row r="441" spans="1:12" x14ac:dyDescent="0.3">
      <c r="A441" t="s">
        <v>663</v>
      </c>
      <c r="B441" s="3">
        <v>45746</v>
      </c>
      <c r="C441" t="s">
        <v>24</v>
      </c>
      <c r="D441" t="s">
        <v>34</v>
      </c>
      <c r="E441" t="s">
        <v>15</v>
      </c>
      <c r="F441" t="s">
        <v>58</v>
      </c>
      <c r="G441" t="s">
        <v>69</v>
      </c>
      <c r="H441">
        <v>2</v>
      </c>
      <c r="I441">
        <v>19010</v>
      </c>
      <c r="J441">
        <v>0.15</v>
      </c>
      <c r="K441">
        <v>32317</v>
      </c>
      <c r="L441">
        <v>8158.12</v>
      </c>
    </row>
    <row r="442" spans="1:12" x14ac:dyDescent="0.3">
      <c r="A442" t="s">
        <v>664</v>
      </c>
      <c r="B442" s="3">
        <v>45697</v>
      </c>
      <c r="C442" t="s">
        <v>665</v>
      </c>
      <c r="D442" t="s">
        <v>103</v>
      </c>
      <c r="E442" t="s">
        <v>51</v>
      </c>
      <c r="F442" t="s">
        <v>58</v>
      </c>
      <c r="G442" t="s">
        <v>126</v>
      </c>
      <c r="H442">
        <v>1</v>
      </c>
      <c r="I442">
        <v>2722</v>
      </c>
      <c r="J442">
        <v>0.1</v>
      </c>
      <c r="K442">
        <v>2449.8000000000002</v>
      </c>
      <c r="L442">
        <v>559.36</v>
      </c>
    </row>
    <row r="443" spans="1:12" x14ac:dyDescent="0.3">
      <c r="A443" t="s">
        <v>666</v>
      </c>
      <c r="B443" s="3">
        <v>45906</v>
      </c>
      <c r="C443" t="s">
        <v>125</v>
      </c>
      <c r="D443" t="s">
        <v>153</v>
      </c>
      <c r="E443" t="s">
        <v>26</v>
      </c>
      <c r="F443" t="s">
        <v>21</v>
      </c>
      <c r="G443" t="s">
        <v>22</v>
      </c>
      <c r="H443">
        <v>3</v>
      </c>
      <c r="I443">
        <v>5551</v>
      </c>
      <c r="J443">
        <v>0.05</v>
      </c>
      <c r="K443">
        <v>15820.35</v>
      </c>
      <c r="L443">
        <v>2702.08</v>
      </c>
    </row>
    <row r="444" spans="1:12" x14ac:dyDescent="0.3">
      <c r="A444" t="s">
        <v>667</v>
      </c>
      <c r="B444" s="3">
        <v>45994</v>
      </c>
      <c r="C444" t="s">
        <v>159</v>
      </c>
      <c r="D444" t="s">
        <v>65</v>
      </c>
      <c r="E444" t="s">
        <v>26</v>
      </c>
      <c r="F444" t="s">
        <v>58</v>
      </c>
      <c r="G444" t="s">
        <v>126</v>
      </c>
      <c r="H444">
        <v>3</v>
      </c>
      <c r="I444">
        <v>2883</v>
      </c>
      <c r="J444">
        <v>0.15</v>
      </c>
      <c r="K444">
        <v>7351.65</v>
      </c>
      <c r="L444">
        <v>1342.26</v>
      </c>
    </row>
    <row r="445" spans="1:12" x14ac:dyDescent="0.3">
      <c r="A445" t="s">
        <v>668</v>
      </c>
      <c r="B445" s="3">
        <v>45729</v>
      </c>
      <c r="C445" t="s">
        <v>42</v>
      </c>
      <c r="D445" t="s">
        <v>65</v>
      </c>
      <c r="E445" t="s">
        <v>26</v>
      </c>
      <c r="F445" t="s">
        <v>21</v>
      </c>
      <c r="G445" t="s">
        <v>22</v>
      </c>
      <c r="H445">
        <v>1</v>
      </c>
      <c r="I445">
        <v>3384</v>
      </c>
      <c r="J445">
        <v>0</v>
      </c>
      <c r="K445">
        <v>3384</v>
      </c>
      <c r="L445">
        <v>657.09</v>
      </c>
    </row>
    <row r="446" spans="1:12" x14ac:dyDescent="0.3">
      <c r="A446" t="s">
        <v>669</v>
      </c>
      <c r="B446" s="3">
        <v>45903</v>
      </c>
      <c r="C446" t="s">
        <v>670</v>
      </c>
      <c r="D446" t="s">
        <v>120</v>
      </c>
      <c r="E446" t="s">
        <v>51</v>
      </c>
      <c r="F446" t="s">
        <v>16</v>
      </c>
      <c r="G446" t="s">
        <v>52</v>
      </c>
      <c r="H446">
        <v>3</v>
      </c>
      <c r="I446">
        <v>914</v>
      </c>
      <c r="J446">
        <v>0.2</v>
      </c>
      <c r="K446">
        <v>2193.6</v>
      </c>
      <c r="L446">
        <v>601.01</v>
      </c>
    </row>
    <row r="447" spans="1:12" x14ac:dyDescent="0.3">
      <c r="A447" t="s">
        <v>671</v>
      </c>
      <c r="B447" s="3">
        <v>45913</v>
      </c>
      <c r="C447" t="s">
        <v>61</v>
      </c>
      <c r="D447" t="s">
        <v>34</v>
      </c>
      <c r="E447" t="s">
        <v>15</v>
      </c>
      <c r="F447" t="s">
        <v>27</v>
      </c>
      <c r="G447" t="s">
        <v>31</v>
      </c>
      <c r="H447">
        <v>1</v>
      </c>
      <c r="I447">
        <v>17022</v>
      </c>
      <c r="J447">
        <v>0.15</v>
      </c>
      <c r="K447">
        <v>14468.7</v>
      </c>
      <c r="L447">
        <v>3460.7</v>
      </c>
    </row>
    <row r="448" spans="1:12" x14ac:dyDescent="0.3">
      <c r="A448" t="s">
        <v>672</v>
      </c>
      <c r="B448" s="3">
        <v>45870</v>
      </c>
      <c r="C448" t="s">
        <v>189</v>
      </c>
      <c r="D448" t="s">
        <v>83</v>
      </c>
      <c r="E448" t="s">
        <v>73</v>
      </c>
      <c r="F448" t="s">
        <v>16</v>
      </c>
      <c r="G448" t="s">
        <v>104</v>
      </c>
      <c r="H448">
        <v>4</v>
      </c>
      <c r="I448">
        <v>412</v>
      </c>
      <c r="J448">
        <v>0.05</v>
      </c>
      <c r="K448">
        <v>1565.6</v>
      </c>
      <c r="L448">
        <v>125.45</v>
      </c>
    </row>
    <row r="449" spans="1:12" x14ac:dyDescent="0.3">
      <c r="A449" t="s">
        <v>673</v>
      </c>
      <c r="B449" s="3">
        <v>45994</v>
      </c>
      <c r="C449" t="s">
        <v>116</v>
      </c>
      <c r="D449" t="s">
        <v>47</v>
      </c>
      <c r="E449" t="s">
        <v>26</v>
      </c>
      <c r="F449" t="s">
        <v>21</v>
      </c>
      <c r="G449" t="s">
        <v>35</v>
      </c>
      <c r="H449">
        <v>1</v>
      </c>
      <c r="I449">
        <v>13875</v>
      </c>
      <c r="J449">
        <v>0.05</v>
      </c>
      <c r="K449">
        <v>13181.25</v>
      </c>
      <c r="L449">
        <v>1301.72</v>
      </c>
    </row>
    <row r="450" spans="1:12" x14ac:dyDescent="0.3">
      <c r="A450" t="s">
        <v>674</v>
      </c>
      <c r="B450" s="3">
        <v>45831</v>
      </c>
      <c r="C450" t="s">
        <v>456</v>
      </c>
      <c r="D450" t="s">
        <v>50</v>
      </c>
      <c r="E450" t="s">
        <v>51</v>
      </c>
      <c r="F450" t="s">
        <v>58</v>
      </c>
      <c r="G450" t="s">
        <v>59</v>
      </c>
      <c r="H450">
        <v>2</v>
      </c>
      <c r="I450">
        <v>3296</v>
      </c>
      <c r="J450">
        <v>0.15</v>
      </c>
      <c r="K450">
        <v>5603.2</v>
      </c>
      <c r="L450">
        <v>1109.3800000000001</v>
      </c>
    </row>
    <row r="451" spans="1:12" x14ac:dyDescent="0.3">
      <c r="A451" t="s">
        <v>675</v>
      </c>
      <c r="B451" s="3">
        <v>45903</v>
      </c>
      <c r="C451" t="s">
        <v>407</v>
      </c>
      <c r="D451" t="s">
        <v>72</v>
      </c>
      <c r="E451" t="s">
        <v>73</v>
      </c>
      <c r="F451" t="s">
        <v>16</v>
      </c>
      <c r="G451" t="s">
        <v>104</v>
      </c>
      <c r="H451">
        <v>2</v>
      </c>
      <c r="I451">
        <v>817</v>
      </c>
      <c r="J451">
        <v>0.25</v>
      </c>
      <c r="K451">
        <v>1225.5</v>
      </c>
      <c r="L451">
        <v>286.63</v>
      </c>
    </row>
    <row r="452" spans="1:12" x14ac:dyDescent="0.3">
      <c r="A452" t="s">
        <v>676</v>
      </c>
      <c r="B452" s="3">
        <v>45806</v>
      </c>
      <c r="C452" t="s">
        <v>223</v>
      </c>
      <c r="D452" t="s">
        <v>153</v>
      </c>
      <c r="E452" t="s">
        <v>26</v>
      </c>
      <c r="F452" t="s">
        <v>58</v>
      </c>
      <c r="G452" t="s">
        <v>69</v>
      </c>
      <c r="H452">
        <v>1</v>
      </c>
      <c r="I452">
        <v>7350</v>
      </c>
      <c r="J452">
        <v>0.05</v>
      </c>
      <c r="K452">
        <v>6982.5</v>
      </c>
      <c r="L452">
        <v>1494.3</v>
      </c>
    </row>
    <row r="453" spans="1:12" x14ac:dyDescent="0.3">
      <c r="A453" t="s">
        <v>677</v>
      </c>
      <c r="B453" s="3">
        <v>45837</v>
      </c>
      <c r="C453" t="s">
        <v>358</v>
      </c>
      <c r="D453" t="s">
        <v>153</v>
      </c>
      <c r="E453" t="s">
        <v>26</v>
      </c>
      <c r="F453" t="s">
        <v>58</v>
      </c>
      <c r="G453" t="s">
        <v>59</v>
      </c>
      <c r="H453">
        <v>1</v>
      </c>
      <c r="I453">
        <v>8897</v>
      </c>
      <c r="J453">
        <v>0.2</v>
      </c>
      <c r="K453">
        <v>7117.6</v>
      </c>
      <c r="L453">
        <v>1987.8</v>
      </c>
    </row>
    <row r="454" spans="1:12" x14ac:dyDescent="0.3">
      <c r="A454" t="s">
        <v>678</v>
      </c>
      <c r="B454" s="3">
        <v>45945</v>
      </c>
      <c r="C454" t="s">
        <v>670</v>
      </c>
      <c r="D454" t="s">
        <v>92</v>
      </c>
      <c r="E454" t="s">
        <v>51</v>
      </c>
      <c r="F454" t="s">
        <v>21</v>
      </c>
      <c r="G454" t="s">
        <v>35</v>
      </c>
      <c r="H454">
        <v>1</v>
      </c>
      <c r="I454">
        <v>20594</v>
      </c>
      <c r="J454">
        <v>0</v>
      </c>
      <c r="K454">
        <v>20594</v>
      </c>
      <c r="L454">
        <v>4153.07</v>
      </c>
    </row>
    <row r="455" spans="1:12" x14ac:dyDescent="0.3">
      <c r="A455" t="s">
        <v>679</v>
      </c>
      <c r="B455" s="3">
        <v>45889</v>
      </c>
      <c r="C455" t="s">
        <v>75</v>
      </c>
      <c r="D455" t="s">
        <v>43</v>
      </c>
      <c r="E455" t="s">
        <v>44</v>
      </c>
      <c r="F455" t="s">
        <v>58</v>
      </c>
      <c r="G455" t="s">
        <v>59</v>
      </c>
      <c r="H455">
        <v>1</v>
      </c>
      <c r="I455">
        <v>367</v>
      </c>
      <c r="J455">
        <v>0.1</v>
      </c>
      <c r="K455">
        <v>330.3</v>
      </c>
      <c r="L455">
        <v>69.459999999999994</v>
      </c>
    </row>
    <row r="456" spans="1:12" x14ac:dyDescent="0.3">
      <c r="A456" t="s">
        <v>680</v>
      </c>
      <c r="B456" s="3">
        <v>45713</v>
      </c>
      <c r="C456" t="s">
        <v>354</v>
      </c>
      <c r="D456" t="s">
        <v>47</v>
      </c>
      <c r="E456" t="s">
        <v>26</v>
      </c>
      <c r="F456" t="s">
        <v>58</v>
      </c>
      <c r="G456" t="s">
        <v>59</v>
      </c>
      <c r="H456">
        <v>1</v>
      </c>
      <c r="I456">
        <v>7992</v>
      </c>
      <c r="J456">
        <v>0</v>
      </c>
      <c r="K456">
        <v>7992</v>
      </c>
      <c r="L456">
        <v>1961.01</v>
      </c>
    </row>
    <row r="457" spans="1:12" x14ac:dyDescent="0.3">
      <c r="A457" t="s">
        <v>681</v>
      </c>
      <c r="B457" s="3">
        <v>45796</v>
      </c>
      <c r="C457" t="s">
        <v>274</v>
      </c>
      <c r="D457" t="s">
        <v>80</v>
      </c>
      <c r="E457" t="s">
        <v>51</v>
      </c>
      <c r="F457" t="s">
        <v>16</v>
      </c>
      <c r="G457" t="s">
        <v>17</v>
      </c>
      <c r="H457">
        <v>1</v>
      </c>
      <c r="I457">
        <v>58288</v>
      </c>
      <c r="J457">
        <v>0.05</v>
      </c>
      <c r="K457">
        <v>55373.599999999999</v>
      </c>
      <c r="L457">
        <v>4889.4799999999996</v>
      </c>
    </row>
    <row r="458" spans="1:12" x14ac:dyDescent="0.3">
      <c r="A458" t="s">
        <v>682</v>
      </c>
      <c r="B458" s="3">
        <v>45841</v>
      </c>
      <c r="C458" t="s">
        <v>503</v>
      </c>
      <c r="D458" t="s">
        <v>80</v>
      </c>
      <c r="E458" t="s">
        <v>51</v>
      </c>
      <c r="F458" t="s">
        <v>27</v>
      </c>
      <c r="G458" t="s">
        <v>31</v>
      </c>
      <c r="H458">
        <v>1</v>
      </c>
      <c r="I458">
        <v>78924</v>
      </c>
      <c r="J458">
        <v>0.2</v>
      </c>
      <c r="K458">
        <v>63139.199999999997</v>
      </c>
      <c r="L458">
        <v>16224.94</v>
      </c>
    </row>
    <row r="459" spans="1:12" x14ac:dyDescent="0.3">
      <c r="A459" t="s">
        <v>683</v>
      </c>
      <c r="B459" s="3">
        <v>45926</v>
      </c>
      <c r="C459" t="s">
        <v>391</v>
      </c>
      <c r="D459" t="s">
        <v>14</v>
      </c>
      <c r="E459" t="s">
        <v>15</v>
      </c>
      <c r="F459" t="s">
        <v>16</v>
      </c>
      <c r="G459" t="s">
        <v>104</v>
      </c>
      <c r="H459">
        <v>1</v>
      </c>
      <c r="I459">
        <v>14593</v>
      </c>
      <c r="J459">
        <v>0.1</v>
      </c>
      <c r="K459">
        <v>13133.7</v>
      </c>
      <c r="L459">
        <v>2686.34</v>
      </c>
    </row>
    <row r="460" spans="1:12" x14ac:dyDescent="0.3">
      <c r="A460" t="s">
        <v>684</v>
      </c>
      <c r="B460" s="3">
        <v>45941</v>
      </c>
      <c r="C460" t="s">
        <v>109</v>
      </c>
      <c r="D460" t="s">
        <v>30</v>
      </c>
      <c r="E460" t="s">
        <v>15</v>
      </c>
      <c r="F460" t="s">
        <v>27</v>
      </c>
      <c r="G460" t="s">
        <v>31</v>
      </c>
      <c r="H460">
        <v>1</v>
      </c>
      <c r="I460">
        <v>7762</v>
      </c>
      <c r="J460">
        <v>0.15</v>
      </c>
      <c r="K460">
        <v>6597.7</v>
      </c>
      <c r="L460">
        <v>1762.23</v>
      </c>
    </row>
    <row r="461" spans="1:12" x14ac:dyDescent="0.3">
      <c r="A461" t="s">
        <v>685</v>
      </c>
      <c r="B461" s="3">
        <v>45841</v>
      </c>
      <c r="C461" t="s">
        <v>131</v>
      </c>
      <c r="D461" t="s">
        <v>43</v>
      </c>
      <c r="E461" t="s">
        <v>44</v>
      </c>
      <c r="F461" t="s">
        <v>16</v>
      </c>
      <c r="G461" t="s">
        <v>52</v>
      </c>
      <c r="H461">
        <v>2</v>
      </c>
      <c r="I461">
        <v>481</v>
      </c>
      <c r="J461">
        <v>0.2</v>
      </c>
      <c r="K461">
        <v>769.6</v>
      </c>
      <c r="L461">
        <v>130.33000000000001</v>
      </c>
    </row>
    <row r="462" spans="1:12" x14ac:dyDescent="0.3">
      <c r="A462" t="s">
        <v>686</v>
      </c>
      <c r="B462" s="3">
        <v>46017</v>
      </c>
      <c r="C462" t="s">
        <v>77</v>
      </c>
      <c r="D462" t="s">
        <v>92</v>
      </c>
      <c r="E462" t="s">
        <v>51</v>
      </c>
      <c r="F462" t="s">
        <v>58</v>
      </c>
      <c r="G462" t="s">
        <v>69</v>
      </c>
      <c r="H462">
        <v>2</v>
      </c>
      <c r="I462">
        <v>23470</v>
      </c>
      <c r="J462">
        <v>0.15</v>
      </c>
      <c r="K462">
        <v>39899</v>
      </c>
      <c r="L462">
        <v>9233.01</v>
      </c>
    </row>
    <row r="463" spans="1:12" x14ac:dyDescent="0.3">
      <c r="A463" t="s">
        <v>687</v>
      </c>
      <c r="B463" s="3">
        <v>45701</v>
      </c>
      <c r="C463" t="s">
        <v>326</v>
      </c>
      <c r="D463" t="s">
        <v>120</v>
      </c>
      <c r="E463" t="s">
        <v>51</v>
      </c>
      <c r="F463" t="s">
        <v>58</v>
      </c>
      <c r="G463" t="s">
        <v>126</v>
      </c>
      <c r="H463">
        <v>1</v>
      </c>
      <c r="I463">
        <v>1124</v>
      </c>
      <c r="J463">
        <v>0.2</v>
      </c>
      <c r="K463">
        <v>899.2</v>
      </c>
      <c r="L463">
        <v>232.99</v>
      </c>
    </row>
    <row r="464" spans="1:12" x14ac:dyDescent="0.3">
      <c r="A464" t="s">
        <v>688</v>
      </c>
      <c r="B464" s="3">
        <v>45903</v>
      </c>
      <c r="C464" t="s">
        <v>139</v>
      </c>
      <c r="D464" t="s">
        <v>30</v>
      </c>
      <c r="E464" t="s">
        <v>15</v>
      </c>
      <c r="F464" t="s">
        <v>21</v>
      </c>
      <c r="G464" t="s">
        <v>35</v>
      </c>
      <c r="H464">
        <v>1</v>
      </c>
      <c r="I464">
        <v>6254</v>
      </c>
      <c r="J464">
        <v>0.05</v>
      </c>
      <c r="K464">
        <v>5941.3</v>
      </c>
      <c r="L464">
        <v>986.21</v>
      </c>
    </row>
    <row r="465" spans="1:12" x14ac:dyDescent="0.3">
      <c r="A465" t="s">
        <v>689</v>
      </c>
      <c r="B465" s="3">
        <v>45951</v>
      </c>
      <c r="C465" t="s">
        <v>194</v>
      </c>
      <c r="D465" t="s">
        <v>97</v>
      </c>
      <c r="E465" t="s">
        <v>44</v>
      </c>
      <c r="F465" t="s">
        <v>27</v>
      </c>
      <c r="G465" t="s">
        <v>28</v>
      </c>
      <c r="H465">
        <v>2</v>
      </c>
      <c r="I465">
        <v>1152</v>
      </c>
      <c r="J465">
        <v>0</v>
      </c>
      <c r="K465">
        <v>2304</v>
      </c>
      <c r="L465">
        <v>522.49</v>
      </c>
    </row>
    <row r="466" spans="1:12" x14ac:dyDescent="0.3">
      <c r="A466" t="s">
        <v>690</v>
      </c>
      <c r="B466" s="3">
        <v>45727</v>
      </c>
      <c r="C466" t="s">
        <v>501</v>
      </c>
      <c r="D466" t="s">
        <v>80</v>
      </c>
      <c r="E466" t="s">
        <v>51</v>
      </c>
      <c r="F466" t="s">
        <v>27</v>
      </c>
      <c r="G466" t="s">
        <v>28</v>
      </c>
      <c r="H466">
        <v>4</v>
      </c>
      <c r="I466">
        <v>58758</v>
      </c>
      <c r="J466">
        <v>0.15</v>
      </c>
      <c r="K466">
        <v>199777.2</v>
      </c>
      <c r="L466">
        <v>42299.28</v>
      </c>
    </row>
    <row r="467" spans="1:12" x14ac:dyDescent="0.3">
      <c r="A467" t="s">
        <v>691</v>
      </c>
      <c r="B467" s="3">
        <v>45849</v>
      </c>
      <c r="C467" t="s">
        <v>102</v>
      </c>
      <c r="D467" t="s">
        <v>50</v>
      </c>
      <c r="E467" t="s">
        <v>51</v>
      </c>
      <c r="F467" t="s">
        <v>27</v>
      </c>
      <c r="G467" t="s">
        <v>31</v>
      </c>
      <c r="H467">
        <v>4</v>
      </c>
      <c r="I467">
        <v>1879</v>
      </c>
      <c r="J467">
        <v>0.05</v>
      </c>
      <c r="K467">
        <v>7140.2</v>
      </c>
      <c r="L467">
        <v>586.65</v>
      </c>
    </row>
    <row r="468" spans="1:12" x14ac:dyDescent="0.3">
      <c r="A468" t="s">
        <v>692</v>
      </c>
      <c r="B468" s="3">
        <v>45968</v>
      </c>
      <c r="C468" t="s">
        <v>412</v>
      </c>
      <c r="D468" t="s">
        <v>307</v>
      </c>
      <c r="E468" t="s">
        <v>73</v>
      </c>
      <c r="F468" t="s">
        <v>58</v>
      </c>
      <c r="G468" t="s">
        <v>126</v>
      </c>
      <c r="H468">
        <v>1</v>
      </c>
      <c r="I468">
        <v>114</v>
      </c>
      <c r="J468">
        <v>0.1</v>
      </c>
      <c r="K468">
        <v>102.6</v>
      </c>
      <c r="L468">
        <v>12.85</v>
      </c>
    </row>
    <row r="469" spans="1:12" x14ac:dyDescent="0.3">
      <c r="A469" t="s">
        <v>693</v>
      </c>
      <c r="B469" s="3">
        <v>45687</v>
      </c>
      <c r="C469" t="s">
        <v>217</v>
      </c>
      <c r="D469" t="s">
        <v>47</v>
      </c>
      <c r="E469" t="s">
        <v>26</v>
      </c>
      <c r="F469" t="s">
        <v>21</v>
      </c>
      <c r="G469" t="s">
        <v>22</v>
      </c>
      <c r="H469">
        <v>4</v>
      </c>
      <c r="I469">
        <v>10346</v>
      </c>
      <c r="J469">
        <v>0.15</v>
      </c>
      <c r="K469">
        <v>35176.400000000001</v>
      </c>
      <c r="L469">
        <v>8368.41</v>
      </c>
    </row>
    <row r="470" spans="1:12" x14ac:dyDescent="0.3">
      <c r="A470" t="s">
        <v>694</v>
      </c>
      <c r="B470" s="3">
        <v>45760</v>
      </c>
      <c r="C470" t="s">
        <v>61</v>
      </c>
      <c r="D470" t="s">
        <v>307</v>
      </c>
      <c r="E470" t="s">
        <v>73</v>
      </c>
      <c r="F470" t="s">
        <v>27</v>
      </c>
      <c r="G470" t="s">
        <v>28</v>
      </c>
      <c r="H470">
        <v>5</v>
      </c>
      <c r="I470">
        <v>240</v>
      </c>
      <c r="J470">
        <v>0.05</v>
      </c>
      <c r="K470">
        <v>1140</v>
      </c>
      <c r="L470">
        <v>102.68</v>
      </c>
    </row>
    <row r="471" spans="1:12" x14ac:dyDescent="0.3">
      <c r="A471" t="s">
        <v>695</v>
      </c>
      <c r="B471" s="3">
        <v>45697</v>
      </c>
      <c r="C471" t="s">
        <v>278</v>
      </c>
      <c r="D471" t="s">
        <v>80</v>
      </c>
      <c r="E471" t="s">
        <v>51</v>
      </c>
      <c r="F471" t="s">
        <v>16</v>
      </c>
      <c r="G471" t="s">
        <v>104</v>
      </c>
      <c r="H471">
        <v>5</v>
      </c>
      <c r="I471">
        <v>67977</v>
      </c>
      <c r="J471">
        <v>0</v>
      </c>
      <c r="K471">
        <v>339885</v>
      </c>
      <c r="L471">
        <v>74010.81</v>
      </c>
    </row>
    <row r="472" spans="1:12" x14ac:dyDescent="0.3">
      <c r="A472" t="s">
        <v>696</v>
      </c>
      <c r="B472" s="3">
        <v>45756</v>
      </c>
      <c r="C472" t="s">
        <v>482</v>
      </c>
      <c r="D472" t="s">
        <v>97</v>
      </c>
      <c r="E472" t="s">
        <v>44</v>
      </c>
      <c r="F472" t="s">
        <v>27</v>
      </c>
      <c r="G472" t="s">
        <v>40</v>
      </c>
      <c r="H472">
        <v>1</v>
      </c>
      <c r="I472">
        <v>594</v>
      </c>
      <c r="J472">
        <v>0.15</v>
      </c>
      <c r="K472">
        <v>504.9</v>
      </c>
      <c r="L472">
        <v>73.53</v>
      </c>
    </row>
    <row r="473" spans="1:12" x14ac:dyDescent="0.3">
      <c r="A473" t="s">
        <v>697</v>
      </c>
      <c r="B473" s="3">
        <v>45919</v>
      </c>
      <c r="C473" t="s">
        <v>310</v>
      </c>
      <c r="D473" t="s">
        <v>80</v>
      </c>
      <c r="E473" t="s">
        <v>51</v>
      </c>
      <c r="F473" t="s">
        <v>21</v>
      </c>
      <c r="G473" t="s">
        <v>55</v>
      </c>
      <c r="H473">
        <v>2</v>
      </c>
      <c r="I473">
        <v>52307</v>
      </c>
      <c r="J473">
        <v>0</v>
      </c>
      <c r="K473">
        <v>104614</v>
      </c>
      <c r="L473">
        <v>20430.54</v>
      </c>
    </row>
    <row r="474" spans="1:12" x14ac:dyDescent="0.3">
      <c r="A474" t="s">
        <v>698</v>
      </c>
      <c r="B474" s="3">
        <v>45717</v>
      </c>
      <c r="C474" t="s">
        <v>448</v>
      </c>
      <c r="D474" t="s">
        <v>88</v>
      </c>
      <c r="E474" t="s">
        <v>73</v>
      </c>
      <c r="F474" t="s">
        <v>58</v>
      </c>
      <c r="G474" t="s">
        <v>59</v>
      </c>
      <c r="H474">
        <v>1</v>
      </c>
      <c r="I474">
        <v>567</v>
      </c>
      <c r="J474">
        <v>0.1</v>
      </c>
      <c r="K474">
        <v>510.3</v>
      </c>
      <c r="L474">
        <v>95.08</v>
      </c>
    </row>
    <row r="475" spans="1:12" x14ac:dyDescent="0.3">
      <c r="A475" t="s">
        <v>699</v>
      </c>
      <c r="B475" s="3">
        <v>45855</v>
      </c>
      <c r="C475" t="s">
        <v>141</v>
      </c>
      <c r="D475" t="s">
        <v>68</v>
      </c>
      <c r="E475" t="s">
        <v>44</v>
      </c>
      <c r="F475" t="s">
        <v>21</v>
      </c>
      <c r="G475" t="s">
        <v>55</v>
      </c>
      <c r="H475">
        <v>2</v>
      </c>
      <c r="I475">
        <v>5639</v>
      </c>
      <c r="J475">
        <v>0.05</v>
      </c>
      <c r="K475">
        <v>10714.1</v>
      </c>
      <c r="L475">
        <v>2845.88</v>
      </c>
    </row>
    <row r="476" spans="1:12" x14ac:dyDescent="0.3">
      <c r="A476" t="s">
        <v>700</v>
      </c>
      <c r="B476" s="3">
        <v>45676</v>
      </c>
      <c r="C476" t="s">
        <v>319</v>
      </c>
      <c r="D476" t="s">
        <v>120</v>
      </c>
      <c r="E476" t="s">
        <v>51</v>
      </c>
      <c r="F476" t="s">
        <v>16</v>
      </c>
      <c r="G476" t="s">
        <v>17</v>
      </c>
      <c r="H476">
        <v>3</v>
      </c>
      <c r="I476">
        <v>479</v>
      </c>
      <c r="J476">
        <v>0.1</v>
      </c>
      <c r="K476">
        <v>1293.3</v>
      </c>
      <c r="L476">
        <v>271.14</v>
      </c>
    </row>
    <row r="477" spans="1:12" x14ac:dyDescent="0.3">
      <c r="A477" t="s">
        <v>701</v>
      </c>
      <c r="B477" s="3">
        <v>45802</v>
      </c>
      <c r="C477" t="s">
        <v>116</v>
      </c>
      <c r="D477" t="s">
        <v>65</v>
      </c>
      <c r="E477" t="s">
        <v>26</v>
      </c>
      <c r="F477" t="s">
        <v>27</v>
      </c>
      <c r="G477" t="s">
        <v>28</v>
      </c>
      <c r="H477">
        <v>4</v>
      </c>
      <c r="I477">
        <v>4375</v>
      </c>
      <c r="J477">
        <v>0.05</v>
      </c>
      <c r="K477">
        <v>16625</v>
      </c>
      <c r="L477">
        <v>3823.84</v>
      </c>
    </row>
    <row r="478" spans="1:12" x14ac:dyDescent="0.3">
      <c r="A478" t="s">
        <v>702</v>
      </c>
      <c r="B478" s="3">
        <v>45896</v>
      </c>
      <c r="C478" t="s">
        <v>326</v>
      </c>
      <c r="D478" t="s">
        <v>47</v>
      </c>
      <c r="E478" t="s">
        <v>26</v>
      </c>
      <c r="F478" t="s">
        <v>21</v>
      </c>
      <c r="G478" t="s">
        <v>22</v>
      </c>
      <c r="H478">
        <v>1</v>
      </c>
      <c r="I478">
        <v>15345</v>
      </c>
      <c r="J478">
        <v>0</v>
      </c>
      <c r="K478">
        <v>15345</v>
      </c>
      <c r="L478">
        <v>4011.95</v>
      </c>
    </row>
    <row r="479" spans="1:12" x14ac:dyDescent="0.3">
      <c r="A479" t="s">
        <v>703</v>
      </c>
      <c r="B479" s="3">
        <v>45851</v>
      </c>
      <c r="C479" t="s">
        <v>544</v>
      </c>
      <c r="D479" t="s">
        <v>20</v>
      </c>
      <c r="E479" t="s">
        <v>15</v>
      </c>
      <c r="F479" t="s">
        <v>21</v>
      </c>
      <c r="G479" t="s">
        <v>35</v>
      </c>
      <c r="H479">
        <v>2</v>
      </c>
      <c r="I479">
        <v>7545</v>
      </c>
      <c r="J479">
        <v>0.1</v>
      </c>
      <c r="K479">
        <v>13581</v>
      </c>
      <c r="L479">
        <v>3073.34</v>
      </c>
    </row>
    <row r="480" spans="1:12" x14ac:dyDescent="0.3">
      <c r="A480" t="s">
        <v>704</v>
      </c>
      <c r="B480" s="3">
        <v>45760</v>
      </c>
      <c r="C480" t="s">
        <v>705</v>
      </c>
      <c r="D480" t="s">
        <v>202</v>
      </c>
      <c r="E480" t="s">
        <v>44</v>
      </c>
      <c r="F480" t="s">
        <v>21</v>
      </c>
      <c r="G480" t="s">
        <v>22</v>
      </c>
      <c r="H480">
        <v>2</v>
      </c>
      <c r="I480">
        <v>2538</v>
      </c>
      <c r="J480">
        <v>0.05</v>
      </c>
      <c r="K480">
        <v>4822.2</v>
      </c>
      <c r="L480">
        <v>1111.42</v>
      </c>
    </row>
    <row r="481" spans="1:12" x14ac:dyDescent="0.3">
      <c r="A481" t="s">
        <v>706</v>
      </c>
      <c r="B481" s="3">
        <v>45717</v>
      </c>
      <c r="C481" t="s">
        <v>580</v>
      </c>
      <c r="D481" t="s">
        <v>103</v>
      </c>
      <c r="E481" t="s">
        <v>51</v>
      </c>
      <c r="F481" t="s">
        <v>58</v>
      </c>
      <c r="G481" t="s">
        <v>59</v>
      </c>
      <c r="H481">
        <v>2</v>
      </c>
      <c r="I481">
        <v>8170</v>
      </c>
      <c r="J481">
        <v>0.1</v>
      </c>
      <c r="K481">
        <v>14706</v>
      </c>
      <c r="L481">
        <v>1200.18</v>
      </c>
    </row>
    <row r="482" spans="1:12" x14ac:dyDescent="0.3">
      <c r="A482" t="s">
        <v>707</v>
      </c>
      <c r="B482" s="3">
        <v>45663</v>
      </c>
      <c r="C482" t="s">
        <v>180</v>
      </c>
      <c r="D482" t="s">
        <v>120</v>
      </c>
      <c r="E482" t="s">
        <v>51</v>
      </c>
      <c r="F482" t="s">
        <v>21</v>
      </c>
      <c r="G482" t="s">
        <v>35</v>
      </c>
      <c r="H482">
        <v>1</v>
      </c>
      <c r="I482">
        <v>1920</v>
      </c>
      <c r="J482">
        <v>0.1</v>
      </c>
      <c r="K482">
        <v>1728</v>
      </c>
      <c r="L482">
        <v>315.91000000000003</v>
      </c>
    </row>
    <row r="483" spans="1:12" x14ac:dyDescent="0.3">
      <c r="A483" t="s">
        <v>708</v>
      </c>
      <c r="B483" s="3">
        <v>45763</v>
      </c>
      <c r="C483" t="s">
        <v>451</v>
      </c>
      <c r="D483" t="s">
        <v>30</v>
      </c>
      <c r="E483" t="s">
        <v>15</v>
      </c>
      <c r="F483" t="s">
        <v>16</v>
      </c>
      <c r="G483" t="s">
        <v>17</v>
      </c>
      <c r="H483">
        <v>1</v>
      </c>
      <c r="I483">
        <v>13794</v>
      </c>
      <c r="J483">
        <v>0.2</v>
      </c>
      <c r="K483">
        <v>11035.2</v>
      </c>
      <c r="L483">
        <v>1754.94</v>
      </c>
    </row>
    <row r="484" spans="1:12" x14ac:dyDescent="0.3">
      <c r="A484" t="s">
        <v>709</v>
      </c>
      <c r="B484" s="3">
        <v>45807</v>
      </c>
      <c r="C484" t="s">
        <v>401</v>
      </c>
      <c r="D484" t="s">
        <v>50</v>
      </c>
      <c r="E484" t="s">
        <v>51</v>
      </c>
      <c r="F484" t="s">
        <v>27</v>
      </c>
      <c r="G484" t="s">
        <v>28</v>
      </c>
      <c r="H484">
        <v>3</v>
      </c>
      <c r="I484">
        <v>1518</v>
      </c>
      <c r="J484">
        <v>0.25</v>
      </c>
      <c r="K484">
        <v>3415.5</v>
      </c>
      <c r="L484">
        <v>290.83999999999997</v>
      </c>
    </row>
    <row r="485" spans="1:12" x14ac:dyDescent="0.3">
      <c r="A485" t="s">
        <v>710</v>
      </c>
      <c r="B485" s="3">
        <v>45908</v>
      </c>
      <c r="C485" t="s">
        <v>174</v>
      </c>
      <c r="D485" t="s">
        <v>80</v>
      </c>
      <c r="E485" t="s">
        <v>51</v>
      </c>
      <c r="F485" t="s">
        <v>27</v>
      </c>
      <c r="G485" t="s">
        <v>28</v>
      </c>
      <c r="H485">
        <v>4</v>
      </c>
      <c r="I485">
        <v>52247</v>
      </c>
      <c r="J485">
        <v>0.1</v>
      </c>
      <c r="K485">
        <v>188089.2</v>
      </c>
      <c r="L485">
        <v>23423.73</v>
      </c>
    </row>
    <row r="486" spans="1:12" x14ac:dyDescent="0.3">
      <c r="A486" t="s">
        <v>711</v>
      </c>
      <c r="B486" s="3">
        <v>45894</v>
      </c>
      <c r="C486" t="s">
        <v>116</v>
      </c>
      <c r="D486" t="s">
        <v>153</v>
      </c>
      <c r="E486" t="s">
        <v>26</v>
      </c>
      <c r="F486" t="s">
        <v>27</v>
      </c>
      <c r="G486" t="s">
        <v>28</v>
      </c>
      <c r="H486">
        <v>2</v>
      </c>
      <c r="I486">
        <v>5817</v>
      </c>
      <c r="J486">
        <v>0.15</v>
      </c>
      <c r="K486">
        <v>9888.9</v>
      </c>
      <c r="L486">
        <v>2223.48</v>
      </c>
    </row>
    <row r="487" spans="1:12" x14ac:dyDescent="0.3">
      <c r="A487" t="s">
        <v>712</v>
      </c>
      <c r="B487" s="3">
        <v>45991</v>
      </c>
      <c r="C487" t="s">
        <v>713</v>
      </c>
      <c r="D487" t="s">
        <v>30</v>
      </c>
      <c r="E487" t="s">
        <v>15</v>
      </c>
      <c r="F487" t="s">
        <v>58</v>
      </c>
      <c r="G487" t="s">
        <v>126</v>
      </c>
      <c r="H487">
        <v>1</v>
      </c>
      <c r="I487">
        <v>7688</v>
      </c>
      <c r="J487">
        <v>0</v>
      </c>
      <c r="K487">
        <v>7688</v>
      </c>
      <c r="L487">
        <v>976.37</v>
      </c>
    </row>
    <row r="488" spans="1:12" x14ac:dyDescent="0.3">
      <c r="A488" t="s">
        <v>714</v>
      </c>
      <c r="B488" s="3">
        <v>45866</v>
      </c>
      <c r="C488" t="s">
        <v>354</v>
      </c>
      <c r="D488" t="s">
        <v>97</v>
      </c>
      <c r="E488" t="s">
        <v>44</v>
      </c>
      <c r="F488" t="s">
        <v>16</v>
      </c>
      <c r="G488" t="s">
        <v>17</v>
      </c>
      <c r="H488">
        <v>1</v>
      </c>
      <c r="I488">
        <v>1075</v>
      </c>
      <c r="J488">
        <v>0.2</v>
      </c>
      <c r="K488">
        <v>860</v>
      </c>
      <c r="L488">
        <v>140.97999999999999</v>
      </c>
    </row>
    <row r="489" spans="1:12" x14ac:dyDescent="0.3">
      <c r="A489" t="s">
        <v>715</v>
      </c>
      <c r="B489" s="3">
        <v>45844</v>
      </c>
      <c r="C489" t="s">
        <v>555</v>
      </c>
      <c r="D489" t="s">
        <v>80</v>
      </c>
      <c r="E489" t="s">
        <v>51</v>
      </c>
      <c r="F489" t="s">
        <v>16</v>
      </c>
      <c r="G489" t="s">
        <v>104</v>
      </c>
      <c r="H489">
        <v>2</v>
      </c>
      <c r="I489">
        <v>45452</v>
      </c>
      <c r="J489">
        <v>0.15</v>
      </c>
      <c r="K489">
        <v>77268.399999999994</v>
      </c>
      <c r="L489">
        <v>10916.99</v>
      </c>
    </row>
    <row r="490" spans="1:12" x14ac:dyDescent="0.3">
      <c r="A490" t="s">
        <v>716</v>
      </c>
      <c r="B490" s="3">
        <v>45903</v>
      </c>
      <c r="C490" t="s">
        <v>191</v>
      </c>
      <c r="D490" t="s">
        <v>72</v>
      </c>
      <c r="E490" t="s">
        <v>73</v>
      </c>
      <c r="F490" t="s">
        <v>58</v>
      </c>
      <c r="G490" t="s">
        <v>59</v>
      </c>
      <c r="H490">
        <v>2</v>
      </c>
      <c r="I490">
        <v>511</v>
      </c>
      <c r="J490">
        <v>0.1</v>
      </c>
      <c r="K490">
        <v>919.8</v>
      </c>
      <c r="L490">
        <v>123.53</v>
      </c>
    </row>
    <row r="491" spans="1:12" x14ac:dyDescent="0.3">
      <c r="A491" t="s">
        <v>717</v>
      </c>
      <c r="B491" s="3">
        <v>45911</v>
      </c>
      <c r="C491" t="s">
        <v>403</v>
      </c>
      <c r="D491" t="s">
        <v>120</v>
      </c>
      <c r="E491" t="s">
        <v>51</v>
      </c>
      <c r="F491" t="s">
        <v>21</v>
      </c>
      <c r="G491" t="s">
        <v>35</v>
      </c>
      <c r="H491">
        <v>1</v>
      </c>
      <c r="I491">
        <v>799</v>
      </c>
      <c r="J491">
        <v>0.05</v>
      </c>
      <c r="K491">
        <v>759.05</v>
      </c>
      <c r="L491">
        <v>100.1</v>
      </c>
    </row>
    <row r="492" spans="1:12" x14ac:dyDescent="0.3">
      <c r="A492" t="s">
        <v>718</v>
      </c>
      <c r="B492" s="3">
        <v>46006</v>
      </c>
      <c r="C492" t="s">
        <v>719</v>
      </c>
      <c r="D492" t="s">
        <v>43</v>
      </c>
      <c r="E492" t="s">
        <v>44</v>
      </c>
      <c r="F492" t="s">
        <v>21</v>
      </c>
      <c r="G492" t="s">
        <v>55</v>
      </c>
      <c r="H492">
        <v>2</v>
      </c>
      <c r="I492">
        <v>645</v>
      </c>
      <c r="J492">
        <v>0.05</v>
      </c>
      <c r="K492">
        <v>1225.5</v>
      </c>
      <c r="L492">
        <v>179.41</v>
      </c>
    </row>
    <row r="493" spans="1:12" x14ac:dyDescent="0.3">
      <c r="A493" t="s">
        <v>720</v>
      </c>
      <c r="B493" s="3">
        <v>45942</v>
      </c>
      <c r="C493" t="s">
        <v>178</v>
      </c>
      <c r="D493" t="s">
        <v>120</v>
      </c>
      <c r="E493" t="s">
        <v>51</v>
      </c>
      <c r="F493" t="s">
        <v>58</v>
      </c>
      <c r="G493" t="s">
        <v>126</v>
      </c>
      <c r="H493">
        <v>1</v>
      </c>
      <c r="I493">
        <v>1110</v>
      </c>
      <c r="J493">
        <v>0.1</v>
      </c>
      <c r="K493">
        <v>999</v>
      </c>
      <c r="L493">
        <v>112.16</v>
      </c>
    </row>
    <row r="494" spans="1:12" x14ac:dyDescent="0.3">
      <c r="A494" t="s">
        <v>721</v>
      </c>
      <c r="B494" s="3">
        <v>45942</v>
      </c>
      <c r="C494" t="s">
        <v>463</v>
      </c>
      <c r="D494" t="s">
        <v>103</v>
      </c>
      <c r="E494" t="s">
        <v>51</v>
      </c>
      <c r="F494" t="s">
        <v>16</v>
      </c>
      <c r="G494" t="s">
        <v>17</v>
      </c>
      <c r="H494">
        <v>1</v>
      </c>
      <c r="I494">
        <v>3292</v>
      </c>
      <c r="J494">
        <v>0.05</v>
      </c>
      <c r="K494">
        <v>3127.4</v>
      </c>
      <c r="L494">
        <v>505.67</v>
      </c>
    </row>
    <row r="495" spans="1:12" x14ac:dyDescent="0.3">
      <c r="A495" t="s">
        <v>722</v>
      </c>
      <c r="B495" s="3">
        <v>45932</v>
      </c>
      <c r="C495" t="s">
        <v>300</v>
      </c>
      <c r="D495" t="s">
        <v>120</v>
      </c>
      <c r="E495" t="s">
        <v>51</v>
      </c>
      <c r="F495" t="s">
        <v>27</v>
      </c>
      <c r="G495" t="s">
        <v>28</v>
      </c>
      <c r="H495">
        <v>2</v>
      </c>
      <c r="I495">
        <v>748</v>
      </c>
      <c r="J495">
        <v>0.1</v>
      </c>
      <c r="K495">
        <v>1346.4</v>
      </c>
      <c r="L495">
        <v>177.68</v>
      </c>
    </row>
    <row r="496" spans="1:12" x14ac:dyDescent="0.3">
      <c r="A496" t="s">
        <v>723</v>
      </c>
      <c r="B496" s="3">
        <v>45888</v>
      </c>
      <c r="C496" t="s">
        <v>319</v>
      </c>
      <c r="D496" t="s">
        <v>30</v>
      </c>
      <c r="E496" t="s">
        <v>15</v>
      </c>
      <c r="F496" t="s">
        <v>21</v>
      </c>
      <c r="G496" t="s">
        <v>35</v>
      </c>
      <c r="H496">
        <v>1</v>
      </c>
      <c r="I496">
        <v>10657</v>
      </c>
      <c r="J496">
        <v>0.15</v>
      </c>
      <c r="K496">
        <v>9058.4500000000007</v>
      </c>
      <c r="L496">
        <v>2156.85</v>
      </c>
    </row>
    <row r="497" spans="1:12" x14ac:dyDescent="0.3">
      <c r="A497" t="s">
        <v>724</v>
      </c>
      <c r="B497" s="3">
        <v>45662</v>
      </c>
      <c r="C497" t="s">
        <v>358</v>
      </c>
      <c r="D497" t="s">
        <v>72</v>
      </c>
      <c r="E497" t="s">
        <v>73</v>
      </c>
      <c r="F497" t="s">
        <v>27</v>
      </c>
      <c r="G497" t="s">
        <v>40</v>
      </c>
      <c r="H497">
        <v>1</v>
      </c>
      <c r="I497">
        <v>951</v>
      </c>
      <c r="J497">
        <v>0.05</v>
      </c>
      <c r="K497">
        <v>903.45</v>
      </c>
      <c r="L497">
        <v>193.57</v>
      </c>
    </row>
    <row r="498" spans="1:12" x14ac:dyDescent="0.3">
      <c r="A498" t="s">
        <v>725</v>
      </c>
      <c r="B498" s="3">
        <v>45752</v>
      </c>
      <c r="C498" t="s">
        <v>713</v>
      </c>
      <c r="D498" t="s">
        <v>92</v>
      </c>
      <c r="E498" t="s">
        <v>51</v>
      </c>
      <c r="F498" t="s">
        <v>58</v>
      </c>
      <c r="G498" t="s">
        <v>69</v>
      </c>
      <c r="H498">
        <v>5</v>
      </c>
      <c r="I498">
        <v>24636</v>
      </c>
      <c r="J498">
        <v>0.15</v>
      </c>
      <c r="K498">
        <v>104703</v>
      </c>
      <c r="L498">
        <v>22184.95</v>
      </c>
    </row>
    <row r="499" spans="1:12" x14ac:dyDescent="0.3">
      <c r="A499" t="s">
        <v>726</v>
      </c>
      <c r="B499" s="3">
        <v>45945</v>
      </c>
      <c r="C499" t="s">
        <v>234</v>
      </c>
      <c r="D499" t="s">
        <v>202</v>
      </c>
      <c r="E499" t="s">
        <v>44</v>
      </c>
      <c r="F499" t="s">
        <v>16</v>
      </c>
      <c r="G499" t="s">
        <v>52</v>
      </c>
      <c r="H499">
        <v>2</v>
      </c>
      <c r="I499">
        <v>1969</v>
      </c>
      <c r="J499">
        <v>0.05</v>
      </c>
      <c r="K499">
        <v>3741.1</v>
      </c>
      <c r="L499">
        <v>546.41</v>
      </c>
    </row>
    <row r="500" spans="1:12" x14ac:dyDescent="0.3">
      <c r="A500" t="s">
        <v>727</v>
      </c>
      <c r="B500" s="3">
        <v>45902</v>
      </c>
      <c r="C500" t="s">
        <v>719</v>
      </c>
      <c r="D500" t="s">
        <v>65</v>
      </c>
      <c r="E500" t="s">
        <v>26</v>
      </c>
      <c r="F500" t="s">
        <v>27</v>
      </c>
      <c r="G500" t="s">
        <v>31</v>
      </c>
      <c r="H500">
        <v>2</v>
      </c>
      <c r="I500">
        <v>2120</v>
      </c>
      <c r="J500">
        <v>0</v>
      </c>
      <c r="K500">
        <v>4240</v>
      </c>
      <c r="L500">
        <v>423.62</v>
      </c>
    </row>
    <row r="501" spans="1:12" x14ac:dyDescent="0.3">
      <c r="A501" t="s">
        <v>728</v>
      </c>
      <c r="B501" s="3">
        <v>45866</v>
      </c>
      <c r="C501" t="s">
        <v>178</v>
      </c>
      <c r="D501" t="s">
        <v>92</v>
      </c>
      <c r="E501" t="s">
        <v>51</v>
      </c>
      <c r="F501" t="s">
        <v>21</v>
      </c>
      <c r="G501" t="s">
        <v>22</v>
      </c>
      <c r="H501">
        <v>4</v>
      </c>
      <c r="I501">
        <v>24871</v>
      </c>
      <c r="J501">
        <v>0.05</v>
      </c>
      <c r="K501">
        <v>94509.8</v>
      </c>
      <c r="L501">
        <v>11536.22</v>
      </c>
    </row>
    <row r="502" spans="1:12" x14ac:dyDescent="0.3">
      <c r="A502" t="s">
        <v>729</v>
      </c>
      <c r="B502" s="3">
        <v>45953</v>
      </c>
      <c r="C502" t="s">
        <v>310</v>
      </c>
      <c r="D502" t="s">
        <v>307</v>
      </c>
      <c r="E502" t="s">
        <v>73</v>
      </c>
      <c r="F502" t="s">
        <v>21</v>
      </c>
      <c r="G502" t="s">
        <v>22</v>
      </c>
      <c r="H502">
        <v>1</v>
      </c>
      <c r="I502">
        <v>437</v>
      </c>
      <c r="J502">
        <v>0</v>
      </c>
      <c r="K502">
        <v>437</v>
      </c>
      <c r="L502">
        <v>48.23</v>
      </c>
    </row>
    <row r="503" spans="1:12" x14ac:dyDescent="0.3">
      <c r="A503" t="s">
        <v>730</v>
      </c>
      <c r="B503" s="3">
        <v>45973</v>
      </c>
      <c r="C503" t="s">
        <v>731</v>
      </c>
      <c r="D503" t="s">
        <v>25</v>
      </c>
      <c r="E503" t="s">
        <v>26</v>
      </c>
      <c r="F503" t="s">
        <v>58</v>
      </c>
      <c r="G503" t="s">
        <v>69</v>
      </c>
      <c r="H503">
        <v>1</v>
      </c>
      <c r="I503">
        <v>10537</v>
      </c>
      <c r="J503">
        <v>0</v>
      </c>
      <c r="K503">
        <v>10537</v>
      </c>
      <c r="L503">
        <v>881.71</v>
      </c>
    </row>
    <row r="504" spans="1:12" x14ac:dyDescent="0.3">
      <c r="A504" t="s">
        <v>732</v>
      </c>
      <c r="B504" s="3">
        <v>46018</v>
      </c>
      <c r="C504" t="s">
        <v>187</v>
      </c>
      <c r="D504" t="s">
        <v>72</v>
      </c>
      <c r="E504" t="s">
        <v>73</v>
      </c>
      <c r="F504" t="s">
        <v>58</v>
      </c>
      <c r="G504" t="s">
        <v>126</v>
      </c>
      <c r="H504">
        <v>2</v>
      </c>
      <c r="I504">
        <v>489</v>
      </c>
      <c r="J504">
        <v>0.1</v>
      </c>
      <c r="K504">
        <v>880.2</v>
      </c>
      <c r="L504">
        <v>107.8</v>
      </c>
    </row>
    <row r="505" spans="1:12" x14ac:dyDescent="0.3">
      <c r="A505" t="s">
        <v>733</v>
      </c>
      <c r="B505" s="3">
        <v>45746</v>
      </c>
      <c r="C505" t="s">
        <v>595</v>
      </c>
      <c r="D505" t="s">
        <v>92</v>
      </c>
      <c r="E505" t="s">
        <v>51</v>
      </c>
      <c r="F505" t="s">
        <v>21</v>
      </c>
      <c r="G505" t="s">
        <v>55</v>
      </c>
      <c r="H505">
        <v>4</v>
      </c>
      <c r="I505">
        <v>14312</v>
      </c>
      <c r="J505">
        <v>0.05</v>
      </c>
      <c r="K505">
        <v>54385.599999999999</v>
      </c>
      <c r="L505">
        <v>4499.67</v>
      </c>
    </row>
    <row r="506" spans="1:12" x14ac:dyDescent="0.3">
      <c r="A506" t="s">
        <v>734</v>
      </c>
      <c r="B506" s="3">
        <v>45717</v>
      </c>
      <c r="C506" t="s">
        <v>260</v>
      </c>
      <c r="D506" t="s">
        <v>72</v>
      </c>
      <c r="E506" t="s">
        <v>73</v>
      </c>
      <c r="F506" t="s">
        <v>21</v>
      </c>
      <c r="G506" t="s">
        <v>22</v>
      </c>
      <c r="H506">
        <v>3</v>
      </c>
      <c r="I506">
        <v>889</v>
      </c>
      <c r="J506">
        <v>0.15</v>
      </c>
      <c r="K506">
        <v>2266.9499999999998</v>
      </c>
      <c r="L506">
        <v>404.7</v>
      </c>
    </row>
    <row r="507" spans="1:12" x14ac:dyDescent="0.3">
      <c r="A507" t="s">
        <v>735</v>
      </c>
      <c r="B507" s="3">
        <v>45672</v>
      </c>
      <c r="C507" t="s">
        <v>295</v>
      </c>
      <c r="D507" t="s">
        <v>307</v>
      </c>
      <c r="E507" t="s">
        <v>73</v>
      </c>
      <c r="F507" t="s">
        <v>27</v>
      </c>
      <c r="G507" t="s">
        <v>28</v>
      </c>
      <c r="H507">
        <v>4</v>
      </c>
      <c r="I507">
        <v>293</v>
      </c>
      <c r="J507">
        <v>0.1</v>
      </c>
      <c r="K507">
        <v>1054.8</v>
      </c>
      <c r="L507">
        <v>189.92</v>
      </c>
    </row>
    <row r="508" spans="1:12" x14ac:dyDescent="0.3">
      <c r="A508" t="s">
        <v>736</v>
      </c>
      <c r="B508" s="3">
        <v>45819</v>
      </c>
      <c r="C508" t="s">
        <v>225</v>
      </c>
      <c r="D508" t="s">
        <v>47</v>
      </c>
      <c r="E508" t="s">
        <v>26</v>
      </c>
      <c r="F508" t="s">
        <v>27</v>
      </c>
      <c r="G508" t="s">
        <v>40</v>
      </c>
      <c r="H508">
        <v>4</v>
      </c>
      <c r="I508">
        <v>13099</v>
      </c>
      <c r="J508">
        <v>0</v>
      </c>
      <c r="K508">
        <v>52396</v>
      </c>
      <c r="L508">
        <v>11681.36</v>
      </c>
    </row>
    <row r="509" spans="1:12" x14ac:dyDescent="0.3">
      <c r="A509" t="s">
        <v>737</v>
      </c>
      <c r="B509" s="3">
        <v>46013</v>
      </c>
      <c r="C509" t="s">
        <v>346</v>
      </c>
      <c r="D509" t="s">
        <v>88</v>
      </c>
      <c r="E509" t="s">
        <v>73</v>
      </c>
      <c r="F509" t="s">
        <v>21</v>
      </c>
      <c r="G509" t="s">
        <v>35</v>
      </c>
      <c r="H509">
        <v>2</v>
      </c>
      <c r="I509">
        <v>254</v>
      </c>
      <c r="J509">
        <v>0.15</v>
      </c>
      <c r="K509">
        <v>431.8</v>
      </c>
      <c r="L509">
        <v>87.61</v>
      </c>
    </row>
    <row r="510" spans="1:12" x14ac:dyDescent="0.3">
      <c r="A510" t="s">
        <v>738</v>
      </c>
      <c r="B510" s="3">
        <v>45844</v>
      </c>
      <c r="C510" t="s">
        <v>206</v>
      </c>
      <c r="D510" t="s">
        <v>20</v>
      </c>
      <c r="E510" t="s">
        <v>15</v>
      </c>
      <c r="F510" t="s">
        <v>58</v>
      </c>
      <c r="G510" t="s">
        <v>59</v>
      </c>
      <c r="H510">
        <v>4</v>
      </c>
      <c r="I510">
        <v>8584</v>
      </c>
      <c r="J510">
        <v>0</v>
      </c>
      <c r="K510">
        <v>34336</v>
      </c>
      <c r="L510">
        <v>5784.7</v>
      </c>
    </row>
    <row r="511" spans="1:12" x14ac:dyDescent="0.3">
      <c r="A511" t="s">
        <v>739</v>
      </c>
      <c r="B511" s="3">
        <v>45974</v>
      </c>
      <c r="C511" t="s">
        <v>358</v>
      </c>
      <c r="D511" t="s">
        <v>14</v>
      </c>
      <c r="E511" t="s">
        <v>15</v>
      </c>
      <c r="F511" t="s">
        <v>16</v>
      </c>
      <c r="G511" t="s">
        <v>104</v>
      </c>
      <c r="H511">
        <v>1</v>
      </c>
      <c r="I511">
        <v>7615</v>
      </c>
      <c r="J511">
        <v>0</v>
      </c>
      <c r="K511">
        <v>7615</v>
      </c>
      <c r="L511">
        <v>1875.6</v>
      </c>
    </row>
    <row r="512" spans="1:12" x14ac:dyDescent="0.3">
      <c r="A512" t="s">
        <v>740</v>
      </c>
      <c r="B512" s="3">
        <v>45761</v>
      </c>
      <c r="C512" t="s">
        <v>90</v>
      </c>
      <c r="D512" t="s">
        <v>47</v>
      </c>
      <c r="E512" t="s">
        <v>26</v>
      </c>
      <c r="F512" t="s">
        <v>16</v>
      </c>
      <c r="G512" t="s">
        <v>17</v>
      </c>
      <c r="H512">
        <v>1</v>
      </c>
      <c r="I512">
        <v>11482</v>
      </c>
      <c r="J512">
        <v>0.2</v>
      </c>
      <c r="K512">
        <v>9185.6</v>
      </c>
      <c r="L512">
        <v>759.9</v>
      </c>
    </row>
    <row r="513" spans="1:12" x14ac:dyDescent="0.3">
      <c r="A513" t="s">
        <v>741</v>
      </c>
      <c r="B513" s="3">
        <v>45847</v>
      </c>
      <c r="C513" t="s">
        <v>248</v>
      </c>
      <c r="D513" t="s">
        <v>30</v>
      </c>
      <c r="E513" t="s">
        <v>15</v>
      </c>
      <c r="F513" t="s">
        <v>27</v>
      </c>
      <c r="G513" t="s">
        <v>40</v>
      </c>
      <c r="H513">
        <v>2</v>
      </c>
      <c r="I513">
        <v>12586</v>
      </c>
      <c r="J513">
        <v>0.2</v>
      </c>
      <c r="K513">
        <v>20137.599999999999</v>
      </c>
      <c r="L513">
        <v>3889.56</v>
      </c>
    </row>
    <row r="514" spans="1:12" x14ac:dyDescent="0.3">
      <c r="A514" t="s">
        <v>742</v>
      </c>
      <c r="B514" s="3">
        <v>45982</v>
      </c>
      <c r="C514" t="s">
        <v>535</v>
      </c>
      <c r="D514" t="s">
        <v>80</v>
      </c>
      <c r="E514" t="s">
        <v>51</v>
      </c>
      <c r="F514" t="s">
        <v>16</v>
      </c>
      <c r="G514" t="s">
        <v>104</v>
      </c>
      <c r="H514">
        <v>1</v>
      </c>
      <c r="I514">
        <v>54612</v>
      </c>
      <c r="J514">
        <v>0</v>
      </c>
      <c r="K514">
        <v>54612</v>
      </c>
      <c r="L514">
        <v>7808.63</v>
      </c>
    </row>
    <row r="515" spans="1:12" x14ac:dyDescent="0.3">
      <c r="A515" t="s">
        <v>743</v>
      </c>
      <c r="B515" s="3">
        <v>45875</v>
      </c>
      <c r="C515" t="s">
        <v>145</v>
      </c>
      <c r="D515" t="s">
        <v>50</v>
      </c>
      <c r="E515" t="s">
        <v>51</v>
      </c>
      <c r="F515" t="s">
        <v>58</v>
      </c>
      <c r="G515" t="s">
        <v>69</v>
      </c>
      <c r="H515">
        <v>1</v>
      </c>
      <c r="I515">
        <v>3207</v>
      </c>
      <c r="J515">
        <v>0.05</v>
      </c>
      <c r="K515">
        <v>3046.65</v>
      </c>
      <c r="L515">
        <v>438.73</v>
      </c>
    </row>
    <row r="516" spans="1:12" x14ac:dyDescent="0.3">
      <c r="A516" t="s">
        <v>744</v>
      </c>
      <c r="B516" s="3">
        <v>45665</v>
      </c>
      <c r="C516" t="s">
        <v>119</v>
      </c>
      <c r="D516" t="s">
        <v>34</v>
      </c>
      <c r="E516" t="s">
        <v>15</v>
      </c>
      <c r="F516" t="s">
        <v>58</v>
      </c>
      <c r="G516" t="s">
        <v>69</v>
      </c>
      <c r="H516">
        <v>1</v>
      </c>
      <c r="I516">
        <v>9398</v>
      </c>
      <c r="J516">
        <v>0.1</v>
      </c>
      <c r="K516">
        <v>8458.2000000000007</v>
      </c>
      <c r="L516">
        <v>893.74</v>
      </c>
    </row>
    <row r="517" spans="1:12" x14ac:dyDescent="0.3">
      <c r="A517" t="s">
        <v>745</v>
      </c>
      <c r="B517" s="3">
        <v>45824</v>
      </c>
      <c r="C517" t="s">
        <v>165</v>
      </c>
      <c r="D517" t="s">
        <v>83</v>
      </c>
      <c r="E517" t="s">
        <v>73</v>
      </c>
      <c r="F517" t="s">
        <v>21</v>
      </c>
      <c r="G517" t="s">
        <v>35</v>
      </c>
      <c r="H517">
        <v>4</v>
      </c>
      <c r="I517">
        <v>575</v>
      </c>
      <c r="J517">
        <v>0.15</v>
      </c>
      <c r="K517">
        <v>1955</v>
      </c>
      <c r="L517">
        <v>398.5</v>
      </c>
    </row>
    <row r="518" spans="1:12" x14ac:dyDescent="0.3">
      <c r="A518" t="s">
        <v>746</v>
      </c>
      <c r="B518" s="3">
        <v>46022</v>
      </c>
      <c r="C518" t="s">
        <v>617</v>
      </c>
      <c r="D518" t="s">
        <v>83</v>
      </c>
      <c r="E518" t="s">
        <v>73</v>
      </c>
      <c r="F518" t="s">
        <v>27</v>
      </c>
      <c r="G518" t="s">
        <v>31</v>
      </c>
      <c r="H518">
        <v>3</v>
      </c>
      <c r="I518">
        <v>378</v>
      </c>
      <c r="J518">
        <v>0</v>
      </c>
      <c r="K518">
        <v>1134</v>
      </c>
      <c r="L518">
        <v>309.24</v>
      </c>
    </row>
    <row r="519" spans="1:12" x14ac:dyDescent="0.3">
      <c r="A519" t="s">
        <v>747</v>
      </c>
      <c r="B519" s="3">
        <v>45677</v>
      </c>
      <c r="C519" t="s">
        <v>317</v>
      </c>
      <c r="D519" t="s">
        <v>153</v>
      </c>
      <c r="E519" t="s">
        <v>26</v>
      </c>
      <c r="F519" t="s">
        <v>58</v>
      </c>
      <c r="G519" t="s">
        <v>126</v>
      </c>
      <c r="H519">
        <v>2</v>
      </c>
      <c r="I519">
        <v>8743</v>
      </c>
      <c r="J519">
        <v>0.25</v>
      </c>
      <c r="K519">
        <v>13114.5</v>
      </c>
      <c r="L519">
        <v>2292.85</v>
      </c>
    </row>
    <row r="520" spans="1:12" x14ac:dyDescent="0.3">
      <c r="A520" t="s">
        <v>748</v>
      </c>
      <c r="B520" s="3">
        <v>45755</v>
      </c>
      <c r="C520" t="s">
        <v>278</v>
      </c>
      <c r="D520" t="s">
        <v>153</v>
      </c>
      <c r="E520" t="s">
        <v>26</v>
      </c>
      <c r="F520" t="s">
        <v>16</v>
      </c>
      <c r="G520" t="s">
        <v>104</v>
      </c>
      <c r="H520">
        <v>2</v>
      </c>
      <c r="I520">
        <v>7670</v>
      </c>
      <c r="J520">
        <v>0.05</v>
      </c>
      <c r="K520">
        <v>14573</v>
      </c>
      <c r="L520">
        <v>2062.87</v>
      </c>
    </row>
    <row r="521" spans="1:12" x14ac:dyDescent="0.3">
      <c r="A521" t="s">
        <v>749</v>
      </c>
      <c r="B521" s="3">
        <v>45709</v>
      </c>
      <c r="C521" t="s">
        <v>257</v>
      </c>
      <c r="D521" t="s">
        <v>50</v>
      </c>
      <c r="E521" t="s">
        <v>51</v>
      </c>
      <c r="F521" t="s">
        <v>21</v>
      </c>
      <c r="G521" t="s">
        <v>22</v>
      </c>
      <c r="H521">
        <v>3</v>
      </c>
      <c r="I521">
        <v>1785</v>
      </c>
      <c r="J521">
        <v>0.1</v>
      </c>
      <c r="K521">
        <v>4819.5</v>
      </c>
      <c r="L521">
        <v>834.91</v>
      </c>
    </row>
    <row r="522" spans="1:12" x14ac:dyDescent="0.3">
      <c r="A522" t="s">
        <v>750</v>
      </c>
      <c r="B522" s="3">
        <v>45708</v>
      </c>
      <c r="C522" t="s">
        <v>125</v>
      </c>
      <c r="D522" t="s">
        <v>307</v>
      </c>
      <c r="E522" t="s">
        <v>73</v>
      </c>
      <c r="F522" t="s">
        <v>27</v>
      </c>
      <c r="G522" t="s">
        <v>31</v>
      </c>
      <c r="H522">
        <v>4</v>
      </c>
      <c r="I522">
        <v>88</v>
      </c>
      <c r="J522">
        <v>0.05</v>
      </c>
      <c r="K522">
        <v>334.4</v>
      </c>
      <c r="L522">
        <v>30.56</v>
      </c>
    </row>
    <row r="523" spans="1:12" x14ac:dyDescent="0.3">
      <c r="A523" t="s">
        <v>751</v>
      </c>
      <c r="B523" s="3">
        <v>45917</v>
      </c>
      <c r="C523" t="s">
        <v>636</v>
      </c>
      <c r="D523" t="s">
        <v>68</v>
      </c>
      <c r="E523" t="s">
        <v>44</v>
      </c>
      <c r="F523" t="s">
        <v>58</v>
      </c>
      <c r="G523" t="s">
        <v>69</v>
      </c>
      <c r="H523">
        <v>1</v>
      </c>
      <c r="I523">
        <v>6489</v>
      </c>
      <c r="J523">
        <v>0.05</v>
      </c>
      <c r="K523">
        <v>6164.55</v>
      </c>
      <c r="L523">
        <v>1001.47</v>
      </c>
    </row>
    <row r="524" spans="1:12" x14ac:dyDescent="0.3">
      <c r="A524" t="s">
        <v>752</v>
      </c>
      <c r="B524" s="3">
        <v>45970</v>
      </c>
      <c r="C524" t="s">
        <v>468</v>
      </c>
      <c r="D524" t="s">
        <v>120</v>
      </c>
      <c r="E524" t="s">
        <v>51</v>
      </c>
      <c r="F524" t="s">
        <v>16</v>
      </c>
      <c r="G524" t="s">
        <v>17</v>
      </c>
      <c r="H524">
        <v>1</v>
      </c>
      <c r="I524">
        <v>512</v>
      </c>
      <c r="J524">
        <v>0.05</v>
      </c>
      <c r="K524">
        <v>486.4</v>
      </c>
      <c r="L524">
        <v>88.13</v>
      </c>
    </row>
    <row r="525" spans="1:12" x14ac:dyDescent="0.3">
      <c r="A525" t="s">
        <v>753</v>
      </c>
      <c r="B525" s="3">
        <v>45865</v>
      </c>
      <c r="C525" t="s">
        <v>238</v>
      </c>
      <c r="D525" t="s">
        <v>120</v>
      </c>
      <c r="E525" t="s">
        <v>51</v>
      </c>
      <c r="F525" t="s">
        <v>58</v>
      </c>
      <c r="G525" t="s">
        <v>59</v>
      </c>
      <c r="H525">
        <v>1</v>
      </c>
      <c r="I525">
        <v>2094</v>
      </c>
      <c r="J525">
        <v>0.15</v>
      </c>
      <c r="K525">
        <v>1779.9</v>
      </c>
      <c r="L525">
        <v>303.33</v>
      </c>
    </row>
    <row r="526" spans="1:12" x14ac:dyDescent="0.3">
      <c r="A526" t="s">
        <v>754</v>
      </c>
      <c r="B526" s="3">
        <v>45721</v>
      </c>
      <c r="C526" t="s">
        <v>191</v>
      </c>
      <c r="D526" t="s">
        <v>50</v>
      </c>
      <c r="E526" t="s">
        <v>51</v>
      </c>
      <c r="F526" t="s">
        <v>16</v>
      </c>
      <c r="G526" t="s">
        <v>52</v>
      </c>
      <c r="H526">
        <v>2</v>
      </c>
      <c r="I526">
        <v>1872</v>
      </c>
      <c r="J526">
        <v>0.05</v>
      </c>
      <c r="K526">
        <v>3556.8</v>
      </c>
      <c r="L526">
        <v>579.73</v>
      </c>
    </row>
    <row r="527" spans="1:12" x14ac:dyDescent="0.3">
      <c r="A527" t="s">
        <v>755</v>
      </c>
      <c r="B527" s="3">
        <v>45987</v>
      </c>
      <c r="C527" t="s">
        <v>61</v>
      </c>
      <c r="D527" t="s">
        <v>25</v>
      </c>
      <c r="E527" t="s">
        <v>26</v>
      </c>
      <c r="F527" t="s">
        <v>58</v>
      </c>
      <c r="G527" t="s">
        <v>126</v>
      </c>
      <c r="H527">
        <v>2</v>
      </c>
      <c r="I527">
        <v>13222</v>
      </c>
      <c r="J527">
        <v>0.3</v>
      </c>
      <c r="K527">
        <v>23799.599999999999</v>
      </c>
      <c r="L527">
        <v>3814.89</v>
      </c>
    </row>
    <row r="528" spans="1:12" x14ac:dyDescent="0.3">
      <c r="A528" t="s">
        <v>756</v>
      </c>
      <c r="B528" s="3">
        <v>45661</v>
      </c>
      <c r="C528" t="s">
        <v>211</v>
      </c>
      <c r="D528" t="s">
        <v>20</v>
      </c>
      <c r="E528" t="s">
        <v>15</v>
      </c>
      <c r="F528" t="s">
        <v>58</v>
      </c>
      <c r="G528" t="s">
        <v>69</v>
      </c>
      <c r="H528">
        <v>3</v>
      </c>
      <c r="I528">
        <v>7297</v>
      </c>
      <c r="J528">
        <v>0</v>
      </c>
      <c r="K528">
        <v>21891</v>
      </c>
      <c r="L528">
        <v>4169.6499999999996</v>
      </c>
    </row>
    <row r="529" spans="1:12" x14ac:dyDescent="0.3">
      <c r="A529" t="s">
        <v>757</v>
      </c>
      <c r="B529" s="3">
        <v>45949</v>
      </c>
      <c r="C529" t="s">
        <v>705</v>
      </c>
      <c r="D529" t="s">
        <v>202</v>
      </c>
      <c r="E529" t="s">
        <v>44</v>
      </c>
      <c r="F529" t="s">
        <v>21</v>
      </c>
      <c r="G529" t="s">
        <v>35</v>
      </c>
      <c r="H529">
        <v>2</v>
      </c>
      <c r="I529">
        <v>1106</v>
      </c>
      <c r="J529">
        <v>0.1</v>
      </c>
      <c r="K529">
        <v>1990.8</v>
      </c>
      <c r="L529">
        <v>520.79999999999995</v>
      </c>
    </row>
    <row r="530" spans="1:12" x14ac:dyDescent="0.3">
      <c r="A530" t="s">
        <v>758</v>
      </c>
      <c r="B530" s="3">
        <v>45704</v>
      </c>
      <c r="C530" t="s">
        <v>303</v>
      </c>
      <c r="D530" t="s">
        <v>103</v>
      </c>
      <c r="E530" t="s">
        <v>51</v>
      </c>
      <c r="F530" t="s">
        <v>21</v>
      </c>
      <c r="G530" t="s">
        <v>22</v>
      </c>
      <c r="H530">
        <v>4</v>
      </c>
      <c r="I530">
        <v>4098</v>
      </c>
      <c r="J530">
        <v>0.1</v>
      </c>
      <c r="K530">
        <v>14752.8</v>
      </c>
      <c r="L530">
        <v>2725.32</v>
      </c>
    </row>
    <row r="531" spans="1:12" x14ac:dyDescent="0.3">
      <c r="A531" t="s">
        <v>759</v>
      </c>
      <c r="B531" s="3">
        <v>45815</v>
      </c>
      <c r="C531" t="s">
        <v>482</v>
      </c>
      <c r="D531" t="s">
        <v>88</v>
      </c>
      <c r="E531" t="s">
        <v>73</v>
      </c>
      <c r="F531" t="s">
        <v>58</v>
      </c>
      <c r="G531" t="s">
        <v>69</v>
      </c>
      <c r="H531">
        <v>1</v>
      </c>
      <c r="I531">
        <v>496</v>
      </c>
      <c r="J531">
        <v>0.2</v>
      </c>
      <c r="K531">
        <v>396.8</v>
      </c>
      <c r="L531">
        <v>60.3</v>
      </c>
    </row>
    <row r="532" spans="1:12" x14ac:dyDescent="0.3">
      <c r="A532" t="s">
        <v>760</v>
      </c>
      <c r="B532" s="3">
        <v>46003</v>
      </c>
      <c r="C532" t="s">
        <v>64</v>
      </c>
      <c r="D532" t="s">
        <v>103</v>
      </c>
      <c r="E532" t="s">
        <v>51</v>
      </c>
      <c r="F532" t="s">
        <v>58</v>
      </c>
      <c r="G532" t="s">
        <v>59</v>
      </c>
      <c r="H532">
        <v>5</v>
      </c>
      <c r="I532">
        <v>2582</v>
      </c>
      <c r="J532">
        <v>0.15</v>
      </c>
      <c r="K532">
        <v>10973.5</v>
      </c>
      <c r="L532">
        <v>966.29</v>
      </c>
    </row>
    <row r="533" spans="1:12" x14ac:dyDescent="0.3">
      <c r="A533" t="s">
        <v>761</v>
      </c>
      <c r="B533" s="3">
        <v>46014</v>
      </c>
      <c r="C533" t="s">
        <v>407</v>
      </c>
      <c r="D533" t="s">
        <v>25</v>
      </c>
      <c r="E533" t="s">
        <v>26</v>
      </c>
      <c r="F533" t="s">
        <v>16</v>
      </c>
      <c r="G533" t="s">
        <v>104</v>
      </c>
      <c r="H533">
        <v>1</v>
      </c>
      <c r="I533">
        <v>16741</v>
      </c>
      <c r="J533">
        <v>0</v>
      </c>
      <c r="K533">
        <v>16741</v>
      </c>
      <c r="L533">
        <v>3970.72</v>
      </c>
    </row>
    <row r="534" spans="1:12" x14ac:dyDescent="0.3">
      <c r="A534" t="s">
        <v>762</v>
      </c>
      <c r="B534" s="3">
        <v>45989</v>
      </c>
      <c r="C534" t="s">
        <v>223</v>
      </c>
      <c r="D534" t="s">
        <v>80</v>
      </c>
      <c r="E534" t="s">
        <v>51</v>
      </c>
      <c r="F534" t="s">
        <v>27</v>
      </c>
      <c r="G534" t="s">
        <v>28</v>
      </c>
      <c r="H534">
        <v>3</v>
      </c>
      <c r="I534">
        <v>56213</v>
      </c>
      <c r="J534">
        <v>0</v>
      </c>
      <c r="K534">
        <v>168639</v>
      </c>
      <c r="L534">
        <v>28326.48</v>
      </c>
    </row>
    <row r="535" spans="1:12" x14ac:dyDescent="0.3">
      <c r="A535" t="s">
        <v>763</v>
      </c>
      <c r="B535" s="3">
        <v>45916</v>
      </c>
      <c r="C535" t="s">
        <v>119</v>
      </c>
      <c r="D535" t="s">
        <v>120</v>
      </c>
      <c r="E535" t="s">
        <v>51</v>
      </c>
      <c r="F535" t="s">
        <v>27</v>
      </c>
      <c r="G535" t="s">
        <v>40</v>
      </c>
      <c r="H535">
        <v>1</v>
      </c>
      <c r="I535">
        <v>1227</v>
      </c>
      <c r="J535">
        <v>0.15</v>
      </c>
      <c r="K535">
        <v>1042.95</v>
      </c>
      <c r="L535">
        <v>272.32</v>
      </c>
    </row>
    <row r="536" spans="1:12" x14ac:dyDescent="0.3">
      <c r="A536" t="s">
        <v>764</v>
      </c>
      <c r="B536" s="3">
        <v>45867</v>
      </c>
      <c r="C536" t="s">
        <v>189</v>
      </c>
      <c r="D536" t="s">
        <v>92</v>
      </c>
      <c r="E536" t="s">
        <v>51</v>
      </c>
      <c r="F536" t="s">
        <v>16</v>
      </c>
      <c r="G536" t="s">
        <v>17</v>
      </c>
      <c r="H536">
        <v>1</v>
      </c>
      <c r="I536">
        <v>17057</v>
      </c>
      <c r="J536">
        <v>0</v>
      </c>
      <c r="K536">
        <v>17057</v>
      </c>
      <c r="L536">
        <v>2108.84</v>
      </c>
    </row>
    <row r="537" spans="1:12" x14ac:dyDescent="0.3">
      <c r="A537" t="s">
        <v>765</v>
      </c>
      <c r="B537" s="3">
        <v>45742</v>
      </c>
      <c r="C537" t="s">
        <v>238</v>
      </c>
      <c r="D537" t="s">
        <v>47</v>
      </c>
      <c r="E537" t="s">
        <v>26</v>
      </c>
      <c r="F537" t="s">
        <v>16</v>
      </c>
      <c r="G537" t="s">
        <v>52</v>
      </c>
      <c r="H537">
        <v>1</v>
      </c>
      <c r="I537">
        <v>21369</v>
      </c>
      <c r="J537">
        <v>0.1</v>
      </c>
      <c r="K537">
        <v>19232.099999999999</v>
      </c>
      <c r="L537">
        <v>3866</v>
      </c>
    </row>
    <row r="538" spans="1:12" x14ac:dyDescent="0.3">
      <c r="A538" t="s">
        <v>766</v>
      </c>
      <c r="B538" s="3">
        <v>45807</v>
      </c>
      <c r="C538" t="s">
        <v>363</v>
      </c>
      <c r="D538" t="s">
        <v>47</v>
      </c>
      <c r="E538" t="s">
        <v>26</v>
      </c>
      <c r="F538" t="s">
        <v>27</v>
      </c>
      <c r="G538" t="s">
        <v>28</v>
      </c>
      <c r="H538">
        <v>1</v>
      </c>
      <c r="I538">
        <v>16065</v>
      </c>
      <c r="J538">
        <v>0.15</v>
      </c>
      <c r="K538">
        <v>13655.25</v>
      </c>
      <c r="L538">
        <v>2521.86</v>
      </c>
    </row>
    <row r="539" spans="1:12" x14ac:dyDescent="0.3">
      <c r="A539" t="s">
        <v>767</v>
      </c>
      <c r="B539" s="3">
        <v>45780</v>
      </c>
      <c r="C539" t="s">
        <v>180</v>
      </c>
      <c r="D539" t="s">
        <v>25</v>
      </c>
      <c r="E539" t="s">
        <v>26</v>
      </c>
      <c r="F539" t="s">
        <v>16</v>
      </c>
      <c r="G539" t="s">
        <v>17</v>
      </c>
      <c r="H539">
        <v>1</v>
      </c>
      <c r="I539">
        <v>8214</v>
      </c>
      <c r="J539">
        <v>0</v>
      </c>
      <c r="K539">
        <v>8214</v>
      </c>
      <c r="L539">
        <v>1292.4000000000001</v>
      </c>
    </row>
    <row r="540" spans="1:12" x14ac:dyDescent="0.3">
      <c r="A540" t="s">
        <v>768</v>
      </c>
      <c r="B540" s="3">
        <v>45804</v>
      </c>
      <c r="C540" t="s">
        <v>238</v>
      </c>
      <c r="D540" t="s">
        <v>34</v>
      </c>
      <c r="E540" t="s">
        <v>15</v>
      </c>
      <c r="F540" t="s">
        <v>58</v>
      </c>
      <c r="G540" t="s">
        <v>126</v>
      </c>
      <c r="H540">
        <v>4</v>
      </c>
      <c r="I540">
        <v>11871</v>
      </c>
      <c r="J540">
        <v>0</v>
      </c>
      <c r="K540">
        <v>47484</v>
      </c>
      <c r="L540">
        <v>8304.33</v>
      </c>
    </row>
    <row r="541" spans="1:12" x14ac:dyDescent="0.3">
      <c r="A541" t="s">
        <v>769</v>
      </c>
      <c r="B541" s="3">
        <v>45673</v>
      </c>
      <c r="C541" t="s">
        <v>719</v>
      </c>
      <c r="D541" t="s">
        <v>103</v>
      </c>
      <c r="E541" t="s">
        <v>51</v>
      </c>
      <c r="F541" t="s">
        <v>21</v>
      </c>
      <c r="G541" t="s">
        <v>22</v>
      </c>
      <c r="H541">
        <v>2</v>
      </c>
      <c r="I541">
        <v>8049</v>
      </c>
      <c r="J541">
        <v>0.1</v>
      </c>
      <c r="K541">
        <v>14488.2</v>
      </c>
      <c r="L541">
        <v>3940.18</v>
      </c>
    </row>
    <row r="542" spans="1:12" x14ac:dyDescent="0.3">
      <c r="A542" t="s">
        <v>770</v>
      </c>
      <c r="B542" s="3">
        <v>45770</v>
      </c>
      <c r="C542" t="s">
        <v>77</v>
      </c>
      <c r="D542" t="s">
        <v>92</v>
      </c>
      <c r="E542" t="s">
        <v>51</v>
      </c>
      <c r="F542" t="s">
        <v>58</v>
      </c>
      <c r="G542" t="s">
        <v>69</v>
      </c>
      <c r="H542">
        <v>2</v>
      </c>
      <c r="I542">
        <v>9729</v>
      </c>
      <c r="J542">
        <v>0.2</v>
      </c>
      <c r="K542">
        <v>15566.4</v>
      </c>
      <c r="L542">
        <v>3867.21</v>
      </c>
    </row>
    <row r="543" spans="1:12" x14ac:dyDescent="0.3">
      <c r="A543" t="s">
        <v>771</v>
      </c>
      <c r="B543" s="3">
        <v>45845</v>
      </c>
      <c r="C543" t="s">
        <v>228</v>
      </c>
      <c r="D543" t="s">
        <v>120</v>
      </c>
      <c r="E543" t="s">
        <v>51</v>
      </c>
      <c r="F543" t="s">
        <v>58</v>
      </c>
      <c r="G543" t="s">
        <v>126</v>
      </c>
      <c r="H543">
        <v>1</v>
      </c>
      <c r="I543">
        <v>1333</v>
      </c>
      <c r="J543">
        <v>0.05</v>
      </c>
      <c r="K543">
        <v>1266.3499999999999</v>
      </c>
      <c r="L543">
        <v>192.01</v>
      </c>
    </row>
    <row r="544" spans="1:12" x14ac:dyDescent="0.3">
      <c r="A544" t="s">
        <v>772</v>
      </c>
      <c r="B544" s="3">
        <v>45675</v>
      </c>
      <c r="C544" t="s">
        <v>313</v>
      </c>
      <c r="D544" t="s">
        <v>83</v>
      </c>
      <c r="E544" t="s">
        <v>73</v>
      </c>
      <c r="F544" t="s">
        <v>16</v>
      </c>
      <c r="G544" t="s">
        <v>52</v>
      </c>
      <c r="H544">
        <v>4</v>
      </c>
      <c r="I544">
        <v>309</v>
      </c>
      <c r="J544">
        <v>0.05</v>
      </c>
      <c r="K544">
        <v>1174.2</v>
      </c>
      <c r="L544">
        <v>251.84</v>
      </c>
    </row>
    <row r="545" spans="1:12" x14ac:dyDescent="0.3">
      <c r="A545" t="s">
        <v>773</v>
      </c>
      <c r="B545" s="3">
        <v>45817</v>
      </c>
      <c r="C545" t="s">
        <v>185</v>
      </c>
      <c r="D545" t="s">
        <v>88</v>
      </c>
      <c r="E545" t="s">
        <v>73</v>
      </c>
      <c r="F545" t="s">
        <v>21</v>
      </c>
      <c r="G545" t="s">
        <v>22</v>
      </c>
      <c r="H545">
        <v>2</v>
      </c>
      <c r="I545">
        <v>308</v>
      </c>
      <c r="J545">
        <v>0</v>
      </c>
      <c r="K545">
        <v>616</v>
      </c>
      <c r="L545">
        <v>90.6</v>
      </c>
    </row>
    <row r="546" spans="1:12" x14ac:dyDescent="0.3">
      <c r="A546" t="s">
        <v>774</v>
      </c>
      <c r="B546" s="3">
        <v>45663</v>
      </c>
      <c r="C546" t="s">
        <v>194</v>
      </c>
      <c r="D546" t="s">
        <v>43</v>
      </c>
      <c r="E546" t="s">
        <v>44</v>
      </c>
      <c r="F546" t="s">
        <v>16</v>
      </c>
      <c r="G546" t="s">
        <v>104</v>
      </c>
      <c r="H546">
        <v>3</v>
      </c>
      <c r="I546">
        <v>678</v>
      </c>
      <c r="J546">
        <v>0.05</v>
      </c>
      <c r="K546">
        <v>1932.3</v>
      </c>
      <c r="L546">
        <v>246.15</v>
      </c>
    </row>
    <row r="547" spans="1:12" x14ac:dyDescent="0.3">
      <c r="A547" t="s">
        <v>775</v>
      </c>
      <c r="B547" s="3">
        <v>45723</v>
      </c>
      <c r="C547" t="s">
        <v>109</v>
      </c>
      <c r="D547" t="s">
        <v>92</v>
      </c>
      <c r="E547" t="s">
        <v>51</v>
      </c>
      <c r="F547" t="s">
        <v>16</v>
      </c>
      <c r="G547" t="s">
        <v>104</v>
      </c>
      <c r="H547">
        <v>2</v>
      </c>
      <c r="I547">
        <v>10798</v>
      </c>
      <c r="J547">
        <v>0.05</v>
      </c>
      <c r="K547">
        <v>20516.2</v>
      </c>
      <c r="L547">
        <v>4848.5200000000004</v>
      </c>
    </row>
    <row r="548" spans="1:12" x14ac:dyDescent="0.3">
      <c r="A548" t="s">
        <v>776</v>
      </c>
      <c r="B548" s="3">
        <v>45692</v>
      </c>
      <c r="C548" t="s">
        <v>183</v>
      </c>
      <c r="D548" t="s">
        <v>153</v>
      </c>
      <c r="E548" t="s">
        <v>26</v>
      </c>
      <c r="F548" t="s">
        <v>16</v>
      </c>
      <c r="G548" t="s">
        <v>17</v>
      </c>
      <c r="H548">
        <v>1</v>
      </c>
      <c r="I548">
        <v>7655</v>
      </c>
      <c r="J548">
        <v>0.2</v>
      </c>
      <c r="K548">
        <v>6124</v>
      </c>
      <c r="L548">
        <v>1384.32</v>
      </c>
    </row>
    <row r="549" spans="1:12" x14ac:dyDescent="0.3">
      <c r="A549" t="s">
        <v>777</v>
      </c>
      <c r="B549" s="3">
        <v>45932</v>
      </c>
      <c r="C549" t="s">
        <v>79</v>
      </c>
      <c r="D549" t="s">
        <v>307</v>
      </c>
      <c r="E549" t="s">
        <v>73</v>
      </c>
      <c r="F549" t="s">
        <v>16</v>
      </c>
      <c r="G549" t="s">
        <v>104</v>
      </c>
      <c r="H549">
        <v>1</v>
      </c>
      <c r="I549">
        <v>350</v>
      </c>
      <c r="J549">
        <v>0.05</v>
      </c>
      <c r="K549">
        <v>332.5</v>
      </c>
      <c r="L549">
        <v>65.06</v>
      </c>
    </row>
    <row r="550" spans="1:12" x14ac:dyDescent="0.3">
      <c r="A550" t="s">
        <v>778</v>
      </c>
      <c r="B550" s="3">
        <v>45834</v>
      </c>
      <c r="C550" t="s">
        <v>346</v>
      </c>
      <c r="D550" t="s">
        <v>65</v>
      </c>
      <c r="E550" t="s">
        <v>26</v>
      </c>
      <c r="F550" t="s">
        <v>58</v>
      </c>
      <c r="G550" t="s">
        <v>69</v>
      </c>
      <c r="H550">
        <v>5</v>
      </c>
      <c r="I550">
        <v>4137</v>
      </c>
      <c r="J550">
        <v>0.1</v>
      </c>
      <c r="K550">
        <v>18616.5</v>
      </c>
      <c r="L550">
        <v>3200.71</v>
      </c>
    </row>
    <row r="551" spans="1:12" x14ac:dyDescent="0.3">
      <c r="A551" t="s">
        <v>779</v>
      </c>
      <c r="B551" s="3">
        <v>45807</v>
      </c>
      <c r="C551" t="s">
        <v>713</v>
      </c>
      <c r="D551" t="s">
        <v>30</v>
      </c>
      <c r="E551" t="s">
        <v>15</v>
      </c>
      <c r="F551" t="s">
        <v>21</v>
      </c>
      <c r="G551" t="s">
        <v>55</v>
      </c>
      <c r="H551">
        <v>1</v>
      </c>
      <c r="I551">
        <v>10917</v>
      </c>
      <c r="J551">
        <v>0.05</v>
      </c>
      <c r="K551">
        <v>10371.15</v>
      </c>
      <c r="L551">
        <v>1105.58</v>
      </c>
    </row>
    <row r="552" spans="1:12" x14ac:dyDescent="0.3">
      <c r="A552" t="s">
        <v>780</v>
      </c>
      <c r="B552" s="3">
        <v>45722</v>
      </c>
      <c r="C552" t="s">
        <v>595</v>
      </c>
      <c r="D552" t="s">
        <v>14</v>
      </c>
      <c r="E552" t="s">
        <v>15</v>
      </c>
      <c r="F552" t="s">
        <v>58</v>
      </c>
      <c r="G552" t="s">
        <v>126</v>
      </c>
      <c r="H552">
        <v>1</v>
      </c>
      <c r="I552">
        <v>9634</v>
      </c>
      <c r="J552">
        <v>0.15</v>
      </c>
      <c r="K552">
        <v>8188.9</v>
      </c>
      <c r="L552">
        <v>1802.75</v>
      </c>
    </row>
    <row r="553" spans="1:12" x14ac:dyDescent="0.3">
      <c r="A553" t="s">
        <v>781</v>
      </c>
      <c r="B553" s="3">
        <v>45882</v>
      </c>
      <c r="C553" t="s">
        <v>13</v>
      </c>
      <c r="D553" t="s">
        <v>30</v>
      </c>
      <c r="E553" t="s">
        <v>15</v>
      </c>
      <c r="F553" t="s">
        <v>27</v>
      </c>
      <c r="G553" t="s">
        <v>31</v>
      </c>
      <c r="H553">
        <v>2</v>
      </c>
      <c r="I553">
        <v>6389</v>
      </c>
      <c r="J553">
        <v>0.05</v>
      </c>
      <c r="K553">
        <v>12139.1</v>
      </c>
      <c r="L553">
        <v>1516.42</v>
      </c>
    </row>
    <row r="554" spans="1:12" x14ac:dyDescent="0.3">
      <c r="A554" t="s">
        <v>782</v>
      </c>
      <c r="B554" s="3">
        <v>45792</v>
      </c>
      <c r="C554" t="s">
        <v>150</v>
      </c>
      <c r="D554" t="s">
        <v>72</v>
      </c>
      <c r="E554" t="s">
        <v>73</v>
      </c>
      <c r="F554" t="s">
        <v>16</v>
      </c>
      <c r="G554" t="s">
        <v>104</v>
      </c>
      <c r="H554">
        <v>3</v>
      </c>
      <c r="I554">
        <v>786</v>
      </c>
      <c r="J554">
        <v>0.05</v>
      </c>
      <c r="K554">
        <v>2240.1</v>
      </c>
      <c r="L554">
        <v>490.56</v>
      </c>
    </row>
    <row r="555" spans="1:12" x14ac:dyDescent="0.3">
      <c r="A555" t="s">
        <v>783</v>
      </c>
      <c r="B555" s="3">
        <v>45734</v>
      </c>
      <c r="C555" t="s">
        <v>49</v>
      </c>
      <c r="D555" t="s">
        <v>14</v>
      </c>
      <c r="E555" t="s">
        <v>15</v>
      </c>
      <c r="F555" t="s">
        <v>27</v>
      </c>
      <c r="G555" t="s">
        <v>28</v>
      </c>
      <c r="H555">
        <v>2</v>
      </c>
      <c r="I555">
        <v>9808</v>
      </c>
      <c r="J555">
        <v>0.2</v>
      </c>
      <c r="K555">
        <v>15692.8</v>
      </c>
      <c r="L555">
        <v>1446.65</v>
      </c>
    </row>
    <row r="556" spans="1:12" x14ac:dyDescent="0.3">
      <c r="A556" t="s">
        <v>784</v>
      </c>
      <c r="B556" s="3">
        <v>45954</v>
      </c>
      <c r="C556" t="s">
        <v>57</v>
      </c>
      <c r="D556" t="s">
        <v>47</v>
      </c>
      <c r="E556" t="s">
        <v>26</v>
      </c>
      <c r="F556" t="s">
        <v>27</v>
      </c>
      <c r="G556" t="s">
        <v>40</v>
      </c>
      <c r="H556">
        <v>2</v>
      </c>
      <c r="I556">
        <v>11284</v>
      </c>
      <c r="J556">
        <v>0.15</v>
      </c>
      <c r="K556">
        <v>19182.8</v>
      </c>
      <c r="L556">
        <v>1626.5</v>
      </c>
    </row>
    <row r="557" spans="1:12" x14ac:dyDescent="0.3">
      <c r="A557" t="s">
        <v>785</v>
      </c>
      <c r="B557" s="3">
        <v>46012</v>
      </c>
      <c r="C557" t="s">
        <v>13</v>
      </c>
      <c r="D557" t="s">
        <v>50</v>
      </c>
      <c r="E557" t="s">
        <v>51</v>
      </c>
      <c r="F557" t="s">
        <v>16</v>
      </c>
      <c r="G557" t="s">
        <v>52</v>
      </c>
      <c r="H557">
        <v>1</v>
      </c>
      <c r="I557">
        <v>884</v>
      </c>
      <c r="J557">
        <v>0.1</v>
      </c>
      <c r="K557">
        <v>795.6</v>
      </c>
      <c r="L557">
        <v>121.19</v>
      </c>
    </row>
    <row r="558" spans="1:12" x14ac:dyDescent="0.3">
      <c r="A558" t="s">
        <v>786</v>
      </c>
      <c r="B558" s="3">
        <v>45783</v>
      </c>
      <c r="C558" t="s">
        <v>194</v>
      </c>
      <c r="D558" t="s">
        <v>25</v>
      </c>
      <c r="E558" t="s">
        <v>26</v>
      </c>
      <c r="F558" t="s">
        <v>58</v>
      </c>
      <c r="G558" t="s">
        <v>126</v>
      </c>
      <c r="H558">
        <v>2</v>
      </c>
      <c r="I558">
        <v>16688</v>
      </c>
      <c r="J558">
        <v>0.1</v>
      </c>
      <c r="K558">
        <v>30038.400000000001</v>
      </c>
      <c r="L558">
        <v>7270.26</v>
      </c>
    </row>
    <row r="559" spans="1:12" x14ac:dyDescent="0.3">
      <c r="A559" t="s">
        <v>787</v>
      </c>
      <c r="B559" s="3">
        <v>45699</v>
      </c>
      <c r="C559" t="s">
        <v>131</v>
      </c>
      <c r="D559" t="s">
        <v>88</v>
      </c>
      <c r="E559" t="s">
        <v>73</v>
      </c>
      <c r="F559" t="s">
        <v>58</v>
      </c>
      <c r="G559" t="s">
        <v>126</v>
      </c>
      <c r="H559">
        <v>1</v>
      </c>
      <c r="I559">
        <v>234</v>
      </c>
      <c r="J559">
        <v>0</v>
      </c>
      <c r="K559">
        <v>234</v>
      </c>
      <c r="L559">
        <v>30.27</v>
      </c>
    </row>
    <row r="560" spans="1:12" x14ac:dyDescent="0.3">
      <c r="A560" t="s">
        <v>788</v>
      </c>
      <c r="B560" s="3">
        <v>45779</v>
      </c>
      <c r="C560" t="s">
        <v>731</v>
      </c>
      <c r="D560" t="s">
        <v>14</v>
      </c>
      <c r="E560" t="s">
        <v>15</v>
      </c>
      <c r="F560" t="s">
        <v>27</v>
      </c>
      <c r="G560" t="s">
        <v>28</v>
      </c>
      <c r="H560">
        <v>1</v>
      </c>
      <c r="I560">
        <v>15978</v>
      </c>
      <c r="J560">
        <v>0</v>
      </c>
      <c r="K560">
        <v>15978</v>
      </c>
      <c r="L560">
        <v>3588.89</v>
      </c>
    </row>
    <row r="561" spans="1:12" x14ac:dyDescent="0.3">
      <c r="A561" t="s">
        <v>789</v>
      </c>
      <c r="B561" s="3">
        <v>45986</v>
      </c>
      <c r="C561" t="s">
        <v>215</v>
      </c>
      <c r="D561" t="s">
        <v>65</v>
      </c>
      <c r="E561" t="s">
        <v>26</v>
      </c>
      <c r="F561" t="s">
        <v>27</v>
      </c>
      <c r="G561" t="s">
        <v>28</v>
      </c>
      <c r="H561">
        <v>2</v>
      </c>
      <c r="I561">
        <v>2479</v>
      </c>
      <c r="J561">
        <v>0.15</v>
      </c>
      <c r="K561">
        <v>4214.3</v>
      </c>
      <c r="L561">
        <v>597.41999999999996</v>
      </c>
    </row>
    <row r="562" spans="1:12" x14ac:dyDescent="0.3">
      <c r="A562" t="s">
        <v>790</v>
      </c>
      <c r="B562" s="3">
        <v>45965</v>
      </c>
      <c r="C562" t="s">
        <v>96</v>
      </c>
      <c r="D562" t="s">
        <v>43</v>
      </c>
      <c r="E562" t="s">
        <v>44</v>
      </c>
      <c r="F562" t="s">
        <v>16</v>
      </c>
      <c r="G562" t="s">
        <v>17</v>
      </c>
      <c r="H562">
        <v>3</v>
      </c>
      <c r="I562">
        <v>1095</v>
      </c>
      <c r="J562">
        <v>0.15</v>
      </c>
      <c r="K562">
        <v>2792.25</v>
      </c>
      <c r="L562">
        <v>718.12</v>
      </c>
    </row>
    <row r="563" spans="1:12" x14ac:dyDescent="0.3">
      <c r="A563" t="s">
        <v>791</v>
      </c>
      <c r="B563" s="3">
        <v>45846</v>
      </c>
      <c r="C563" t="s">
        <v>792</v>
      </c>
      <c r="D563" t="s">
        <v>68</v>
      </c>
      <c r="E563" t="s">
        <v>44</v>
      </c>
      <c r="F563" t="s">
        <v>58</v>
      </c>
      <c r="G563" t="s">
        <v>69</v>
      </c>
      <c r="H563">
        <v>1</v>
      </c>
      <c r="I563">
        <v>7254</v>
      </c>
      <c r="J563">
        <v>0</v>
      </c>
      <c r="K563">
        <v>7254</v>
      </c>
      <c r="L563">
        <v>915.57</v>
      </c>
    </row>
    <row r="564" spans="1:12" x14ac:dyDescent="0.3">
      <c r="A564" t="s">
        <v>793</v>
      </c>
      <c r="B564" s="3">
        <v>45955</v>
      </c>
      <c r="C564" t="s">
        <v>351</v>
      </c>
      <c r="D564" t="s">
        <v>50</v>
      </c>
      <c r="E564" t="s">
        <v>51</v>
      </c>
      <c r="F564" t="s">
        <v>16</v>
      </c>
      <c r="G564" t="s">
        <v>52</v>
      </c>
      <c r="H564">
        <v>3</v>
      </c>
      <c r="I564">
        <v>2150</v>
      </c>
      <c r="J564">
        <v>0.1</v>
      </c>
      <c r="K564">
        <v>5805</v>
      </c>
      <c r="L564">
        <v>741.96</v>
      </c>
    </row>
    <row r="565" spans="1:12" x14ac:dyDescent="0.3">
      <c r="A565" t="s">
        <v>794</v>
      </c>
      <c r="B565" s="3">
        <v>45760</v>
      </c>
      <c r="C565" t="s">
        <v>238</v>
      </c>
      <c r="D565" t="s">
        <v>307</v>
      </c>
      <c r="E565" t="s">
        <v>73</v>
      </c>
      <c r="F565" t="s">
        <v>27</v>
      </c>
      <c r="G565" t="s">
        <v>31</v>
      </c>
      <c r="H565">
        <v>5</v>
      </c>
      <c r="I565">
        <v>319</v>
      </c>
      <c r="J565">
        <v>0.2</v>
      </c>
      <c r="K565">
        <v>1276</v>
      </c>
      <c r="L565">
        <v>179.5</v>
      </c>
    </row>
    <row r="566" spans="1:12" x14ac:dyDescent="0.3">
      <c r="A566" t="s">
        <v>795</v>
      </c>
      <c r="B566" s="3">
        <v>45933</v>
      </c>
      <c r="C566" t="s">
        <v>274</v>
      </c>
      <c r="D566" t="s">
        <v>202</v>
      </c>
      <c r="E566" t="s">
        <v>44</v>
      </c>
      <c r="F566" t="s">
        <v>58</v>
      </c>
      <c r="G566" t="s">
        <v>59</v>
      </c>
      <c r="H566">
        <v>1</v>
      </c>
      <c r="I566">
        <v>1240</v>
      </c>
      <c r="J566">
        <v>0.1</v>
      </c>
      <c r="K566">
        <v>1116</v>
      </c>
      <c r="L566">
        <v>252.06</v>
      </c>
    </row>
    <row r="567" spans="1:12" x14ac:dyDescent="0.3">
      <c r="A567" t="s">
        <v>796</v>
      </c>
      <c r="B567" s="3">
        <v>45843</v>
      </c>
      <c r="C567" t="s">
        <v>412</v>
      </c>
      <c r="D567" t="s">
        <v>153</v>
      </c>
      <c r="E567" t="s">
        <v>26</v>
      </c>
      <c r="F567" t="s">
        <v>27</v>
      </c>
      <c r="G567" t="s">
        <v>31</v>
      </c>
      <c r="H567">
        <v>1</v>
      </c>
      <c r="I567">
        <v>4049</v>
      </c>
      <c r="J567">
        <v>0.05</v>
      </c>
      <c r="K567">
        <v>3846.55</v>
      </c>
      <c r="L567">
        <v>797.06</v>
      </c>
    </row>
    <row r="568" spans="1:12" x14ac:dyDescent="0.3">
      <c r="A568" t="s">
        <v>797</v>
      </c>
      <c r="B568" s="3">
        <v>45874</v>
      </c>
      <c r="C568" t="s">
        <v>798</v>
      </c>
      <c r="D568" t="s">
        <v>80</v>
      </c>
      <c r="E568" t="s">
        <v>51</v>
      </c>
      <c r="F568" t="s">
        <v>21</v>
      </c>
      <c r="G568" t="s">
        <v>22</v>
      </c>
      <c r="H568">
        <v>1</v>
      </c>
      <c r="I568">
        <v>75608</v>
      </c>
      <c r="J568">
        <v>0</v>
      </c>
      <c r="K568">
        <v>75608</v>
      </c>
      <c r="L568">
        <v>15994.36</v>
      </c>
    </row>
    <row r="569" spans="1:12" x14ac:dyDescent="0.3">
      <c r="A569" t="s">
        <v>799</v>
      </c>
      <c r="B569" s="3">
        <v>45801</v>
      </c>
      <c r="C569" t="s">
        <v>391</v>
      </c>
      <c r="D569" t="s">
        <v>30</v>
      </c>
      <c r="E569" t="s">
        <v>15</v>
      </c>
      <c r="F569" t="s">
        <v>58</v>
      </c>
      <c r="G569" t="s">
        <v>126</v>
      </c>
      <c r="H569">
        <v>2</v>
      </c>
      <c r="I569">
        <v>5536</v>
      </c>
      <c r="J569">
        <v>0.05</v>
      </c>
      <c r="K569">
        <v>10518.4</v>
      </c>
      <c r="L569">
        <v>1508.22</v>
      </c>
    </row>
    <row r="570" spans="1:12" x14ac:dyDescent="0.3">
      <c r="A570" t="s">
        <v>800</v>
      </c>
      <c r="B570" s="3">
        <v>45664</v>
      </c>
      <c r="C570" t="s">
        <v>208</v>
      </c>
      <c r="D570" t="s">
        <v>202</v>
      </c>
      <c r="E570" t="s">
        <v>44</v>
      </c>
      <c r="F570" t="s">
        <v>58</v>
      </c>
      <c r="G570" t="s">
        <v>126</v>
      </c>
      <c r="H570">
        <v>3</v>
      </c>
      <c r="I570">
        <v>2888</v>
      </c>
      <c r="J570">
        <v>0</v>
      </c>
      <c r="K570">
        <v>8664</v>
      </c>
      <c r="L570">
        <v>1889.31</v>
      </c>
    </row>
    <row r="571" spans="1:12" x14ac:dyDescent="0.3">
      <c r="A571" t="s">
        <v>801</v>
      </c>
      <c r="B571" s="3">
        <v>45831</v>
      </c>
      <c r="C571" t="s">
        <v>266</v>
      </c>
      <c r="D571" t="s">
        <v>83</v>
      </c>
      <c r="E571" t="s">
        <v>73</v>
      </c>
      <c r="F571" t="s">
        <v>16</v>
      </c>
      <c r="G571" t="s">
        <v>52</v>
      </c>
      <c r="H571">
        <v>2</v>
      </c>
      <c r="I571">
        <v>582</v>
      </c>
      <c r="J571">
        <v>0</v>
      </c>
      <c r="K571">
        <v>1164</v>
      </c>
      <c r="L571">
        <v>165.77</v>
      </c>
    </row>
    <row r="572" spans="1:12" x14ac:dyDescent="0.3">
      <c r="A572" t="s">
        <v>802</v>
      </c>
      <c r="B572" s="3">
        <v>45747</v>
      </c>
      <c r="C572" t="s">
        <v>238</v>
      </c>
      <c r="D572" t="s">
        <v>103</v>
      </c>
      <c r="E572" t="s">
        <v>51</v>
      </c>
      <c r="F572" t="s">
        <v>27</v>
      </c>
      <c r="G572" t="s">
        <v>31</v>
      </c>
      <c r="H572">
        <v>1</v>
      </c>
      <c r="I572">
        <v>6525</v>
      </c>
      <c r="J572">
        <v>0.05</v>
      </c>
      <c r="K572">
        <v>6198.75</v>
      </c>
      <c r="L572">
        <v>1665.7</v>
      </c>
    </row>
    <row r="573" spans="1:12" x14ac:dyDescent="0.3">
      <c r="A573" t="s">
        <v>803</v>
      </c>
      <c r="B573" s="3">
        <v>45984</v>
      </c>
      <c r="C573" t="s">
        <v>136</v>
      </c>
      <c r="D573" t="s">
        <v>43</v>
      </c>
      <c r="E573" t="s">
        <v>44</v>
      </c>
      <c r="F573" t="s">
        <v>27</v>
      </c>
      <c r="G573" t="s">
        <v>31</v>
      </c>
      <c r="H573">
        <v>1</v>
      </c>
      <c r="I573">
        <v>1146</v>
      </c>
      <c r="J573">
        <v>0.15</v>
      </c>
      <c r="K573">
        <v>974.1</v>
      </c>
      <c r="L573">
        <v>209.96</v>
      </c>
    </row>
    <row r="574" spans="1:12" x14ac:dyDescent="0.3">
      <c r="A574" t="s">
        <v>804</v>
      </c>
      <c r="B574" s="3">
        <v>45940</v>
      </c>
      <c r="C574" t="s">
        <v>805</v>
      </c>
      <c r="D574" t="s">
        <v>68</v>
      </c>
      <c r="E574" t="s">
        <v>44</v>
      </c>
      <c r="F574" t="s">
        <v>58</v>
      </c>
      <c r="G574" t="s">
        <v>59</v>
      </c>
      <c r="H574">
        <v>5</v>
      </c>
      <c r="I574">
        <v>3150</v>
      </c>
      <c r="J574">
        <v>0</v>
      </c>
      <c r="K574">
        <v>15750</v>
      </c>
      <c r="L574">
        <v>1872.79</v>
      </c>
    </row>
    <row r="575" spans="1:12" x14ac:dyDescent="0.3">
      <c r="A575" t="s">
        <v>806</v>
      </c>
      <c r="B575" s="3">
        <v>45720</v>
      </c>
      <c r="C575" t="s">
        <v>807</v>
      </c>
      <c r="D575" t="s">
        <v>97</v>
      </c>
      <c r="E575" t="s">
        <v>44</v>
      </c>
      <c r="F575" t="s">
        <v>58</v>
      </c>
      <c r="G575" t="s">
        <v>69</v>
      </c>
      <c r="H575">
        <v>3</v>
      </c>
      <c r="I575">
        <v>736</v>
      </c>
      <c r="J575">
        <v>0.1</v>
      </c>
      <c r="K575">
        <v>1987.2</v>
      </c>
      <c r="L575">
        <v>342.16</v>
      </c>
    </row>
    <row r="576" spans="1:12" x14ac:dyDescent="0.3">
      <c r="A576" t="s">
        <v>808</v>
      </c>
      <c r="B576" s="3">
        <v>45756</v>
      </c>
      <c r="C576" t="s">
        <v>234</v>
      </c>
      <c r="D576" t="s">
        <v>202</v>
      </c>
      <c r="E576" t="s">
        <v>44</v>
      </c>
      <c r="F576" t="s">
        <v>21</v>
      </c>
      <c r="G576" t="s">
        <v>22</v>
      </c>
      <c r="H576">
        <v>3</v>
      </c>
      <c r="I576">
        <v>2645</v>
      </c>
      <c r="J576">
        <v>0.1</v>
      </c>
      <c r="K576">
        <v>7141.5</v>
      </c>
      <c r="L576">
        <v>1089.77</v>
      </c>
    </row>
    <row r="577" spans="1:12" x14ac:dyDescent="0.3">
      <c r="A577" t="s">
        <v>809</v>
      </c>
      <c r="B577" s="3">
        <v>45707</v>
      </c>
      <c r="C577" t="s">
        <v>176</v>
      </c>
      <c r="D577" t="s">
        <v>20</v>
      </c>
      <c r="E577" t="s">
        <v>15</v>
      </c>
      <c r="F577" t="s">
        <v>16</v>
      </c>
      <c r="G577" t="s">
        <v>104</v>
      </c>
      <c r="H577">
        <v>1</v>
      </c>
      <c r="I577">
        <v>8587</v>
      </c>
      <c r="J577">
        <v>0</v>
      </c>
      <c r="K577">
        <v>8587</v>
      </c>
      <c r="L577">
        <v>1287.7</v>
      </c>
    </row>
    <row r="578" spans="1:12" x14ac:dyDescent="0.3">
      <c r="A578" t="s">
        <v>810</v>
      </c>
      <c r="B578" s="3">
        <v>45847</v>
      </c>
      <c r="C578" t="s">
        <v>75</v>
      </c>
      <c r="D578" t="s">
        <v>65</v>
      </c>
      <c r="E578" t="s">
        <v>26</v>
      </c>
      <c r="F578" t="s">
        <v>16</v>
      </c>
      <c r="G578" t="s">
        <v>17</v>
      </c>
      <c r="H578">
        <v>4</v>
      </c>
      <c r="I578">
        <v>2184</v>
      </c>
      <c r="J578">
        <v>0.15</v>
      </c>
      <c r="K578">
        <v>7425.6</v>
      </c>
      <c r="L578">
        <v>1177.8800000000001</v>
      </c>
    </row>
    <row r="579" spans="1:12" x14ac:dyDescent="0.3">
      <c r="A579" t="s">
        <v>811</v>
      </c>
      <c r="B579" s="3">
        <v>45658</v>
      </c>
      <c r="C579" t="s">
        <v>507</v>
      </c>
      <c r="D579" t="s">
        <v>43</v>
      </c>
      <c r="E579" t="s">
        <v>44</v>
      </c>
      <c r="F579" t="s">
        <v>58</v>
      </c>
      <c r="G579" t="s">
        <v>126</v>
      </c>
      <c r="H579">
        <v>1</v>
      </c>
      <c r="I579">
        <v>607</v>
      </c>
      <c r="J579">
        <v>0.1</v>
      </c>
      <c r="K579">
        <v>546.29999999999995</v>
      </c>
      <c r="L579">
        <v>62.45</v>
      </c>
    </row>
    <row r="580" spans="1:12" x14ac:dyDescent="0.3">
      <c r="A580" t="s">
        <v>812</v>
      </c>
      <c r="B580" s="3">
        <v>45849</v>
      </c>
      <c r="C580" t="s">
        <v>163</v>
      </c>
      <c r="D580" t="s">
        <v>14</v>
      </c>
      <c r="E580" t="s">
        <v>15</v>
      </c>
      <c r="F580" t="s">
        <v>16</v>
      </c>
      <c r="G580" t="s">
        <v>17</v>
      </c>
      <c r="H580">
        <v>2</v>
      </c>
      <c r="I580">
        <v>7660</v>
      </c>
      <c r="J580">
        <v>0.25</v>
      </c>
      <c r="K580">
        <v>11490</v>
      </c>
      <c r="L580">
        <v>1493.64</v>
      </c>
    </row>
    <row r="581" spans="1:12" x14ac:dyDescent="0.3">
      <c r="A581" t="s">
        <v>813</v>
      </c>
      <c r="B581" s="3">
        <v>45997</v>
      </c>
      <c r="C581" t="s">
        <v>580</v>
      </c>
      <c r="D581" t="s">
        <v>72</v>
      </c>
      <c r="E581" t="s">
        <v>73</v>
      </c>
      <c r="F581" t="s">
        <v>27</v>
      </c>
      <c r="G581" t="s">
        <v>28</v>
      </c>
      <c r="H581">
        <v>2</v>
      </c>
      <c r="I581">
        <v>996</v>
      </c>
      <c r="J581">
        <v>0</v>
      </c>
      <c r="K581">
        <v>1992</v>
      </c>
      <c r="L581">
        <v>486.15</v>
      </c>
    </row>
    <row r="582" spans="1:12" x14ac:dyDescent="0.3">
      <c r="A582" t="s">
        <v>814</v>
      </c>
      <c r="B582" s="3">
        <v>45787</v>
      </c>
      <c r="C582" t="s">
        <v>368</v>
      </c>
      <c r="D582" t="s">
        <v>88</v>
      </c>
      <c r="E582" t="s">
        <v>73</v>
      </c>
      <c r="F582" t="s">
        <v>58</v>
      </c>
      <c r="G582" t="s">
        <v>69</v>
      </c>
      <c r="H582">
        <v>4</v>
      </c>
      <c r="I582">
        <v>430</v>
      </c>
      <c r="J582">
        <v>0.15</v>
      </c>
      <c r="K582">
        <v>1462</v>
      </c>
      <c r="L582">
        <v>208.06</v>
      </c>
    </row>
    <row r="583" spans="1:12" x14ac:dyDescent="0.3">
      <c r="A583" t="s">
        <v>815</v>
      </c>
      <c r="B583" s="3">
        <v>45858</v>
      </c>
      <c r="C583" t="s">
        <v>315</v>
      </c>
      <c r="D583" t="s">
        <v>50</v>
      </c>
      <c r="E583" t="s">
        <v>51</v>
      </c>
      <c r="F583" t="s">
        <v>58</v>
      </c>
      <c r="G583" t="s">
        <v>126</v>
      </c>
      <c r="H583">
        <v>1</v>
      </c>
      <c r="I583">
        <v>1393</v>
      </c>
      <c r="J583">
        <v>0</v>
      </c>
      <c r="K583">
        <v>1393</v>
      </c>
      <c r="L583">
        <v>366.36</v>
      </c>
    </row>
    <row r="584" spans="1:12" x14ac:dyDescent="0.3">
      <c r="A584" t="s">
        <v>816</v>
      </c>
      <c r="B584" s="3">
        <v>45908</v>
      </c>
      <c r="C584" t="s">
        <v>326</v>
      </c>
      <c r="D584" t="s">
        <v>34</v>
      </c>
      <c r="E584" t="s">
        <v>15</v>
      </c>
      <c r="F584" t="s">
        <v>16</v>
      </c>
      <c r="G584" t="s">
        <v>52</v>
      </c>
      <c r="H584">
        <v>1</v>
      </c>
      <c r="I584">
        <v>20033</v>
      </c>
      <c r="J584">
        <v>0.2</v>
      </c>
      <c r="K584">
        <v>16026.4</v>
      </c>
      <c r="L584">
        <v>2662.1</v>
      </c>
    </row>
    <row r="585" spans="1:12" x14ac:dyDescent="0.3">
      <c r="A585" t="s">
        <v>817</v>
      </c>
      <c r="B585" s="3">
        <v>45716</v>
      </c>
      <c r="C585" t="s">
        <v>85</v>
      </c>
      <c r="D585" t="s">
        <v>25</v>
      </c>
      <c r="E585" t="s">
        <v>26</v>
      </c>
      <c r="F585" t="s">
        <v>16</v>
      </c>
      <c r="G585" t="s">
        <v>17</v>
      </c>
      <c r="H585">
        <v>2</v>
      </c>
      <c r="I585">
        <v>14625</v>
      </c>
      <c r="J585">
        <v>0</v>
      </c>
      <c r="K585">
        <v>29250</v>
      </c>
      <c r="L585">
        <v>2548.1999999999998</v>
      </c>
    </row>
    <row r="586" spans="1:12" x14ac:dyDescent="0.3">
      <c r="A586" t="s">
        <v>818</v>
      </c>
      <c r="B586" s="3">
        <v>46019</v>
      </c>
      <c r="C586" t="s">
        <v>77</v>
      </c>
      <c r="D586" t="s">
        <v>92</v>
      </c>
      <c r="E586" t="s">
        <v>51</v>
      </c>
      <c r="F586" t="s">
        <v>16</v>
      </c>
      <c r="G586" t="s">
        <v>104</v>
      </c>
      <c r="H586">
        <v>1</v>
      </c>
      <c r="I586">
        <v>18995</v>
      </c>
      <c r="J586">
        <v>0</v>
      </c>
      <c r="K586">
        <v>18995</v>
      </c>
      <c r="L586">
        <v>3237.52</v>
      </c>
    </row>
    <row r="587" spans="1:12" x14ac:dyDescent="0.3">
      <c r="A587" t="s">
        <v>819</v>
      </c>
      <c r="B587" s="3">
        <v>45736</v>
      </c>
      <c r="C587" t="s">
        <v>134</v>
      </c>
      <c r="D587" t="s">
        <v>30</v>
      </c>
      <c r="E587" t="s">
        <v>15</v>
      </c>
      <c r="F587" t="s">
        <v>58</v>
      </c>
      <c r="G587" t="s">
        <v>69</v>
      </c>
      <c r="H587">
        <v>3</v>
      </c>
      <c r="I587">
        <v>10880</v>
      </c>
      <c r="J587">
        <v>0</v>
      </c>
      <c r="K587">
        <v>32640</v>
      </c>
      <c r="L587">
        <v>6103.46</v>
      </c>
    </row>
    <row r="588" spans="1:12" x14ac:dyDescent="0.3">
      <c r="A588" t="s">
        <v>820</v>
      </c>
      <c r="B588" s="3">
        <v>45953</v>
      </c>
      <c r="C588" t="s">
        <v>109</v>
      </c>
      <c r="D588" t="s">
        <v>307</v>
      </c>
      <c r="E588" t="s">
        <v>73</v>
      </c>
      <c r="F588" t="s">
        <v>27</v>
      </c>
      <c r="G588" t="s">
        <v>31</v>
      </c>
      <c r="H588">
        <v>1</v>
      </c>
      <c r="I588">
        <v>370</v>
      </c>
      <c r="J588">
        <v>0.2</v>
      </c>
      <c r="K588">
        <v>296</v>
      </c>
      <c r="L588">
        <v>47.28</v>
      </c>
    </row>
    <row r="589" spans="1:12" x14ac:dyDescent="0.3">
      <c r="A589" t="s">
        <v>821</v>
      </c>
      <c r="B589" s="3">
        <v>45666</v>
      </c>
      <c r="C589" t="s">
        <v>67</v>
      </c>
      <c r="D589" t="s">
        <v>103</v>
      </c>
      <c r="E589" t="s">
        <v>51</v>
      </c>
      <c r="F589" t="s">
        <v>27</v>
      </c>
      <c r="G589" t="s">
        <v>40</v>
      </c>
      <c r="H589">
        <v>1</v>
      </c>
      <c r="I589">
        <v>4347</v>
      </c>
      <c r="J589">
        <v>0.05</v>
      </c>
      <c r="K589">
        <v>4129.6499999999996</v>
      </c>
      <c r="L589">
        <v>1006.7</v>
      </c>
    </row>
    <row r="590" spans="1:12" x14ac:dyDescent="0.3">
      <c r="A590" t="s">
        <v>822</v>
      </c>
      <c r="B590" s="3">
        <v>45839</v>
      </c>
      <c r="C590" t="s">
        <v>313</v>
      </c>
      <c r="D590" t="s">
        <v>202</v>
      </c>
      <c r="E590" t="s">
        <v>44</v>
      </c>
      <c r="F590" t="s">
        <v>27</v>
      </c>
      <c r="G590" t="s">
        <v>28</v>
      </c>
      <c r="H590">
        <v>1</v>
      </c>
      <c r="I590">
        <v>1507</v>
      </c>
      <c r="J590">
        <v>0</v>
      </c>
      <c r="K590">
        <v>1507</v>
      </c>
      <c r="L590">
        <v>176.96</v>
      </c>
    </row>
    <row r="591" spans="1:12" x14ac:dyDescent="0.3">
      <c r="A591" t="s">
        <v>823</v>
      </c>
      <c r="B591" s="3">
        <v>45943</v>
      </c>
      <c r="C591" t="s">
        <v>371</v>
      </c>
      <c r="D591" t="s">
        <v>120</v>
      </c>
      <c r="E591" t="s">
        <v>51</v>
      </c>
      <c r="F591" t="s">
        <v>16</v>
      </c>
      <c r="G591" t="s">
        <v>104</v>
      </c>
      <c r="H591">
        <v>2</v>
      </c>
      <c r="I591">
        <v>2159</v>
      </c>
      <c r="J591">
        <v>0.15</v>
      </c>
      <c r="K591">
        <v>3670.3</v>
      </c>
      <c r="L591">
        <v>834.93</v>
      </c>
    </row>
    <row r="592" spans="1:12" x14ac:dyDescent="0.3">
      <c r="A592" t="s">
        <v>824</v>
      </c>
      <c r="B592" s="3">
        <v>45930</v>
      </c>
      <c r="C592" t="s">
        <v>640</v>
      </c>
      <c r="D592" t="s">
        <v>92</v>
      </c>
      <c r="E592" t="s">
        <v>51</v>
      </c>
      <c r="F592" t="s">
        <v>16</v>
      </c>
      <c r="G592" t="s">
        <v>104</v>
      </c>
      <c r="H592">
        <v>1</v>
      </c>
      <c r="I592">
        <v>19784</v>
      </c>
      <c r="J592">
        <v>0.15</v>
      </c>
      <c r="K592">
        <v>16816.400000000001</v>
      </c>
      <c r="L592">
        <v>4425.43</v>
      </c>
    </row>
    <row r="593" spans="1:12" x14ac:dyDescent="0.3">
      <c r="A593" t="s">
        <v>825</v>
      </c>
      <c r="B593" s="3">
        <v>45948</v>
      </c>
      <c r="C593" t="s">
        <v>492</v>
      </c>
      <c r="D593" t="s">
        <v>14</v>
      </c>
      <c r="E593" t="s">
        <v>15</v>
      </c>
      <c r="F593" t="s">
        <v>21</v>
      </c>
      <c r="G593" t="s">
        <v>55</v>
      </c>
      <c r="H593">
        <v>3</v>
      </c>
      <c r="I593">
        <v>6513</v>
      </c>
      <c r="J593">
        <v>0.15</v>
      </c>
      <c r="K593">
        <v>16608.150000000001</v>
      </c>
      <c r="L593">
        <v>1722.8</v>
      </c>
    </row>
    <row r="594" spans="1:12" x14ac:dyDescent="0.3">
      <c r="A594" t="s">
        <v>826</v>
      </c>
      <c r="B594" s="3">
        <v>45673</v>
      </c>
      <c r="C594" t="s">
        <v>492</v>
      </c>
      <c r="D594" t="s">
        <v>202</v>
      </c>
      <c r="E594" t="s">
        <v>44</v>
      </c>
      <c r="F594" t="s">
        <v>58</v>
      </c>
      <c r="G594" t="s">
        <v>126</v>
      </c>
      <c r="H594">
        <v>1</v>
      </c>
      <c r="I594">
        <v>3120</v>
      </c>
      <c r="J594">
        <v>0</v>
      </c>
      <c r="K594">
        <v>3120</v>
      </c>
      <c r="L594">
        <v>568.95000000000005</v>
      </c>
    </row>
    <row r="595" spans="1:12" x14ac:dyDescent="0.3">
      <c r="A595" t="s">
        <v>827</v>
      </c>
      <c r="B595" s="3">
        <v>45844</v>
      </c>
      <c r="C595" t="s">
        <v>185</v>
      </c>
      <c r="D595" t="s">
        <v>43</v>
      </c>
      <c r="E595" t="s">
        <v>44</v>
      </c>
      <c r="F595" t="s">
        <v>16</v>
      </c>
      <c r="G595" t="s">
        <v>52</v>
      </c>
      <c r="H595">
        <v>4</v>
      </c>
      <c r="I595">
        <v>539</v>
      </c>
      <c r="J595">
        <v>0.05</v>
      </c>
      <c r="K595">
        <v>2048.1999999999998</v>
      </c>
      <c r="L595">
        <v>282.23</v>
      </c>
    </row>
    <row r="596" spans="1:12" x14ac:dyDescent="0.3">
      <c r="A596" t="s">
        <v>828</v>
      </c>
      <c r="B596" s="3">
        <v>45753</v>
      </c>
      <c r="C596" t="s">
        <v>85</v>
      </c>
      <c r="D596" t="s">
        <v>68</v>
      </c>
      <c r="E596" t="s">
        <v>44</v>
      </c>
      <c r="F596" t="s">
        <v>27</v>
      </c>
      <c r="G596" t="s">
        <v>31</v>
      </c>
      <c r="H596">
        <v>2</v>
      </c>
      <c r="I596">
        <v>2839</v>
      </c>
      <c r="J596">
        <v>0.05</v>
      </c>
      <c r="K596">
        <v>5394.1</v>
      </c>
      <c r="L596">
        <v>974.55</v>
      </c>
    </row>
    <row r="597" spans="1:12" x14ac:dyDescent="0.3">
      <c r="A597" t="s">
        <v>829</v>
      </c>
      <c r="B597" s="3">
        <v>45896</v>
      </c>
      <c r="C597" t="s">
        <v>123</v>
      </c>
      <c r="D597" t="s">
        <v>47</v>
      </c>
      <c r="E597" t="s">
        <v>26</v>
      </c>
      <c r="F597" t="s">
        <v>21</v>
      </c>
      <c r="G597" t="s">
        <v>35</v>
      </c>
      <c r="H597">
        <v>2</v>
      </c>
      <c r="I597">
        <v>8312</v>
      </c>
      <c r="J597">
        <v>0.05</v>
      </c>
      <c r="K597">
        <v>15792.8</v>
      </c>
      <c r="L597">
        <v>2569.54</v>
      </c>
    </row>
    <row r="598" spans="1:12" x14ac:dyDescent="0.3">
      <c r="A598" t="s">
        <v>830</v>
      </c>
      <c r="B598" s="3">
        <v>45701</v>
      </c>
      <c r="C598" t="s">
        <v>368</v>
      </c>
      <c r="D598" t="s">
        <v>97</v>
      </c>
      <c r="E598" t="s">
        <v>44</v>
      </c>
      <c r="F598" t="s">
        <v>16</v>
      </c>
      <c r="G598" t="s">
        <v>17</v>
      </c>
      <c r="H598">
        <v>5</v>
      </c>
      <c r="I598">
        <v>948</v>
      </c>
      <c r="J598">
        <v>0.1</v>
      </c>
      <c r="K598">
        <v>4266</v>
      </c>
      <c r="L598">
        <v>1069</v>
      </c>
    </row>
    <row r="599" spans="1:12" x14ac:dyDescent="0.3">
      <c r="A599" t="s">
        <v>831</v>
      </c>
      <c r="B599" s="3">
        <v>45951</v>
      </c>
      <c r="C599" t="s">
        <v>535</v>
      </c>
      <c r="D599" t="s">
        <v>92</v>
      </c>
      <c r="E599" t="s">
        <v>51</v>
      </c>
      <c r="F599" t="s">
        <v>58</v>
      </c>
      <c r="G599" t="s">
        <v>59</v>
      </c>
      <c r="H599">
        <v>1</v>
      </c>
      <c r="I599">
        <v>21404</v>
      </c>
      <c r="J599">
        <v>0.05</v>
      </c>
      <c r="K599">
        <v>20333.8</v>
      </c>
      <c r="L599">
        <v>4179.28</v>
      </c>
    </row>
    <row r="600" spans="1:12" x14ac:dyDescent="0.3">
      <c r="A600" t="s">
        <v>832</v>
      </c>
      <c r="B600" s="3">
        <v>45808</v>
      </c>
      <c r="C600" t="s">
        <v>473</v>
      </c>
      <c r="D600" t="s">
        <v>47</v>
      </c>
      <c r="E600" t="s">
        <v>26</v>
      </c>
      <c r="F600" t="s">
        <v>58</v>
      </c>
      <c r="G600" t="s">
        <v>126</v>
      </c>
      <c r="H600">
        <v>3</v>
      </c>
      <c r="I600">
        <v>19389</v>
      </c>
      <c r="J600">
        <v>0.1</v>
      </c>
      <c r="K600">
        <v>52350.3</v>
      </c>
      <c r="L600">
        <v>13863.12</v>
      </c>
    </row>
    <row r="601" spans="1:12" x14ac:dyDescent="0.3">
      <c r="A601" t="s">
        <v>833</v>
      </c>
      <c r="B601" s="3">
        <v>45760</v>
      </c>
      <c r="C601" t="s">
        <v>244</v>
      </c>
      <c r="D601" t="s">
        <v>34</v>
      </c>
      <c r="E601" t="s">
        <v>15</v>
      </c>
      <c r="F601" t="s">
        <v>21</v>
      </c>
      <c r="G601" t="s">
        <v>55</v>
      </c>
      <c r="H601">
        <v>2</v>
      </c>
      <c r="I601">
        <v>21847</v>
      </c>
      <c r="J601">
        <v>0.1</v>
      </c>
      <c r="K601">
        <v>39324.6</v>
      </c>
      <c r="L601">
        <v>7486.9</v>
      </c>
    </row>
    <row r="602" spans="1:12" x14ac:dyDescent="0.3">
      <c r="A602" t="s">
        <v>834</v>
      </c>
      <c r="B602" s="3">
        <v>45689</v>
      </c>
      <c r="C602" t="s">
        <v>260</v>
      </c>
      <c r="D602" t="s">
        <v>92</v>
      </c>
      <c r="E602" t="s">
        <v>51</v>
      </c>
      <c r="F602" t="s">
        <v>16</v>
      </c>
      <c r="G602" t="s">
        <v>52</v>
      </c>
      <c r="H602">
        <v>1</v>
      </c>
      <c r="I602">
        <v>22184</v>
      </c>
      <c r="J602">
        <v>0</v>
      </c>
      <c r="K602">
        <v>22184</v>
      </c>
      <c r="L602">
        <v>3855.76</v>
      </c>
    </row>
    <row r="603" spans="1:12" x14ac:dyDescent="0.3">
      <c r="A603" t="s">
        <v>835</v>
      </c>
      <c r="B603" s="3">
        <v>45928</v>
      </c>
      <c r="C603" t="s">
        <v>363</v>
      </c>
      <c r="D603" t="s">
        <v>34</v>
      </c>
      <c r="E603" t="s">
        <v>15</v>
      </c>
      <c r="F603" t="s">
        <v>16</v>
      </c>
      <c r="G603" t="s">
        <v>52</v>
      </c>
      <c r="H603">
        <v>1</v>
      </c>
      <c r="I603">
        <v>14423</v>
      </c>
      <c r="J603">
        <v>0</v>
      </c>
      <c r="K603">
        <v>14423</v>
      </c>
      <c r="L603">
        <v>2814.75</v>
      </c>
    </row>
    <row r="604" spans="1:12" x14ac:dyDescent="0.3">
      <c r="A604" t="s">
        <v>836</v>
      </c>
      <c r="B604" s="3">
        <v>45823</v>
      </c>
      <c r="C604" t="s">
        <v>231</v>
      </c>
      <c r="D604" t="s">
        <v>72</v>
      </c>
      <c r="E604" t="s">
        <v>73</v>
      </c>
      <c r="F604" t="s">
        <v>16</v>
      </c>
      <c r="G604" t="s">
        <v>52</v>
      </c>
      <c r="H604">
        <v>1</v>
      </c>
      <c r="I604">
        <v>768</v>
      </c>
      <c r="J604">
        <v>0</v>
      </c>
      <c r="K604">
        <v>768</v>
      </c>
      <c r="L604">
        <v>144.99</v>
      </c>
    </row>
    <row r="605" spans="1:12" x14ac:dyDescent="0.3">
      <c r="A605" t="s">
        <v>837</v>
      </c>
      <c r="B605" s="3">
        <v>45794</v>
      </c>
      <c r="C605" t="s">
        <v>713</v>
      </c>
      <c r="D605" t="s">
        <v>80</v>
      </c>
      <c r="E605" t="s">
        <v>51</v>
      </c>
      <c r="F605" t="s">
        <v>21</v>
      </c>
      <c r="G605" t="s">
        <v>55</v>
      </c>
      <c r="H605">
        <v>1</v>
      </c>
      <c r="I605">
        <v>49460</v>
      </c>
      <c r="J605">
        <v>0.1</v>
      </c>
      <c r="K605">
        <v>44514</v>
      </c>
      <c r="L605">
        <v>8738.67</v>
      </c>
    </row>
    <row r="606" spans="1:12" x14ac:dyDescent="0.3">
      <c r="A606" t="s">
        <v>838</v>
      </c>
      <c r="B606" s="3">
        <v>46022</v>
      </c>
      <c r="C606" t="s">
        <v>234</v>
      </c>
      <c r="D606" t="s">
        <v>153</v>
      </c>
      <c r="E606" t="s">
        <v>26</v>
      </c>
      <c r="F606" t="s">
        <v>58</v>
      </c>
      <c r="G606" t="s">
        <v>69</v>
      </c>
      <c r="H606">
        <v>4</v>
      </c>
      <c r="I606">
        <v>7967</v>
      </c>
      <c r="J606">
        <v>0.05</v>
      </c>
      <c r="K606">
        <v>30274.6</v>
      </c>
      <c r="L606">
        <v>6051.12</v>
      </c>
    </row>
    <row r="607" spans="1:12" x14ac:dyDescent="0.3">
      <c r="A607" t="s">
        <v>839</v>
      </c>
      <c r="B607" s="3">
        <v>45789</v>
      </c>
      <c r="C607" t="s">
        <v>792</v>
      </c>
      <c r="D607" t="s">
        <v>14</v>
      </c>
      <c r="E607" t="s">
        <v>15</v>
      </c>
      <c r="F607" t="s">
        <v>58</v>
      </c>
      <c r="G607" t="s">
        <v>59</v>
      </c>
      <c r="H607">
        <v>5</v>
      </c>
      <c r="I607">
        <v>14855</v>
      </c>
      <c r="J607">
        <v>0.1</v>
      </c>
      <c r="K607">
        <v>66847.5</v>
      </c>
      <c r="L607">
        <v>17124.93</v>
      </c>
    </row>
    <row r="608" spans="1:12" x14ac:dyDescent="0.3">
      <c r="A608" t="s">
        <v>840</v>
      </c>
      <c r="B608" s="3">
        <v>45904</v>
      </c>
      <c r="C608" t="s">
        <v>33</v>
      </c>
      <c r="D608" t="s">
        <v>30</v>
      </c>
      <c r="E608" t="s">
        <v>15</v>
      </c>
      <c r="F608" t="s">
        <v>16</v>
      </c>
      <c r="G608" t="s">
        <v>52</v>
      </c>
      <c r="H608">
        <v>3</v>
      </c>
      <c r="I608">
        <v>13232</v>
      </c>
      <c r="J608">
        <v>0.05</v>
      </c>
      <c r="K608">
        <v>37711.199999999997</v>
      </c>
      <c r="L608">
        <v>5597.34</v>
      </c>
    </row>
    <row r="609" spans="1:12" x14ac:dyDescent="0.3">
      <c r="A609" t="s">
        <v>841</v>
      </c>
      <c r="B609" s="3">
        <v>45955</v>
      </c>
      <c r="C609" t="s">
        <v>266</v>
      </c>
      <c r="D609" t="s">
        <v>65</v>
      </c>
      <c r="E609" t="s">
        <v>26</v>
      </c>
      <c r="F609" t="s">
        <v>58</v>
      </c>
      <c r="G609" t="s">
        <v>59</v>
      </c>
      <c r="H609">
        <v>2</v>
      </c>
      <c r="I609">
        <v>2187</v>
      </c>
      <c r="J609">
        <v>0.05</v>
      </c>
      <c r="K609">
        <v>4155.3</v>
      </c>
      <c r="L609">
        <v>591.87</v>
      </c>
    </row>
    <row r="610" spans="1:12" x14ac:dyDescent="0.3">
      <c r="A610" t="s">
        <v>842</v>
      </c>
      <c r="B610" s="3">
        <v>45857</v>
      </c>
      <c r="C610" t="s">
        <v>128</v>
      </c>
      <c r="D610" t="s">
        <v>30</v>
      </c>
      <c r="E610" t="s">
        <v>15</v>
      </c>
      <c r="F610" t="s">
        <v>27</v>
      </c>
      <c r="G610" t="s">
        <v>31</v>
      </c>
      <c r="H610">
        <v>3</v>
      </c>
      <c r="I610">
        <v>13439</v>
      </c>
      <c r="J610">
        <v>0.1</v>
      </c>
      <c r="K610">
        <v>36285.300000000003</v>
      </c>
      <c r="L610">
        <v>8284.86</v>
      </c>
    </row>
    <row r="611" spans="1:12" x14ac:dyDescent="0.3">
      <c r="A611" t="s">
        <v>843</v>
      </c>
      <c r="B611" s="3">
        <v>45923</v>
      </c>
      <c r="C611" t="s">
        <v>208</v>
      </c>
      <c r="D611" t="s">
        <v>80</v>
      </c>
      <c r="E611" t="s">
        <v>51</v>
      </c>
      <c r="F611" t="s">
        <v>58</v>
      </c>
      <c r="G611" t="s">
        <v>126</v>
      </c>
      <c r="H611">
        <v>1</v>
      </c>
      <c r="I611">
        <v>60499</v>
      </c>
      <c r="J611">
        <v>0.1</v>
      </c>
      <c r="K611">
        <v>54449.1</v>
      </c>
      <c r="L611">
        <v>9411.0300000000007</v>
      </c>
    </row>
    <row r="612" spans="1:12" x14ac:dyDescent="0.3">
      <c r="A612" t="s">
        <v>844</v>
      </c>
      <c r="B612" s="3">
        <v>45991</v>
      </c>
      <c r="C612" t="s">
        <v>544</v>
      </c>
      <c r="D612" t="s">
        <v>65</v>
      </c>
      <c r="E612" t="s">
        <v>26</v>
      </c>
      <c r="F612" t="s">
        <v>16</v>
      </c>
      <c r="G612" t="s">
        <v>52</v>
      </c>
      <c r="H612">
        <v>2</v>
      </c>
      <c r="I612">
        <v>1873</v>
      </c>
      <c r="J612">
        <v>0.05</v>
      </c>
      <c r="K612">
        <v>3558.7</v>
      </c>
      <c r="L612">
        <v>817.51</v>
      </c>
    </row>
    <row r="613" spans="1:12" x14ac:dyDescent="0.3">
      <c r="A613" t="s">
        <v>845</v>
      </c>
      <c r="B613" s="3">
        <v>45659</v>
      </c>
      <c r="C613" t="s">
        <v>141</v>
      </c>
      <c r="D613" t="s">
        <v>30</v>
      </c>
      <c r="E613" t="s">
        <v>15</v>
      </c>
      <c r="F613" t="s">
        <v>21</v>
      </c>
      <c r="G613" t="s">
        <v>35</v>
      </c>
      <c r="H613">
        <v>2</v>
      </c>
      <c r="I613">
        <v>9013</v>
      </c>
      <c r="J613">
        <v>0.2</v>
      </c>
      <c r="K613">
        <v>14420.8</v>
      </c>
      <c r="L613">
        <v>2667.99</v>
      </c>
    </row>
    <row r="614" spans="1:12" x14ac:dyDescent="0.3">
      <c r="A614" t="s">
        <v>846</v>
      </c>
      <c r="B614" s="3">
        <v>45806</v>
      </c>
      <c r="C614" t="s">
        <v>597</v>
      </c>
      <c r="D614" t="s">
        <v>25</v>
      </c>
      <c r="E614" t="s">
        <v>26</v>
      </c>
      <c r="F614" t="s">
        <v>27</v>
      </c>
      <c r="G614" t="s">
        <v>40</v>
      </c>
      <c r="H614">
        <v>1</v>
      </c>
      <c r="I614">
        <v>6011</v>
      </c>
      <c r="J614">
        <v>0</v>
      </c>
      <c r="K614">
        <v>6011</v>
      </c>
      <c r="L614">
        <v>1655.77</v>
      </c>
    </row>
    <row r="615" spans="1:12" x14ac:dyDescent="0.3">
      <c r="A615" t="s">
        <v>847</v>
      </c>
      <c r="B615" s="3">
        <v>45741</v>
      </c>
      <c r="C615" t="s">
        <v>798</v>
      </c>
      <c r="D615" t="s">
        <v>14</v>
      </c>
      <c r="E615" t="s">
        <v>15</v>
      </c>
      <c r="F615" t="s">
        <v>27</v>
      </c>
      <c r="G615" t="s">
        <v>40</v>
      </c>
      <c r="H615">
        <v>3</v>
      </c>
      <c r="I615">
        <v>17265</v>
      </c>
      <c r="J615">
        <v>0.1</v>
      </c>
      <c r="K615">
        <v>46615.5</v>
      </c>
      <c r="L615">
        <v>10263.48</v>
      </c>
    </row>
    <row r="616" spans="1:12" x14ac:dyDescent="0.3">
      <c r="A616" t="s">
        <v>848</v>
      </c>
      <c r="B616" s="3">
        <v>45895</v>
      </c>
      <c r="C616" t="s">
        <v>805</v>
      </c>
      <c r="D616" t="s">
        <v>30</v>
      </c>
      <c r="E616" t="s">
        <v>15</v>
      </c>
      <c r="F616" t="s">
        <v>27</v>
      </c>
      <c r="G616" t="s">
        <v>28</v>
      </c>
      <c r="H616">
        <v>1</v>
      </c>
      <c r="I616">
        <v>13025</v>
      </c>
      <c r="J616">
        <v>0</v>
      </c>
      <c r="K616">
        <v>13025</v>
      </c>
      <c r="L616">
        <v>1896.03</v>
      </c>
    </row>
    <row r="617" spans="1:12" x14ac:dyDescent="0.3">
      <c r="A617" t="s">
        <v>849</v>
      </c>
      <c r="B617" s="3">
        <v>45705</v>
      </c>
      <c r="C617" t="s">
        <v>113</v>
      </c>
      <c r="D617" t="s">
        <v>47</v>
      </c>
      <c r="E617" t="s">
        <v>26</v>
      </c>
      <c r="F617" t="s">
        <v>16</v>
      </c>
      <c r="G617" t="s">
        <v>17</v>
      </c>
      <c r="H617">
        <v>2</v>
      </c>
      <c r="I617">
        <v>10105</v>
      </c>
      <c r="J617">
        <v>0.15</v>
      </c>
      <c r="K617">
        <v>17178.5</v>
      </c>
      <c r="L617">
        <v>1663.79</v>
      </c>
    </row>
    <row r="618" spans="1:12" x14ac:dyDescent="0.3">
      <c r="A618" t="s">
        <v>850</v>
      </c>
      <c r="B618" s="3">
        <v>45726</v>
      </c>
      <c r="C618" t="s">
        <v>234</v>
      </c>
      <c r="D618" t="s">
        <v>202</v>
      </c>
      <c r="E618" t="s">
        <v>44</v>
      </c>
      <c r="F618" t="s">
        <v>16</v>
      </c>
      <c r="G618" t="s">
        <v>17</v>
      </c>
      <c r="H618">
        <v>3</v>
      </c>
      <c r="I618">
        <v>2292</v>
      </c>
      <c r="J618">
        <v>0.1</v>
      </c>
      <c r="K618">
        <v>6188.4</v>
      </c>
      <c r="L618">
        <v>738.26</v>
      </c>
    </row>
    <row r="619" spans="1:12" x14ac:dyDescent="0.3">
      <c r="A619" t="s">
        <v>851</v>
      </c>
      <c r="B619" s="3">
        <v>45924</v>
      </c>
      <c r="C619" t="s">
        <v>159</v>
      </c>
      <c r="D619" t="s">
        <v>65</v>
      </c>
      <c r="E619" t="s">
        <v>26</v>
      </c>
      <c r="F619" t="s">
        <v>58</v>
      </c>
      <c r="G619" t="s">
        <v>126</v>
      </c>
      <c r="H619">
        <v>3</v>
      </c>
      <c r="I619">
        <v>4264</v>
      </c>
      <c r="J619">
        <v>0.15</v>
      </c>
      <c r="K619">
        <v>10873.2</v>
      </c>
      <c r="L619">
        <v>1535.88</v>
      </c>
    </row>
    <row r="620" spans="1:12" x14ac:dyDescent="0.3">
      <c r="A620" t="s">
        <v>852</v>
      </c>
      <c r="B620" s="3">
        <v>45895</v>
      </c>
      <c r="C620" t="s">
        <v>617</v>
      </c>
      <c r="D620" t="s">
        <v>307</v>
      </c>
      <c r="E620" t="s">
        <v>73</v>
      </c>
      <c r="F620" t="s">
        <v>21</v>
      </c>
      <c r="G620" t="s">
        <v>22</v>
      </c>
      <c r="H620">
        <v>2</v>
      </c>
      <c r="I620">
        <v>384</v>
      </c>
      <c r="J620">
        <v>0</v>
      </c>
      <c r="K620">
        <v>768</v>
      </c>
      <c r="L620">
        <v>183.07</v>
      </c>
    </row>
    <row r="621" spans="1:12" x14ac:dyDescent="0.3">
      <c r="A621" t="s">
        <v>853</v>
      </c>
      <c r="B621" s="3">
        <v>46011</v>
      </c>
      <c r="C621" t="s">
        <v>260</v>
      </c>
      <c r="D621" t="s">
        <v>153</v>
      </c>
      <c r="E621" t="s">
        <v>26</v>
      </c>
      <c r="F621" t="s">
        <v>21</v>
      </c>
      <c r="G621" t="s">
        <v>55</v>
      </c>
      <c r="H621">
        <v>1</v>
      </c>
      <c r="I621">
        <v>7129</v>
      </c>
      <c r="J621">
        <v>0.2</v>
      </c>
      <c r="K621">
        <v>5703.2</v>
      </c>
      <c r="L621">
        <v>1286.22</v>
      </c>
    </row>
    <row r="622" spans="1:12" x14ac:dyDescent="0.3">
      <c r="A622" t="s">
        <v>854</v>
      </c>
      <c r="B622" s="3">
        <v>45782</v>
      </c>
      <c r="C622" t="s">
        <v>403</v>
      </c>
      <c r="D622" t="s">
        <v>92</v>
      </c>
      <c r="E622" t="s">
        <v>51</v>
      </c>
      <c r="F622" t="s">
        <v>27</v>
      </c>
      <c r="G622" t="s">
        <v>40</v>
      </c>
      <c r="H622">
        <v>2</v>
      </c>
      <c r="I622">
        <v>18974</v>
      </c>
      <c r="J622">
        <v>0.1</v>
      </c>
      <c r="K622">
        <v>34153.199999999997</v>
      </c>
      <c r="L622">
        <v>6077.81</v>
      </c>
    </row>
    <row r="623" spans="1:12" x14ac:dyDescent="0.3">
      <c r="A623" t="s">
        <v>855</v>
      </c>
      <c r="B623" s="3">
        <v>45869</v>
      </c>
      <c r="C623" t="s">
        <v>64</v>
      </c>
      <c r="D623" t="s">
        <v>120</v>
      </c>
      <c r="E623" t="s">
        <v>51</v>
      </c>
      <c r="F623" t="s">
        <v>58</v>
      </c>
      <c r="G623" t="s">
        <v>69</v>
      </c>
      <c r="H623">
        <v>1</v>
      </c>
      <c r="I623">
        <v>1794</v>
      </c>
      <c r="J623">
        <v>0.05</v>
      </c>
      <c r="K623">
        <v>1704.3</v>
      </c>
      <c r="L623">
        <v>309.05</v>
      </c>
    </row>
    <row r="624" spans="1:12" x14ac:dyDescent="0.3">
      <c r="A624" t="s">
        <v>856</v>
      </c>
      <c r="B624" s="3">
        <v>45677</v>
      </c>
      <c r="C624" t="s">
        <v>358</v>
      </c>
      <c r="D624" t="s">
        <v>25</v>
      </c>
      <c r="E624" t="s">
        <v>26</v>
      </c>
      <c r="F624" t="s">
        <v>27</v>
      </c>
      <c r="G624" t="s">
        <v>31</v>
      </c>
      <c r="H624">
        <v>4</v>
      </c>
      <c r="I624">
        <v>12028</v>
      </c>
      <c r="J624">
        <v>0.05</v>
      </c>
      <c r="K624">
        <v>45706.400000000001</v>
      </c>
      <c r="L624">
        <v>10394.85</v>
      </c>
    </row>
    <row r="625" spans="1:12" x14ac:dyDescent="0.3">
      <c r="A625" t="s">
        <v>857</v>
      </c>
      <c r="B625" s="3">
        <v>45802</v>
      </c>
      <c r="C625" t="s">
        <v>415</v>
      </c>
      <c r="D625" t="s">
        <v>34</v>
      </c>
      <c r="E625" t="s">
        <v>15</v>
      </c>
      <c r="F625" t="s">
        <v>16</v>
      </c>
      <c r="G625" t="s">
        <v>104</v>
      </c>
      <c r="H625">
        <v>2</v>
      </c>
      <c r="I625">
        <v>8136</v>
      </c>
      <c r="J625">
        <v>0.05</v>
      </c>
      <c r="K625">
        <v>15458.4</v>
      </c>
      <c r="L625">
        <v>3316.62</v>
      </c>
    </row>
    <row r="626" spans="1:12" x14ac:dyDescent="0.3">
      <c r="A626" t="s">
        <v>858</v>
      </c>
      <c r="B626" s="3">
        <v>45696</v>
      </c>
      <c r="C626" t="s">
        <v>595</v>
      </c>
      <c r="D626" t="s">
        <v>47</v>
      </c>
      <c r="E626" t="s">
        <v>26</v>
      </c>
      <c r="F626" t="s">
        <v>58</v>
      </c>
      <c r="G626" t="s">
        <v>69</v>
      </c>
      <c r="H626">
        <v>2</v>
      </c>
      <c r="I626">
        <v>13437</v>
      </c>
      <c r="J626">
        <v>0</v>
      </c>
      <c r="K626">
        <v>26874</v>
      </c>
      <c r="L626">
        <v>2720.51</v>
      </c>
    </row>
    <row r="627" spans="1:12" x14ac:dyDescent="0.3">
      <c r="A627" t="s">
        <v>859</v>
      </c>
      <c r="B627" s="3">
        <v>45767</v>
      </c>
      <c r="C627" t="s">
        <v>123</v>
      </c>
      <c r="D627" t="s">
        <v>68</v>
      </c>
      <c r="E627" t="s">
        <v>44</v>
      </c>
      <c r="F627" t="s">
        <v>16</v>
      </c>
      <c r="G627" t="s">
        <v>104</v>
      </c>
      <c r="H627">
        <v>3</v>
      </c>
      <c r="I627">
        <v>4144</v>
      </c>
      <c r="J627">
        <v>0.25</v>
      </c>
      <c r="K627">
        <v>9324</v>
      </c>
      <c r="L627">
        <v>1615.39</v>
      </c>
    </row>
    <row r="628" spans="1:12" x14ac:dyDescent="0.3">
      <c r="A628" t="s">
        <v>860</v>
      </c>
      <c r="B628" s="3">
        <v>46000</v>
      </c>
      <c r="C628" t="s">
        <v>501</v>
      </c>
      <c r="D628" t="s">
        <v>120</v>
      </c>
      <c r="E628" t="s">
        <v>51</v>
      </c>
      <c r="F628" t="s">
        <v>21</v>
      </c>
      <c r="G628" t="s">
        <v>55</v>
      </c>
      <c r="H628">
        <v>1</v>
      </c>
      <c r="I628">
        <v>481</v>
      </c>
      <c r="J628">
        <v>0.05</v>
      </c>
      <c r="K628">
        <v>456.95</v>
      </c>
      <c r="L628">
        <v>113.69</v>
      </c>
    </row>
    <row r="629" spans="1:12" x14ac:dyDescent="0.3">
      <c r="A629" t="s">
        <v>861</v>
      </c>
      <c r="B629" s="3">
        <v>45903</v>
      </c>
      <c r="C629" t="s">
        <v>42</v>
      </c>
      <c r="D629" t="s">
        <v>103</v>
      </c>
      <c r="E629" t="s">
        <v>51</v>
      </c>
      <c r="F629" t="s">
        <v>27</v>
      </c>
      <c r="G629" t="s">
        <v>31</v>
      </c>
      <c r="H629">
        <v>2</v>
      </c>
      <c r="I629">
        <v>3932</v>
      </c>
      <c r="J629">
        <v>0.1</v>
      </c>
      <c r="K629">
        <v>7077.6</v>
      </c>
      <c r="L629">
        <v>1818.67</v>
      </c>
    </row>
    <row r="630" spans="1:12" x14ac:dyDescent="0.3">
      <c r="A630" t="s">
        <v>862</v>
      </c>
      <c r="B630" s="3">
        <v>45851</v>
      </c>
      <c r="C630" t="s">
        <v>503</v>
      </c>
      <c r="D630" t="s">
        <v>120</v>
      </c>
      <c r="E630" t="s">
        <v>51</v>
      </c>
      <c r="F630" t="s">
        <v>58</v>
      </c>
      <c r="G630" t="s">
        <v>59</v>
      </c>
      <c r="H630">
        <v>5</v>
      </c>
      <c r="I630">
        <v>1957</v>
      </c>
      <c r="J630">
        <v>0.1</v>
      </c>
      <c r="K630">
        <v>8806.5</v>
      </c>
      <c r="L630">
        <v>1938.95</v>
      </c>
    </row>
    <row r="631" spans="1:12" x14ac:dyDescent="0.3">
      <c r="A631" t="s">
        <v>863</v>
      </c>
      <c r="B631" s="3">
        <v>45932</v>
      </c>
      <c r="C631" t="s">
        <v>131</v>
      </c>
      <c r="D631" t="s">
        <v>68</v>
      </c>
      <c r="E631" t="s">
        <v>44</v>
      </c>
      <c r="F631" t="s">
        <v>58</v>
      </c>
      <c r="G631" t="s">
        <v>69</v>
      </c>
      <c r="H631">
        <v>1</v>
      </c>
      <c r="I631">
        <v>3444</v>
      </c>
      <c r="J631">
        <v>0</v>
      </c>
      <c r="K631">
        <v>3444</v>
      </c>
      <c r="L631">
        <v>341.4</v>
      </c>
    </row>
    <row r="632" spans="1:12" x14ac:dyDescent="0.3">
      <c r="A632" t="s">
        <v>864</v>
      </c>
      <c r="B632" s="3">
        <v>45839</v>
      </c>
      <c r="C632" t="s">
        <v>665</v>
      </c>
      <c r="D632" t="s">
        <v>92</v>
      </c>
      <c r="E632" t="s">
        <v>51</v>
      </c>
      <c r="F632" t="s">
        <v>58</v>
      </c>
      <c r="G632" t="s">
        <v>126</v>
      </c>
      <c r="H632">
        <v>1</v>
      </c>
      <c r="I632">
        <v>14492</v>
      </c>
      <c r="J632">
        <v>0.15</v>
      </c>
      <c r="K632">
        <v>12318.2</v>
      </c>
      <c r="L632">
        <v>2363.17</v>
      </c>
    </row>
    <row r="633" spans="1:12" x14ac:dyDescent="0.3">
      <c r="A633" t="s">
        <v>865</v>
      </c>
      <c r="B633" s="3">
        <v>45734</v>
      </c>
      <c r="C633" t="s">
        <v>13</v>
      </c>
      <c r="D633" t="s">
        <v>43</v>
      </c>
      <c r="E633" t="s">
        <v>44</v>
      </c>
      <c r="F633" t="s">
        <v>21</v>
      </c>
      <c r="G633" t="s">
        <v>55</v>
      </c>
      <c r="H633">
        <v>4</v>
      </c>
      <c r="I633">
        <v>1134</v>
      </c>
      <c r="J633">
        <v>0</v>
      </c>
      <c r="K633">
        <v>4536</v>
      </c>
      <c r="L633">
        <v>720.4</v>
      </c>
    </row>
    <row r="634" spans="1:12" x14ac:dyDescent="0.3">
      <c r="A634" t="s">
        <v>866</v>
      </c>
      <c r="B634" s="3">
        <v>45845</v>
      </c>
      <c r="C634" t="s">
        <v>61</v>
      </c>
      <c r="D634" t="s">
        <v>30</v>
      </c>
      <c r="E634" t="s">
        <v>15</v>
      </c>
      <c r="F634" t="s">
        <v>21</v>
      </c>
      <c r="G634" t="s">
        <v>55</v>
      </c>
      <c r="H634">
        <v>3</v>
      </c>
      <c r="I634">
        <v>6026</v>
      </c>
      <c r="J634">
        <v>0.1</v>
      </c>
      <c r="K634">
        <v>16270.2</v>
      </c>
      <c r="L634">
        <v>1926.25</v>
      </c>
    </row>
    <row r="635" spans="1:12" x14ac:dyDescent="0.3">
      <c r="A635" t="s">
        <v>867</v>
      </c>
      <c r="B635" s="3">
        <v>45800</v>
      </c>
      <c r="C635" t="s">
        <v>440</v>
      </c>
      <c r="D635" t="s">
        <v>47</v>
      </c>
      <c r="E635" t="s">
        <v>26</v>
      </c>
      <c r="F635" t="s">
        <v>27</v>
      </c>
      <c r="G635" t="s">
        <v>40</v>
      </c>
      <c r="H635">
        <v>1</v>
      </c>
      <c r="I635">
        <v>20632</v>
      </c>
      <c r="J635">
        <v>0.15</v>
      </c>
      <c r="K635">
        <v>17537.2</v>
      </c>
      <c r="L635">
        <v>3775.4</v>
      </c>
    </row>
    <row r="636" spans="1:12" x14ac:dyDescent="0.3">
      <c r="A636" t="s">
        <v>868</v>
      </c>
      <c r="B636" s="3">
        <v>45668</v>
      </c>
      <c r="C636" t="s">
        <v>339</v>
      </c>
      <c r="D636" t="s">
        <v>103</v>
      </c>
      <c r="E636" t="s">
        <v>51</v>
      </c>
      <c r="F636" t="s">
        <v>27</v>
      </c>
      <c r="G636" t="s">
        <v>28</v>
      </c>
      <c r="H636">
        <v>2</v>
      </c>
      <c r="I636">
        <v>8565</v>
      </c>
      <c r="J636">
        <v>0.25</v>
      </c>
      <c r="K636">
        <v>12847.5</v>
      </c>
      <c r="L636">
        <v>2184.79</v>
      </c>
    </row>
    <row r="637" spans="1:12" x14ac:dyDescent="0.3">
      <c r="A637" t="s">
        <v>869</v>
      </c>
      <c r="B637" s="3">
        <v>45846</v>
      </c>
      <c r="C637" t="s">
        <v>358</v>
      </c>
      <c r="D637" t="s">
        <v>50</v>
      </c>
      <c r="E637" t="s">
        <v>51</v>
      </c>
      <c r="F637" t="s">
        <v>21</v>
      </c>
      <c r="G637" t="s">
        <v>55</v>
      </c>
      <c r="H637">
        <v>5</v>
      </c>
      <c r="I637">
        <v>3064</v>
      </c>
      <c r="J637">
        <v>0.15</v>
      </c>
      <c r="K637">
        <v>13022</v>
      </c>
      <c r="L637">
        <v>1869.71</v>
      </c>
    </row>
    <row r="638" spans="1:12" x14ac:dyDescent="0.3">
      <c r="A638" t="s">
        <v>870</v>
      </c>
      <c r="B638" s="3">
        <v>45877</v>
      </c>
      <c r="C638" t="s">
        <v>90</v>
      </c>
      <c r="D638" t="s">
        <v>14</v>
      </c>
      <c r="E638" t="s">
        <v>15</v>
      </c>
      <c r="F638" t="s">
        <v>21</v>
      </c>
      <c r="G638" t="s">
        <v>35</v>
      </c>
      <c r="H638">
        <v>2</v>
      </c>
      <c r="I638">
        <v>10836</v>
      </c>
      <c r="J638">
        <v>0.1</v>
      </c>
      <c r="K638">
        <v>19504.8</v>
      </c>
      <c r="L638">
        <v>3983.61</v>
      </c>
    </row>
    <row r="639" spans="1:12" x14ac:dyDescent="0.3">
      <c r="A639" t="s">
        <v>871</v>
      </c>
      <c r="B639" s="3">
        <v>45763</v>
      </c>
      <c r="C639" t="s">
        <v>263</v>
      </c>
      <c r="D639" t="s">
        <v>92</v>
      </c>
      <c r="E639" t="s">
        <v>51</v>
      </c>
      <c r="F639" t="s">
        <v>58</v>
      </c>
      <c r="G639" t="s">
        <v>59</v>
      </c>
      <c r="H639">
        <v>2</v>
      </c>
      <c r="I639">
        <v>22009</v>
      </c>
      <c r="J639">
        <v>0</v>
      </c>
      <c r="K639">
        <v>44018</v>
      </c>
      <c r="L639">
        <v>7295.05</v>
      </c>
    </row>
    <row r="640" spans="1:12" x14ac:dyDescent="0.3">
      <c r="A640" t="s">
        <v>872</v>
      </c>
      <c r="B640" s="3">
        <v>45913</v>
      </c>
      <c r="C640" t="s">
        <v>391</v>
      </c>
      <c r="D640" t="s">
        <v>80</v>
      </c>
      <c r="E640" t="s">
        <v>51</v>
      </c>
      <c r="F640" t="s">
        <v>21</v>
      </c>
      <c r="G640" t="s">
        <v>35</v>
      </c>
      <c r="H640">
        <v>5</v>
      </c>
      <c r="I640">
        <v>46298</v>
      </c>
      <c r="J640">
        <v>0.05</v>
      </c>
      <c r="K640">
        <v>219915.5</v>
      </c>
      <c r="L640">
        <v>31241.51</v>
      </c>
    </row>
    <row r="641" spans="1:12" x14ac:dyDescent="0.3">
      <c r="A641" t="s">
        <v>873</v>
      </c>
      <c r="B641" s="3">
        <v>45661</v>
      </c>
      <c r="C641" t="s">
        <v>255</v>
      </c>
      <c r="D641" t="s">
        <v>92</v>
      </c>
      <c r="E641" t="s">
        <v>51</v>
      </c>
      <c r="F641" t="s">
        <v>21</v>
      </c>
      <c r="G641" t="s">
        <v>55</v>
      </c>
      <c r="H641">
        <v>4</v>
      </c>
      <c r="I641">
        <v>9752</v>
      </c>
      <c r="J641">
        <v>0.05</v>
      </c>
      <c r="K641">
        <v>37057.599999999999</v>
      </c>
      <c r="L641">
        <v>5967.37</v>
      </c>
    </row>
    <row r="642" spans="1:12" x14ac:dyDescent="0.3">
      <c r="A642" t="s">
        <v>874</v>
      </c>
      <c r="B642" s="3">
        <v>45966</v>
      </c>
      <c r="C642" t="s">
        <v>473</v>
      </c>
      <c r="D642" t="s">
        <v>88</v>
      </c>
      <c r="E642" t="s">
        <v>73</v>
      </c>
      <c r="F642" t="s">
        <v>58</v>
      </c>
      <c r="G642" t="s">
        <v>126</v>
      </c>
      <c r="H642">
        <v>1</v>
      </c>
      <c r="I642">
        <v>574</v>
      </c>
      <c r="J642">
        <v>0</v>
      </c>
      <c r="K642">
        <v>5574</v>
      </c>
      <c r="L642">
        <v>83.37</v>
      </c>
    </row>
    <row r="643" spans="1:12" x14ac:dyDescent="0.3">
      <c r="A643" t="s">
        <v>875</v>
      </c>
      <c r="B643" s="3">
        <v>45864</v>
      </c>
      <c r="C643" t="s">
        <v>240</v>
      </c>
      <c r="D643" t="s">
        <v>47</v>
      </c>
      <c r="E643" t="s">
        <v>26</v>
      </c>
      <c r="F643" t="s">
        <v>58</v>
      </c>
      <c r="G643" t="s">
        <v>59</v>
      </c>
      <c r="H643">
        <v>1</v>
      </c>
      <c r="I643">
        <v>20865</v>
      </c>
      <c r="J643">
        <v>0.05</v>
      </c>
      <c r="K643">
        <v>19821.75</v>
      </c>
      <c r="L643">
        <v>2732.4</v>
      </c>
    </row>
    <row r="644" spans="1:12" x14ac:dyDescent="0.3">
      <c r="A644" t="s">
        <v>876</v>
      </c>
      <c r="B644" s="3">
        <v>46004</v>
      </c>
      <c r="C644" t="s">
        <v>346</v>
      </c>
      <c r="D644" t="s">
        <v>92</v>
      </c>
      <c r="E644" t="s">
        <v>51</v>
      </c>
      <c r="F644" t="s">
        <v>58</v>
      </c>
      <c r="G644" t="s">
        <v>59</v>
      </c>
      <c r="H644">
        <v>4</v>
      </c>
      <c r="I644">
        <v>18235</v>
      </c>
      <c r="J644">
        <v>0.1</v>
      </c>
      <c r="K644">
        <v>65646</v>
      </c>
      <c r="L644">
        <v>5470.42</v>
      </c>
    </row>
    <row r="645" spans="1:12" x14ac:dyDescent="0.3">
      <c r="A645" t="s">
        <v>877</v>
      </c>
      <c r="B645" s="3">
        <v>45981</v>
      </c>
      <c r="C645" t="s">
        <v>878</v>
      </c>
      <c r="D645" t="s">
        <v>72</v>
      </c>
      <c r="E645" t="s">
        <v>73</v>
      </c>
      <c r="F645" t="s">
        <v>58</v>
      </c>
      <c r="G645" t="s">
        <v>59</v>
      </c>
      <c r="H645">
        <v>2</v>
      </c>
      <c r="I645">
        <v>257</v>
      </c>
      <c r="J645">
        <v>0.1</v>
      </c>
      <c r="K645">
        <v>462.6</v>
      </c>
      <c r="L645">
        <v>98.2</v>
      </c>
    </row>
    <row r="646" spans="1:12" x14ac:dyDescent="0.3">
      <c r="A646" t="s">
        <v>879</v>
      </c>
      <c r="B646" s="3">
        <v>45755</v>
      </c>
      <c r="C646" t="s">
        <v>440</v>
      </c>
      <c r="D646" t="s">
        <v>72</v>
      </c>
      <c r="E646" t="s">
        <v>73</v>
      </c>
      <c r="F646" t="s">
        <v>16</v>
      </c>
      <c r="G646" t="s">
        <v>17</v>
      </c>
      <c r="H646">
        <v>3</v>
      </c>
      <c r="I646">
        <v>694</v>
      </c>
      <c r="J646">
        <v>0.05</v>
      </c>
      <c r="K646">
        <v>1977.9</v>
      </c>
      <c r="L646">
        <v>370.32</v>
      </c>
    </row>
    <row r="647" spans="1:12" x14ac:dyDescent="0.3">
      <c r="A647" t="s">
        <v>880</v>
      </c>
      <c r="B647" s="3">
        <v>45852</v>
      </c>
      <c r="C647" t="s">
        <v>427</v>
      </c>
      <c r="D647" t="s">
        <v>20</v>
      </c>
      <c r="E647" t="s">
        <v>15</v>
      </c>
      <c r="F647" t="s">
        <v>21</v>
      </c>
      <c r="G647" t="s">
        <v>55</v>
      </c>
      <c r="H647">
        <v>2</v>
      </c>
      <c r="I647">
        <v>5915</v>
      </c>
      <c r="J647">
        <v>0.15</v>
      </c>
      <c r="K647">
        <v>10055.5</v>
      </c>
      <c r="L647">
        <v>1770.89</v>
      </c>
    </row>
    <row r="648" spans="1:12" x14ac:dyDescent="0.3">
      <c r="A648" t="s">
        <v>881</v>
      </c>
      <c r="B648" s="3">
        <v>45701</v>
      </c>
      <c r="C648" t="s">
        <v>456</v>
      </c>
      <c r="D648" t="s">
        <v>103</v>
      </c>
      <c r="E648" t="s">
        <v>51</v>
      </c>
      <c r="F648" t="s">
        <v>21</v>
      </c>
      <c r="G648" t="s">
        <v>22</v>
      </c>
      <c r="H648">
        <v>1</v>
      </c>
      <c r="I648">
        <v>7646</v>
      </c>
      <c r="J648">
        <v>0.1</v>
      </c>
      <c r="K648">
        <v>6881.4</v>
      </c>
      <c r="L648">
        <v>625.66999999999996</v>
      </c>
    </row>
    <row r="649" spans="1:12" x14ac:dyDescent="0.3">
      <c r="A649" t="s">
        <v>882</v>
      </c>
      <c r="B649" s="3">
        <v>45694</v>
      </c>
      <c r="C649" t="s">
        <v>798</v>
      </c>
      <c r="D649" t="s">
        <v>14</v>
      </c>
      <c r="E649" t="s">
        <v>15</v>
      </c>
      <c r="F649" t="s">
        <v>16</v>
      </c>
      <c r="G649" t="s">
        <v>52</v>
      </c>
      <c r="H649">
        <v>3</v>
      </c>
      <c r="I649">
        <v>9659</v>
      </c>
      <c r="J649">
        <v>0</v>
      </c>
      <c r="K649">
        <v>28977</v>
      </c>
      <c r="L649">
        <v>3066.18</v>
      </c>
    </row>
    <row r="650" spans="1:12" x14ac:dyDescent="0.3">
      <c r="A650" t="s">
        <v>883</v>
      </c>
      <c r="B650" s="3">
        <v>45906</v>
      </c>
      <c r="C650" t="s">
        <v>731</v>
      </c>
      <c r="D650" t="s">
        <v>88</v>
      </c>
      <c r="E650" t="s">
        <v>73</v>
      </c>
      <c r="F650" t="s">
        <v>58</v>
      </c>
      <c r="G650" t="s">
        <v>59</v>
      </c>
      <c r="H650">
        <v>1</v>
      </c>
      <c r="I650">
        <v>266</v>
      </c>
      <c r="J650">
        <v>0.2</v>
      </c>
      <c r="K650">
        <v>212.8</v>
      </c>
      <c r="L650">
        <v>31.62</v>
      </c>
    </row>
    <row r="651" spans="1:12" x14ac:dyDescent="0.3">
      <c r="A651" t="s">
        <v>884</v>
      </c>
      <c r="B651" s="3">
        <v>45667</v>
      </c>
      <c r="C651" t="s">
        <v>33</v>
      </c>
      <c r="D651" t="s">
        <v>14</v>
      </c>
      <c r="E651" t="s">
        <v>15</v>
      </c>
      <c r="F651" t="s">
        <v>58</v>
      </c>
      <c r="G651" t="s">
        <v>59</v>
      </c>
      <c r="H651">
        <v>3</v>
      </c>
      <c r="I651">
        <v>17805</v>
      </c>
      <c r="J651">
        <v>0</v>
      </c>
      <c r="K651">
        <v>53415</v>
      </c>
      <c r="L651">
        <v>5306.19</v>
      </c>
    </row>
    <row r="652" spans="1:12" x14ac:dyDescent="0.3">
      <c r="A652" t="s">
        <v>885</v>
      </c>
      <c r="B652" s="3">
        <v>45870</v>
      </c>
      <c r="C652" t="s">
        <v>61</v>
      </c>
      <c r="D652" t="s">
        <v>68</v>
      </c>
      <c r="E652" t="s">
        <v>44</v>
      </c>
      <c r="F652" t="s">
        <v>58</v>
      </c>
      <c r="G652" t="s">
        <v>69</v>
      </c>
      <c r="H652">
        <v>1</v>
      </c>
      <c r="I652">
        <v>2092</v>
      </c>
      <c r="J652">
        <v>0</v>
      </c>
      <c r="K652">
        <v>2092</v>
      </c>
      <c r="L652">
        <v>246.35</v>
      </c>
    </row>
    <row r="653" spans="1:12" x14ac:dyDescent="0.3">
      <c r="A653" t="s">
        <v>886</v>
      </c>
      <c r="B653" s="3">
        <v>45804</v>
      </c>
      <c r="C653" t="s">
        <v>111</v>
      </c>
      <c r="D653" t="s">
        <v>25</v>
      </c>
      <c r="E653" t="s">
        <v>26</v>
      </c>
      <c r="F653" t="s">
        <v>16</v>
      </c>
      <c r="G653" t="s">
        <v>17</v>
      </c>
      <c r="H653">
        <v>3</v>
      </c>
      <c r="I653">
        <v>6126</v>
      </c>
      <c r="J653">
        <v>0.15</v>
      </c>
      <c r="K653">
        <v>15621.3</v>
      </c>
      <c r="L653">
        <v>4040.62</v>
      </c>
    </row>
    <row r="654" spans="1:12" x14ac:dyDescent="0.3">
      <c r="A654" t="s">
        <v>887</v>
      </c>
      <c r="B654" s="3">
        <v>45752</v>
      </c>
      <c r="C654" t="s">
        <v>189</v>
      </c>
      <c r="D654" t="s">
        <v>25</v>
      </c>
      <c r="E654" t="s">
        <v>26</v>
      </c>
      <c r="F654" t="s">
        <v>21</v>
      </c>
      <c r="G654" t="s">
        <v>55</v>
      </c>
      <c r="H654">
        <v>4</v>
      </c>
      <c r="I654">
        <v>16727</v>
      </c>
      <c r="J654">
        <v>0.05</v>
      </c>
      <c r="K654">
        <v>63562.6</v>
      </c>
      <c r="L654">
        <v>12904.09</v>
      </c>
    </row>
    <row r="655" spans="1:12" x14ac:dyDescent="0.3">
      <c r="A655" t="s">
        <v>888</v>
      </c>
      <c r="B655" s="3">
        <v>45839</v>
      </c>
      <c r="C655" t="s">
        <v>231</v>
      </c>
      <c r="D655" t="s">
        <v>120</v>
      </c>
      <c r="E655" t="s">
        <v>51</v>
      </c>
      <c r="F655" t="s">
        <v>21</v>
      </c>
      <c r="G655" t="s">
        <v>55</v>
      </c>
      <c r="H655">
        <v>4</v>
      </c>
      <c r="I655">
        <v>873</v>
      </c>
      <c r="J655">
        <v>0.1</v>
      </c>
      <c r="K655">
        <v>3142.8</v>
      </c>
      <c r="L655">
        <v>455.28</v>
      </c>
    </row>
    <row r="656" spans="1:12" x14ac:dyDescent="0.3">
      <c r="A656" t="s">
        <v>889</v>
      </c>
      <c r="B656" s="3">
        <v>45934</v>
      </c>
      <c r="C656" t="s">
        <v>199</v>
      </c>
      <c r="D656" t="s">
        <v>80</v>
      </c>
      <c r="E656" t="s">
        <v>51</v>
      </c>
      <c r="F656" t="s">
        <v>58</v>
      </c>
      <c r="G656" t="s">
        <v>126</v>
      </c>
      <c r="H656">
        <v>1</v>
      </c>
      <c r="I656">
        <v>62902</v>
      </c>
      <c r="J656">
        <v>0.15</v>
      </c>
      <c r="K656">
        <v>53466.7</v>
      </c>
      <c r="L656">
        <v>8102.93</v>
      </c>
    </row>
    <row r="657" spans="1:12" x14ac:dyDescent="0.3">
      <c r="A657" t="s">
        <v>890</v>
      </c>
      <c r="B657" s="3">
        <v>45841</v>
      </c>
      <c r="C657" t="s">
        <v>535</v>
      </c>
      <c r="D657" t="s">
        <v>120</v>
      </c>
      <c r="E657" t="s">
        <v>51</v>
      </c>
      <c r="F657" t="s">
        <v>58</v>
      </c>
      <c r="G657" t="s">
        <v>69</v>
      </c>
      <c r="H657">
        <v>5</v>
      </c>
      <c r="I657">
        <v>2100</v>
      </c>
      <c r="J657">
        <v>0.05</v>
      </c>
      <c r="K657">
        <v>9975</v>
      </c>
      <c r="L657">
        <v>1936.85</v>
      </c>
    </row>
    <row r="658" spans="1:12" x14ac:dyDescent="0.3">
      <c r="A658" t="s">
        <v>891</v>
      </c>
      <c r="B658" s="3">
        <v>45868</v>
      </c>
      <c r="C658" t="s">
        <v>351</v>
      </c>
      <c r="D658" t="s">
        <v>83</v>
      </c>
      <c r="E658" t="s">
        <v>73</v>
      </c>
      <c r="F658" t="s">
        <v>27</v>
      </c>
      <c r="G658" t="s">
        <v>31</v>
      </c>
      <c r="H658">
        <v>2</v>
      </c>
      <c r="I658">
        <v>621</v>
      </c>
      <c r="J658">
        <v>0.1</v>
      </c>
      <c r="K658">
        <v>1117.8</v>
      </c>
      <c r="L658">
        <v>300.10000000000002</v>
      </c>
    </row>
    <row r="659" spans="1:12" x14ac:dyDescent="0.3">
      <c r="A659" t="s">
        <v>892</v>
      </c>
      <c r="B659" s="3">
        <v>45757</v>
      </c>
      <c r="C659" t="s">
        <v>251</v>
      </c>
      <c r="D659" t="s">
        <v>92</v>
      </c>
      <c r="E659" t="s">
        <v>51</v>
      </c>
      <c r="F659" t="s">
        <v>16</v>
      </c>
      <c r="G659" t="s">
        <v>104</v>
      </c>
      <c r="H659">
        <v>3</v>
      </c>
      <c r="I659">
        <v>12410</v>
      </c>
      <c r="J659">
        <v>0.15</v>
      </c>
      <c r="K659">
        <v>31645.5</v>
      </c>
      <c r="L659">
        <v>8581.27</v>
      </c>
    </row>
    <row r="660" spans="1:12" x14ac:dyDescent="0.3">
      <c r="A660" t="s">
        <v>893</v>
      </c>
      <c r="B660" s="3">
        <v>45854</v>
      </c>
      <c r="C660" t="s">
        <v>94</v>
      </c>
      <c r="D660" t="s">
        <v>43</v>
      </c>
      <c r="E660" t="s">
        <v>44</v>
      </c>
      <c r="F660" t="s">
        <v>58</v>
      </c>
      <c r="G660" t="s">
        <v>69</v>
      </c>
      <c r="H660">
        <v>1</v>
      </c>
      <c r="I660">
        <v>1314</v>
      </c>
      <c r="J660">
        <v>0</v>
      </c>
      <c r="K660">
        <v>1314</v>
      </c>
      <c r="L660">
        <v>176.51</v>
      </c>
    </row>
    <row r="661" spans="1:12" x14ac:dyDescent="0.3">
      <c r="A661" t="s">
        <v>894</v>
      </c>
      <c r="B661" s="3">
        <v>45868</v>
      </c>
      <c r="C661" t="s">
        <v>46</v>
      </c>
      <c r="D661" t="s">
        <v>307</v>
      </c>
      <c r="E661" t="s">
        <v>73</v>
      </c>
      <c r="F661" t="s">
        <v>27</v>
      </c>
      <c r="G661" t="s">
        <v>28</v>
      </c>
      <c r="H661">
        <v>2</v>
      </c>
      <c r="I661">
        <v>217</v>
      </c>
      <c r="J661">
        <v>0.15</v>
      </c>
      <c r="K661">
        <v>368.9</v>
      </c>
      <c r="L661">
        <v>42.09</v>
      </c>
    </row>
    <row r="662" spans="1:12" x14ac:dyDescent="0.3">
      <c r="A662" t="s">
        <v>895</v>
      </c>
      <c r="B662" s="3">
        <v>45845</v>
      </c>
      <c r="C662" t="s">
        <v>492</v>
      </c>
      <c r="D662" t="s">
        <v>20</v>
      </c>
      <c r="E662" t="s">
        <v>15</v>
      </c>
      <c r="F662" t="s">
        <v>58</v>
      </c>
      <c r="G662" t="s">
        <v>59</v>
      </c>
      <c r="H662">
        <v>3</v>
      </c>
      <c r="I662">
        <v>11341</v>
      </c>
      <c r="J662">
        <v>0.05</v>
      </c>
      <c r="K662">
        <v>32321.85</v>
      </c>
      <c r="L662">
        <v>7821.75</v>
      </c>
    </row>
    <row r="663" spans="1:12" x14ac:dyDescent="0.3">
      <c r="A663" t="s">
        <v>896</v>
      </c>
      <c r="B663" s="3">
        <v>45704</v>
      </c>
      <c r="C663" t="s">
        <v>897</v>
      </c>
      <c r="D663" t="s">
        <v>103</v>
      </c>
      <c r="E663" t="s">
        <v>51</v>
      </c>
      <c r="F663" t="s">
        <v>58</v>
      </c>
      <c r="G663" t="s">
        <v>69</v>
      </c>
      <c r="H663">
        <v>1</v>
      </c>
      <c r="I663">
        <v>2646</v>
      </c>
      <c r="J663">
        <v>0</v>
      </c>
      <c r="K663">
        <v>2646</v>
      </c>
      <c r="L663">
        <v>483.09</v>
      </c>
    </row>
    <row r="664" spans="1:12" x14ac:dyDescent="0.3">
      <c r="A664" t="s">
        <v>898</v>
      </c>
      <c r="B664" s="3">
        <v>45824</v>
      </c>
      <c r="C664" t="s">
        <v>458</v>
      </c>
      <c r="D664" t="s">
        <v>202</v>
      </c>
      <c r="E664" t="s">
        <v>44</v>
      </c>
      <c r="F664" t="s">
        <v>21</v>
      </c>
      <c r="G664" t="s">
        <v>55</v>
      </c>
      <c r="H664">
        <v>4</v>
      </c>
      <c r="I664">
        <v>1535</v>
      </c>
      <c r="J664">
        <v>0.05</v>
      </c>
      <c r="K664">
        <v>5833</v>
      </c>
      <c r="L664">
        <v>1546.71</v>
      </c>
    </row>
    <row r="665" spans="1:12" x14ac:dyDescent="0.3">
      <c r="A665" t="s">
        <v>899</v>
      </c>
      <c r="B665" s="3">
        <v>45858</v>
      </c>
      <c r="C665" t="s">
        <v>900</v>
      </c>
      <c r="D665" t="s">
        <v>34</v>
      </c>
      <c r="E665" t="s">
        <v>15</v>
      </c>
      <c r="F665" t="s">
        <v>21</v>
      </c>
      <c r="G665" t="s">
        <v>55</v>
      </c>
      <c r="H665">
        <v>1</v>
      </c>
      <c r="I665">
        <v>24401</v>
      </c>
      <c r="J665">
        <v>0.2</v>
      </c>
      <c r="K665">
        <v>19520.8</v>
      </c>
      <c r="L665">
        <v>2528.46</v>
      </c>
    </row>
    <row r="666" spans="1:12" x14ac:dyDescent="0.3">
      <c r="A666" t="s">
        <v>901</v>
      </c>
      <c r="B666" s="3">
        <v>45861</v>
      </c>
      <c r="C666" t="s">
        <v>217</v>
      </c>
      <c r="D666" t="s">
        <v>43</v>
      </c>
      <c r="E666" t="s">
        <v>44</v>
      </c>
      <c r="F666" t="s">
        <v>21</v>
      </c>
      <c r="G666" t="s">
        <v>35</v>
      </c>
      <c r="H666">
        <v>1</v>
      </c>
      <c r="I666">
        <v>508</v>
      </c>
      <c r="J666">
        <v>0.05</v>
      </c>
      <c r="K666">
        <v>482.6</v>
      </c>
      <c r="L666">
        <v>50.15</v>
      </c>
    </row>
    <row r="667" spans="1:12" x14ac:dyDescent="0.3">
      <c r="A667" t="s">
        <v>902</v>
      </c>
      <c r="B667" s="3">
        <v>45658</v>
      </c>
      <c r="C667" t="s">
        <v>371</v>
      </c>
      <c r="D667" t="s">
        <v>120</v>
      </c>
      <c r="E667" t="s">
        <v>51</v>
      </c>
      <c r="F667" t="s">
        <v>16</v>
      </c>
      <c r="G667" t="s">
        <v>52</v>
      </c>
      <c r="H667">
        <v>3</v>
      </c>
      <c r="I667">
        <v>486</v>
      </c>
      <c r="J667">
        <v>0.2</v>
      </c>
      <c r="K667">
        <v>1166.4000000000001</v>
      </c>
      <c r="L667">
        <v>259.20999999999998</v>
      </c>
    </row>
    <row r="668" spans="1:12" x14ac:dyDescent="0.3">
      <c r="A668" t="s">
        <v>903</v>
      </c>
      <c r="B668" s="3">
        <v>45731</v>
      </c>
      <c r="C668" t="s">
        <v>451</v>
      </c>
      <c r="D668" t="s">
        <v>20</v>
      </c>
      <c r="E668" t="s">
        <v>15</v>
      </c>
      <c r="F668" t="s">
        <v>16</v>
      </c>
      <c r="G668" t="s">
        <v>104</v>
      </c>
      <c r="H668">
        <v>2</v>
      </c>
      <c r="I668">
        <v>12051</v>
      </c>
      <c r="J668">
        <v>0.15</v>
      </c>
      <c r="K668">
        <v>20486.7</v>
      </c>
      <c r="L668">
        <v>3298.8</v>
      </c>
    </row>
    <row r="669" spans="1:12" x14ac:dyDescent="0.3">
      <c r="A669" t="s">
        <v>904</v>
      </c>
      <c r="B669" s="3">
        <v>45776</v>
      </c>
      <c r="C669" t="s">
        <v>458</v>
      </c>
      <c r="D669" t="s">
        <v>72</v>
      </c>
      <c r="E669" t="s">
        <v>73</v>
      </c>
      <c r="F669" t="s">
        <v>16</v>
      </c>
      <c r="G669" t="s">
        <v>17</v>
      </c>
      <c r="H669">
        <v>1</v>
      </c>
      <c r="I669">
        <v>717</v>
      </c>
      <c r="J669">
        <v>0.25</v>
      </c>
      <c r="K669">
        <v>537.75</v>
      </c>
      <c r="L669">
        <v>72.95</v>
      </c>
    </row>
    <row r="670" spans="1:12" x14ac:dyDescent="0.3">
      <c r="A670" t="s">
        <v>905</v>
      </c>
      <c r="B670" s="3">
        <v>46014</v>
      </c>
      <c r="C670" t="s">
        <v>134</v>
      </c>
      <c r="D670" t="s">
        <v>68</v>
      </c>
      <c r="E670" t="s">
        <v>44</v>
      </c>
      <c r="F670" t="s">
        <v>27</v>
      </c>
      <c r="G670" t="s">
        <v>40</v>
      </c>
      <c r="H670">
        <v>2</v>
      </c>
      <c r="I670">
        <v>3149</v>
      </c>
      <c r="J670">
        <v>0</v>
      </c>
      <c r="K670">
        <v>6298</v>
      </c>
      <c r="L670">
        <v>1704.63</v>
      </c>
    </row>
    <row r="671" spans="1:12" x14ac:dyDescent="0.3">
      <c r="A671" t="s">
        <v>906</v>
      </c>
      <c r="B671" s="3">
        <v>45664</v>
      </c>
      <c r="C671" t="s">
        <v>61</v>
      </c>
      <c r="D671" t="s">
        <v>103</v>
      </c>
      <c r="E671" t="s">
        <v>51</v>
      </c>
      <c r="F671" t="s">
        <v>21</v>
      </c>
      <c r="G671" t="s">
        <v>35</v>
      </c>
      <c r="H671">
        <v>1</v>
      </c>
      <c r="I671">
        <v>8046</v>
      </c>
      <c r="J671">
        <v>0</v>
      </c>
      <c r="K671">
        <v>8046</v>
      </c>
      <c r="L671">
        <v>1794.84</v>
      </c>
    </row>
    <row r="672" spans="1:12" x14ac:dyDescent="0.3">
      <c r="A672" t="s">
        <v>907</v>
      </c>
      <c r="B672" s="3">
        <v>45876</v>
      </c>
      <c r="C672" t="s">
        <v>71</v>
      </c>
      <c r="D672" t="s">
        <v>103</v>
      </c>
      <c r="E672" t="s">
        <v>51</v>
      </c>
      <c r="F672" t="s">
        <v>21</v>
      </c>
      <c r="G672" t="s">
        <v>55</v>
      </c>
      <c r="H672">
        <v>2</v>
      </c>
      <c r="I672">
        <v>2287</v>
      </c>
      <c r="J672">
        <v>0.15</v>
      </c>
      <c r="K672">
        <v>3887.9</v>
      </c>
      <c r="L672">
        <v>988.76</v>
      </c>
    </row>
    <row r="673" spans="1:12" x14ac:dyDescent="0.3">
      <c r="A673" t="s">
        <v>908</v>
      </c>
      <c r="B673" s="3">
        <v>45948</v>
      </c>
      <c r="C673" t="s">
        <v>468</v>
      </c>
      <c r="D673" t="s">
        <v>14</v>
      </c>
      <c r="E673" t="s">
        <v>15</v>
      </c>
      <c r="F673" t="s">
        <v>21</v>
      </c>
      <c r="G673" t="s">
        <v>55</v>
      </c>
      <c r="H673">
        <v>1</v>
      </c>
      <c r="I673">
        <v>12071</v>
      </c>
      <c r="J673">
        <v>0.15</v>
      </c>
      <c r="K673">
        <v>10260.35</v>
      </c>
      <c r="L673">
        <v>2582.17</v>
      </c>
    </row>
    <row r="674" spans="1:12" x14ac:dyDescent="0.3">
      <c r="A674" t="s">
        <v>909</v>
      </c>
      <c r="B674" s="3">
        <v>46012</v>
      </c>
      <c r="C674" t="s">
        <v>33</v>
      </c>
      <c r="D674" t="s">
        <v>80</v>
      </c>
      <c r="E674" t="s">
        <v>51</v>
      </c>
      <c r="F674" t="s">
        <v>21</v>
      </c>
      <c r="G674" t="s">
        <v>35</v>
      </c>
      <c r="H674">
        <v>2</v>
      </c>
      <c r="I674">
        <v>84718</v>
      </c>
      <c r="J674">
        <v>0.15</v>
      </c>
      <c r="K674">
        <v>144020.6</v>
      </c>
      <c r="L674">
        <v>18026.759999999998</v>
      </c>
    </row>
    <row r="675" spans="1:12" x14ac:dyDescent="0.3">
      <c r="A675" t="s">
        <v>910</v>
      </c>
      <c r="B675" s="3">
        <v>45764</v>
      </c>
      <c r="C675" t="s">
        <v>337</v>
      </c>
      <c r="D675" t="s">
        <v>307</v>
      </c>
      <c r="E675" t="s">
        <v>73</v>
      </c>
      <c r="F675" t="s">
        <v>27</v>
      </c>
      <c r="G675" t="s">
        <v>31</v>
      </c>
      <c r="H675">
        <v>3</v>
      </c>
      <c r="I675">
        <v>189</v>
      </c>
      <c r="J675">
        <v>0.05</v>
      </c>
      <c r="K675">
        <v>538.65</v>
      </c>
      <c r="L675">
        <v>121.41</v>
      </c>
    </row>
    <row r="676" spans="1:12" x14ac:dyDescent="0.3">
      <c r="A676" t="s">
        <v>911</v>
      </c>
      <c r="B676" s="3">
        <v>45838</v>
      </c>
      <c r="C676" t="s">
        <v>172</v>
      </c>
      <c r="D676" t="s">
        <v>97</v>
      </c>
      <c r="E676" t="s">
        <v>44</v>
      </c>
      <c r="F676" t="s">
        <v>58</v>
      </c>
      <c r="G676" t="s">
        <v>126</v>
      </c>
      <c r="H676">
        <v>2</v>
      </c>
      <c r="I676">
        <v>755</v>
      </c>
      <c r="J676">
        <v>0.05</v>
      </c>
      <c r="K676">
        <v>1434.5</v>
      </c>
      <c r="L676">
        <v>228.6</v>
      </c>
    </row>
    <row r="677" spans="1:12" x14ac:dyDescent="0.3">
      <c r="A677" t="s">
        <v>912</v>
      </c>
      <c r="B677" s="3">
        <v>45662</v>
      </c>
      <c r="C677" t="s">
        <v>321</v>
      </c>
      <c r="D677" t="s">
        <v>47</v>
      </c>
      <c r="E677" t="s">
        <v>26</v>
      </c>
      <c r="F677" t="s">
        <v>16</v>
      </c>
      <c r="G677" t="s">
        <v>17</v>
      </c>
      <c r="H677">
        <v>2</v>
      </c>
      <c r="I677">
        <v>17833</v>
      </c>
      <c r="J677">
        <v>0</v>
      </c>
      <c r="K677">
        <v>35666</v>
      </c>
      <c r="L677">
        <v>6754.29</v>
      </c>
    </row>
    <row r="678" spans="1:12" x14ac:dyDescent="0.3">
      <c r="A678" t="s">
        <v>913</v>
      </c>
      <c r="B678" s="3">
        <v>45894</v>
      </c>
      <c r="C678" t="s">
        <v>211</v>
      </c>
      <c r="D678" t="s">
        <v>65</v>
      </c>
      <c r="E678" t="s">
        <v>26</v>
      </c>
      <c r="F678" t="s">
        <v>16</v>
      </c>
      <c r="G678" t="s">
        <v>17</v>
      </c>
      <c r="H678">
        <v>2</v>
      </c>
      <c r="I678">
        <v>2224</v>
      </c>
      <c r="J678">
        <v>0</v>
      </c>
      <c r="K678">
        <v>4448</v>
      </c>
      <c r="L678">
        <v>804.32</v>
      </c>
    </row>
    <row r="679" spans="1:12" x14ac:dyDescent="0.3">
      <c r="A679" t="s">
        <v>914</v>
      </c>
      <c r="B679" s="3">
        <v>45802</v>
      </c>
      <c r="C679" t="s">
        <v>551</v>
      </c>
      <c r="D679" t="s">
        <v>20</v>
      </c>
      <c r="E679" t="s">
        <v>15</v>
      </c>
      <c r="F679" t="s">
        <v>16</v>
      </c>
      <c r="G679" t="s">
        <v>17</v>
      </c>
      <c r="H679">
        <v>2</v>
      </c>
      <c r="I679">
        <v>6799</v>
      </c>
      <c r="J679">
        <v>0.05</v>
      </c>
      <c r="K679">
        <v>12918.1</v>
      </c>
      <c r="L679">
        <v>2638.15</v>
      </c>
    </row>
    <row r="680" spans="1:12" x14ac:dyDescent="0.3">
      <c r="A680" t="s">
        <v>915</v>
      </c>
      <c r="B680" s="3">
        <v>45992</v>
      </c>
      <c r="C680" t="s">
        <v>300</v>
      </c>
      <c r="D680" t="s">
        <v>307</v>
      </c>
      <c r="E680" t="s">
        <v>73</v>
      </c>
      <c r="F680" t="s">
        <v>21</v>
      </c>
      <c r="G680" t="s">
        <v>35</v>
      </c>
      <c r="H680">
        <v>2</v>
      </c>
      <c r="I680">
        <v>389</v>
      </c>
      <c r="J680">
        <v>0.1</v>
      </c>
      <c r="K680">
        <v>700.2</v>
      </c>
      <c r="L680">
        <v>146.54</v>
      </c>
    </row>
    <row r="681" spans="1:12" x14ac:dyDescent="0.3">
      <c r="A681" t="s">
        <v>916</v>
      </c>
      <c r="B681" s="3">
        <v>45823</v>
      </c>
      <c r="C681" t="s">
        <v>597</v>
      </c>
      <c r="D681" t="s">
        <v>83</v>
      </c>
      <c r="E681" t="s">
        <v>73</v>
      </c>
      <c r="F681" t="s">
        <v>16</v>
      </c>
      <c r="G681" t="s">
        <v>104</v>
      </c>
      <c r="H681">
        <v>1</v>
      </c>
      <c r="I681">
        <v>813</v>
      </c>
      <c r="J681">
        <v>0.1</v>
      </c>
      <c r="K681">
        <v>731.7</v>
      </c>
      <c r="L681">
        <v>101.93</v>
      </c>
    </row>
    <row r="682" spans="1:12" x14ac:dyDescent="0.3">
      <c r="A682" t="s">
        <v>917</v>
      </c>
      <c r="B682" s="3">
        <v>45882</v>
      </c>
      <c r="C682" t="s">
        <v>165</v>
      </c>
      <c r="D682" t="s">
        <v>120</v>
      </c>
      <c r="E682" t="s">
        <v>51</v>
      </c>
      <c r="F682" t="s">
        <v>27</v>
      </c>
      <c r="G682" t="s">
        <v>31</v>
      </c>
      <c r="H682">
        <v>1</v>
      </c>
      <c r="I682">
        <v>1453</v>
      </c>
      <c r="J682">
        <v>0.1</v>
      </c>
      <c r="K682">
        <v>1307.7</v>
      </c>
      <c r="L682">
        <v>241.71</v>
      </c>
    </row>
    <row r="683" spans="1:12" x14ac:dyDescent="0.3">
      <c r="A683" t="s">
        <v>918</v>
      </c>
      <c r="B683" s="3">
        <v>45749</v>
      </c>
      <c r="C683" t="s">
        <v>116</v>
      </c>
      <c r="D683" t="s">
        <v>153</v>
      </c>
      <c r="E683" t="s">
        <v>26</v>
      </c>
      <c r="F683" t="s">
        <v>58</v>
      </c>
      <c r="G683" t="s">
        <v>59</v>
      </c>
      <c r="H683">
        <v>4</v>
      </c>
      <c r="I683">
        <v>8711</v>
      </c>
      <c r="J683">
        <v>0.1</v>
      </c>
      <c r="K683">
        <v>31359.599999999999</v>
      </c>
      <c r="L683">
        <v>2980.91</v>
      </c>
    </row>
    <row r="684" spans="1:12" x14ac:dyDescent="0.3">
      <c r="A684" t="s">
        <v>919</v>
      </c>
      <c r="B684" s="3">
        <v>45704</v>
      </c>
      <c r="C684" t="s">
        <v>440</v>
      </c>
      <c r="D684" t="s">
        <v>25</v>
      </c>
      <c r="E684" t="s">
        <v>26</v>
      </c>
      <c r="F684" t="s">
        <v>21</v>
      </c>
      <c r="G684" t="s">
        <v>22</v>
      </c>
      <c r="H684">
        <v>1</v>
      </c>
      <c r="I684">
        <v>10621</v>
      </c>
      <c r="J684">
        <v>0.2</v>
      </c>
      <c r="K684">
        <v>8496.7999999999993</v>
      </c>
      <c r="L684">
        <v>1716.99</v>
      </c>
    </row>
    <row r="685" spans="1:12" x14ac:dyDescent="0.3">
      <c r="A685" t="s">
        <v>920</v>
      </c>
      <c r="B685" s="3">
        <v>45721</v>
      </c>
      <c r="C685" t="s">
        <v>71</v>
      </c>
      <c r="D685" t="s">
        <v>20</v>
      </c>
      <c r="E685" t="s">
        <v>15</v>
      </c>
      <c r="F685" t="s">
        <v>16</v>
      </c>
      <c r="G685" t="s">
        <v>17</v>
      </c>
      <c r="H685">
        <v>1</v>
      </c>
      <c r="I685">
        <v>12030</v>
      </c>
      <c r="J685">
        <v>0.05</v>
      </c>
      <c r="K685">
        <v>11428.5</v>
      </c>
      <c r="L685">
        <v>3194.66</v>
      </c>
    </row>
    <row r="686" spans="1:12" x14ac:dyDescent="0.3">
      <c r="A686" t="s">
        <v>921</v>
      </c>
      <c r="B686" s="3">
        <v>45754</v>
      </c>
      <c r="C686" t="s">
        <v>161</v>
      </c>
      <c r="D686" t="s">
        <v>83</v>
      </c>
      <c r="E686" t="s">
        <v>73</v>
      </c>
      <c r="F686" t="s">
        <v>21</v>
      </c>
      <c r="G686" t="s">
        <v>22</v>
      </c>
      <c r="H686">
        <v>5</v>
      </c>
      <c r="I686">
        <v>299</v>
      </c>
      <c r="J686">
        <v>0.05</v>
      </c>
      <c r="K686">
        <v>1420.25</v>
      </c>
      <c r="L686">
        <v>229.48</v>
      </c>
    </row>
    <row r="687" spans="1:12" x14ac:dyDescent="0.3">
      <c r="A687" t="s">
        <v>922</v>
      </c>
      <c r="B687" s="3">
        <v>45768</v>
      </c>
      <c r="C687" t="s">
        <v>274</v>
      </c>
      <c r="D687" t="s">
        <v>202</v>
      </c>
      <c r="E687" t="s">
        <v>44</v>
      </c>
      <c r="F687" t="s">
        <v>21</v>
      </c>
      <c r="G687" t="s">
        <v>22</v>
      </c>
      <c r="H687">
        <v>2</v>
      </c>
      <c r="I687">
        <v>2583</v>
      </c>
      <c r="J687">
        <v>0</v>
      </c>
      <c r="K687">
        <v>5166</v>
      </c>
      <c r="L687">
        <v>1085.05</v>
      </c>
    </row>
    <row r="688" spans="1:12" x14ac:dyDescent="0.3">
      <c r="A688" t="s">
        <v>923</v>
      </c>
      <c r="B688" s="3">
        <v>45848</v>
      </c>
      <c r="C688" t="s">
        <v>368</v>
      </c>
      <c r="D688" t="s">
        <v>88</v>
      </c>
      <c r="E688" t="s">
        <v>73</v>
      </c>
      <c r="F688" t="s">
        <v>27</v>
      </c>
      <c r="G688" t="s">
        <v>31</v>
      </c>
      <c r="H688">
        <v>1</v>
      </c>
      <c r="I688">
        <v>513</v>
      </c>
      <c r="J688">
        <v>0.1</v>
      </c>
      <c r="K688">
        <v>461.7</v>
      </c>
      <c r="L688">
        <v>79.349999999999994</v>
      </c>
    </row>
    <row r="689" spans="1:12" x14ac:dyDescent="0.3">
      <c r="A689" t="s">
        <v>924</v>
      </c>
      <c r="B689" s="3">
        <v>45846</v>
      </c>
      <c r="C689" t="s">
        <v>85</v>
      </c>
      <c r="D689" t="s">
        <v>68</v>
      </c>
      <c r="E689" t="s">
        <v>44</v>
      </c>
      <c r="F689" t="s">
        <v>21</v>
      </c>
      <c r="G689" t="s">
        <v>55</v>
      </c>
      <c r="H689">
        <v>4</v>
      </c>
      <c r="I689">
        <v>3506</v>
      </c>
      <c r="J689">
        <v>0.05</v>
      </c>
      <c r="K689">
        <v>13322.8</v>
      </c>
      <c r="L689">
        <v>3547.81</v>
      </c>
    </row>
    <row r="690" spans="1:12" x14ac:dyDescent="0.3">
      <c r="A690" t="s">
        <v>925</v>
      </c>
      <c r="B690" s="3">
        <v>45875</v>
      </c>
      <c r="C690" t="s">
        <v>670</v>
      </c>
      <c r="D690" t="s">
        <v>202</v>
      </c>
      <c r="E690" t="s">
        <v>44</v>
      </c>
      <c r="F690" t="s">
        <v>27</v>
      </c>
      <c r="G690" t="s">
        <v>28</v>
      </c>
      <c r="H690">
        <v>2</v>
      </c>
      <c r="I690">
        <v>2622</v>
      </c>
      <c r="J690">
        <v>0.1</v>
      </c>
      <c r="K690">
        <v>4719.6000000000004</v>
      </c>
      <c r="L690">
        <v>630.66999999999996</v>
      </c>
    </row>
    <row r="691" spans="1:12" x14ac:dyDescent="0.3">
      <c r="A691" t="s">
        <v>926</v>
      </c>
      <c r="B691" s="3">
        <v>45801</v>
      </c>
      <c r="C691" t="s">
        <v>199</v>
      </c>
      <c r="D691" t="s">
        <v>30</v>
      </c>
      <c r="E691" t="s">
        <v>15</v>
      </c>
      <c r="F691" t="s">
        <v>16</v>
      </c>
      <c r="G691" t="s">
        <v>52</v>
      </c>
      <c r="H691">
        <v>2</v>
      </c>
      <c r="I691">
        <v>12762</v>
      </c>
      <c r="J691">
        <v>0.2</v>
      </c>
      <c r="K691">
        <v>20419.2</v>
      </c>
      <c r="L691">
        <v>3467.33</v>
      </c>
    </row>
    <row r="692" spans="1:12" x14ac:dyDescent="0.3">
      <c r="A692" t="s">
        <v>927</v>
      </c>
      <c r="B692" s="3">
        <v>45823</v>
      </c>
      <c r="C692" t="s">
        <v>403</v>
      </c>
      <c r="D692" t="s">
        <v>25</v>
      </c>
      <c r="E692" t="s">
        <v>26</v>
      </c>
      <c r="F692" t="s">
        <v>27</v>
      </c>
      <c r="G692" t="s">
        <v>31</v>
      </c>
      <c r="H692">
        <v>2</v>
      </c>
      <c r="I692">
        <v>12873</v>
      </c>
      <c r="J692">
        <v>0</v>
      </c>
      <c r="K692">
        <v>25746</v>
      </c>
      <c r="L692">
        <v>6887.89</v>
      </c>
    </row>
    <row r="693" spans="1:12" x14ac:dyDescent="0.3">
      <c r="A693" t="s">
        <v>928</v>
      </c>
      <c r="B693" s="3">
        <v>45678</v>
      </c>
      <c r="C693" t="s">
        <v>403</v>
      </c>
      <c r="D693" t="s">
        <v>30</v>
      </c>
      <c r="E693" t="s">
        <v>15</v>
      </c>
      <c r="F693" t="s">
        <v>21</v>
      </c>
      <c r="G693" t="s">
        <v>55</v>
      </c>
      <c r="H693">
        <v>1</v>
      </c>
      <c r="I693">
        <v>10495</v>
      </c>
      <c r="J693">
        <v>0</v>
      </c>
      <c r="K693">
        <v>10495</v>
      </c>
      <c r="L693">
        <v>2352.4</v>
      </c>
    </row>
    <row r="694" spans="1:12" x14ac:dyDescent="0.3">
      <c r="A694" t="s">
        <v>929</v>
      </c>
      <c r="B694" s="3">
        <v>45750</v>
      </c>
      <c r="C694" t="s">
        <v>156</v>
      </c>
      <c r="D694" t="s">
        <v>202</v>
      </c>
      <c r="E694" t="s">
        <v>44</v>
      </c>
      <c r="F694" t="s">
        <v>27</v>
      </c>
      <c r="G694" t="s">
        <v>28</v>
      </c>
      <c r="H694">
        <v>2</v>
      </c>
      <c r="I694">
        <v>1138</v>
      </c>
      <c r="J694">
        <v>0.15</v>
      </c>
      <c r="K694">
        <v>1934.6</v>
      </c>
      <c r="L694">
        <v>380.12</v>
      </c>
    </row>
    <row r="695" spans="1:12" x14ac:dyDescent="0.3">
      <c r="A695" t="s">
        <v>930</v>
      </c>
      <c r="B695" s="3">
        <v>45999</v>
      </c>
      <c r="C695" t="s">
        <v>429</v>
      </c>
      <c r="D695" t="s">
        <v>97</v>
      </c>
      <c r="E695" t="s">
        <v>44</v>
      </c>
      <c r="F695" t="s">
        <v>27</v>
      </c>
      <c r="G695" t="s">
        <v>28</v>
      </c>
      <c r="H695">
        <v>4</v>
      </c>
      <c r="I695">
        <v>627</v>
      </c>
      <c r="J695">
        <v>0</v>
      </c>
      <c r="K695">
        <v>2508</v>
      </c>
      <c r="L695">
        <v>464.2</v>
      </c>
    </row>
    <row r="696" spans="1:12" x14ac:dyDescent="0.3">
      <c r="A696" t="s">
        <v>931</v>
      </c>
      <c r="B696" s="3">
        <v>45730</v>
      </c>
      <c r="C696" t="s">
        <v>427</v>
      </c>
      <c r="D696" t="s">
        <v>25</v>
      </c>
      <c r="E696" t="s">
        <v>26</v>
      </c>
      <c r="F696" t="s">
        <v>58</v>
      </c>
      <c r="G696" t="s">
        <v>126</v>
      </c>
      <c r="H696">
        <v>1</v>
      </c>
      <c r="I696">
        <v>17937</v>
      </c>
      <c r="J696">
        <v>0.2</v>
      </c>
      <c r="K696">
        <v>14349.6</v>
      </c>
      <c r="L696">
        <v>2412.85</v>
      </c>
    </row>
    <row r="697" spans="1:12" x14ac:dyDescent="0.3">
      <c r="A697" t="s">
        <v>932</v>
      </c>
      <c r="B697" s="3">
        <v>45878</v>
      </c>
      <c r="C697" t="s">
        <v>185</v>
      </c>
      <c r="D697" t="s">
        <v>65</v>
      </c>
      <c r="E697" t="s">
        <v>26</v>
      </c>
      <c r="F697" t="s">
        <v>21</v>
      </c>
      <c r="G697" t="s">
        <v>22</v>
      </c>
      <c r="H697">
        <v>2</v>
      </c>
      <c r="I697">
        <v>1879</v>
      </c>
      <c r="J697">
        <v>0.05</v>
      </c>
      <c r="K697">
        <v>3570.1</v>
      </c>
      <c r="L697">
        <v>375.65</v>
      </c>
    </row>
    <row r="698" spans="1:12" x14ac:dyDescent="0.3">
      <c r="A698" t="s">
        <v>933</v>
      </c>
      <c r="B698" s="3">
        <v>45786</v>
      </c>
      <c r="C698" t="s">
        <v>180</v>
      </c>
      <c r="D698" t="s">
        <v>14</v>
      </c>
      <c r="E698" t="s">
        <v>15</v>
      </c>
      <c r="F698" t="s">
        <v>58</v>
      </c>
      <c r="G698" t="s">
        <v>59</v>
      </c>
      <c r="H698">
        <v>1</v>
      </c>
      <c r="I698">
        <v>12154</v>
      </c>
      <c r="J698">
        <v>0.05</v>
      </c>
      <c r="K698">
        <v>11546.3</v>
      </c>
      <c r="L698">
        <v>1682.46</v>
      </c>
    </row>
    <row r="699" spans="1:12" x14ac:dyDescent="0.3">
      <c r="A699" t="s">
        <v>934</v>
      </c>
      <c r="B699" s="3">
        <v>45971</v>
      </c>
      <c r="C699" t="s">
        <v>274</v>
      </c>
      <c r="D699" t="s">
        <v>25</v>
      </c>
      <c r="E699" t="s">
        <v>26</v>
      </c>
      <c r="F699" t="s">
        <v>58</v>
      </c>
      <c r="G699" t="s">
        <v>69</v>
      </c>
      <c r="H699">
        <v>3</v>
      </c>
      <c r="I699">
        <v>16013</v>
      </c>
      <c r="J699">
        <v>0</v>
      </c>
      <c r="K699">
        <v>48039</v>
      </c>
      <c r="L699">
        <v>11025.15</v>
      </c>
    </row>
    <row r="700" spans="1:12" x14ac:dyDescent="0.3">
      <c r="A700" t="s">
        <v>935</v>
      </c>
      <c r="B700" s="3">
        <v>45866</v>
      </c>
      <c r="C700" t="s">
        <v>71</v>
      </c>
      <c r="D700" t="s">
        <v>43</v>
      </c>
      <c r="E700" t="s">
        <v>44</v>
      </c>
      <c r="F700" t="s">
        <v>58</v>
      </c>
      <c r="G700" t="s">
        <v>126</v>
      </c>
      <c r="H700">
        <v>2</v>
      </c>
      <c r="I700">
        <v>340</v>
      </c>
      <c r="J700">
        <v>0.2</v>
      </c>
      <c r="K700">
        <v>544</v>
      </c>
      <c r="L700">
        <v>66.36</v>
      </c>
    </row>
    <row r="701" spans="1:12" x14ac:dyDescent="0.3">
      <c r="A701" t="s">
        <v>936</v>
      </c>
      <c r="B701" s="3">
        <v>45958</v>
      </c>
      <c r="C701" t="s">
        <v>49</v>
      </c>
      <c r="D701" t="s">
        <v>88</v>
      </c>
      <c r="E701" t="s">
        <v>73</v>
      </c>
      <c r="F701" t="s">
        <v>21</v>
      </c>
      <c r="G701" t="s">
        <v>55</v>
      </c>
      <c r="H701">
        <v>4</v>
      </c>
      <c r="I701">
        <v>206</v>
      </c>
      <c r="J701">
        <v>0</v>
      </c>
      <c r="K701">
        <v>824</v>
      </c>
      <c r="L701">
        <v>191</v>
      </c>
    </row>
    <row r="702" spans="1:12" x14ac:dyDescent="0.3">
      <c r="A702" t="s">
        <v>937</v>
      </c>
      <c r="B702" s="3">
        <v>45864</v>
      </c>
      <c r="C702" t="s">
        <v>617</v>
      </c>
      <c r="D702" t="s">
        <v>50</v>
      </c>
      <c r="E702" t="s">
        <v>51</v>
      </c>
      <c r="F702" t="s">
        <v>58</v>
      </c>
      <c r="G702" t="s">
        <v>59</v>
      </c>
      <c r="H702">
        <v>1</v>
      </c>
      <c r="I702">
        <v>2645</v>
      </c>
      <c r="J702">
        <v>0.1</v>
      </c>
      <c r="K702">
        <v>2380.5</v>
      </c>
      <c r="L702">
        <v>549.80999999999995</v>
      </c>
    </row>
    <row r="703" spans="1:12" x14ac:dyDescent="0.3">
      <c r="A703" t="s">
        <v>938</v>
      </c>
      <c r="B703" s="3">
        <v>45732</v>
      </c>
      <c r="C703" t="s">
        <v>412</v>
      </c>
      <c r="D703" t="s">
        <v>97</v>
      </c>
      <c r="E703" t="s">
        <v>44</v>
      </c>
      <c r="F703" t="s">
        <v>16</v>
      </c>
      <c r="G703" t="s">
        <v>52</v>
      </c>
      <c r="H703">
        <v>1</v>
      </c>
      <c r="I703">
        <v>530</v>
      </c>
      <c r="J703">
        <v>0.05</v>
      </c>
      <c r="K703">
        <v>503.5</v>
      </c>
      <c r="L703">
        <v>97.13</v>
      </c>
    </row>
    <row r="704" spans="1:12" x14ac:dyDescent="0.3">
      <c r="A704" t="s">
        <v>939</v>
      </c>
      <c r="B704" s="3">
        <v>45683</v>
      </c>
      <c r="C704" t="s">
        <v>75</v>
      </c>
      <c r="D704" t="s">
        <v>20</v>
      </c>
      <c r="E704" t="s">
        <v>15</v>
      </c>
      <c r="F704" t="s">
        <v>16</v>
      </c>
      <c r="G704" t="s">
        <v>52</v>
      </c>
      <c r="H704">
        <v>1</v>
      </c>
      <c r="I704">
        <v>15420</v>
      </c>
      <c r="J704">
        <v>0</v>
      </c>
      <c r="K704">
        <v>15420</v>
      </c>
      <c r="L704">
        <v>3126.2</v>
      </c>
    </row>
    <row r="705" spans="1:12" x14ac:dyDescent="0.3">
      <c r="A705" t="s">
        <v>940</v>
      </c>
      <c r="B705" s="3">
        <v>45658</v>
      </c>
      <c r="C705" t="s">
        <v>156</v>
      </c>
      <c r="D705" t="s">
        <v>68</v>
      </c>
      <c r="E705" t="s">
        <v>44</v>
      </c>
      <c r="F705" t="s">
        <v>58</v>
      </c>
      <c r="G705" t="s">
        <v>126</v>
      </c>
      <c r="H705">
        <v>2</v>
      </c>
      <c r="I705">
        <v>2240</v>
      </c>
      <c r="J705">
        <v>0.15</v>
      </c>
      <c r="K705">
        <v>3808</v>
      </c>
      <c r="L705">
        <v>560.29999999999995</v>
      </c>
    </row>
    <row r="706" spans="1:12" x14ac:dyDescent="0.3">
      <c r="A706" t="s">
        <v>941</v>
      </c>
      <c r="B706" s="3">
        <v>45679</v>
      </c>
      <c r="C706" t="s">
        <v>503</v>
      </c>
      <c r="D706" t="s">
        <v>14</v>
      </c>
      <c r="E706" t="s">
        <v>15</v>
      </c>
      <c r="F706" t="s">
        <v>58</v>
      </c>
      <c r="G706" t="s">
        <v>59</v>
      </c>
      <c r="H706">
        <v>2</v>
      </c>
      <c r="I706">
        <v>14804</v>
      </c>
      <c r="J706">
        <v>0.15</v>
      </c>
      <c r="K706">
        <v>25166.799999999999</v>
      </c>
      <c r="L706">
        <v>4756.4399999999996</v>
      </c>
    </row>
    <row r="707" spans="1:12" x14ac:dyDescent="0.3">
      <c r="A707" t="s">
        <v>942</v>
      </c>
      <c r="B707" s="3">
        <v>45826</v>
      </c>
      <c r="C707" t="s">
        <v>174</v>
      </c>
      <c r="D707" t="s">
        <v>97</v>
      </c>
      <c r="E707" t="s">
        <v>44</v>
      </c>
      <c r="F707" t="s">
        <v>27</v>
      </c>
      <c r="G707" t="s">
        <v>40</v>
      </c>
      <c r="H707">
        <v>1</v>
      </c>
      <c r="I707">
        <v>468</v>
      </c>
      <c r="J707">
        <v>0</v>
      </c>
      <c r="K707">
        <v>468</v>
      </c>
      <c r="L707">
        <v>42.56</v>
      </c>
    </row>
    <row r="708" spans="1:12" x14ac:dyDescent="0.3">
      <c r="A708" t="s">
        <v>943</v>
      </c>
      <c r="B708" s="3">
        <v>45993</v>
      </c>
      <c r="C708" t="s">
        <v>37</v>
      </c>
      <c r="D708" t="s">
        <v>92</v>
      </c>
      <c r="E708" t="s">
        <v>51</v>
      </c>
      <c r="F708" t="s">
        <v>58</v>
      </c>
      <c r="G708" t="s">
        <v>126</v>
      </c>
      <c r="H708">
        <v>2</v>
      </c>
      <c r="I708">
        <v>11249</v>
      </c>
      <c r="J708">
        <v>0.05</v>
      </c>
      <c r="K708">
        <v>21373.1</v>
      </c>
      <c r="L708">
        <v>3170.69</v>
      </c>
    </row>
    <row r="709" spans="1:12" x14ac:dyDescent="0.3">
      <c r="A709" t="s">
        <v>944</v>
      </c>
      <c r="B709" s="3">
        <v>46010</v>
      </c>
      <c r="C709" t="s">
        <v>451</v>
      </c>
      <c r="D709" t="s">
        <v>307</v>
      </c>
      <c r="E709" t="s">
        <v>73</v>
      </c>
      <c r="F709" t="s">
        <v>27</v>
      </c>
      <c r="G709" t="s">
        <v>31</v>
      </c>
      <c r="H709">
        <v>5</v>
      </c>
      <c r="I709">
        <v>334</v>
      </c>
      <c r="J709">
        <v>0.05</v>
      </c>
      <c r="K709">
        <v>1586.5</v>
      </c>
      <c r="L709">
        <v>380.3</v>
      </c>
    </row>
    <row r="710" spans="1:12" x14ac:dyDescent="0.3">
      <c r="A710" t="s">
        <v>945</v>
      </c>
      <c r="B710" s="3">
        <v>45927</v>
      </c>
      <c r="C710" t="s">
        <v>363</v>
      </c>
      <c r="D710" t="s">
        <v>83</v>
      </c>
      <c r="E710" t="s">
        <v>73</v>
      </c>
      <c r="F710" t="s">
        <v>27</v>
      </c>
      <c r="G710" t="s">
        <v>28</v>
      </c>
      <c r="H710">
        <v>2</v>
      </c>
      <c r="I710">
        <v>452</v>
      </c>
      <c r="J710">
        <v>0.15</v>
      </c>
      <c r="K710">
        <v>768.4</v>
      </c>
      <c r="L710">
        <v>205.34</v>
      </c>
    </row>
    <row r="711" spans="1:12" x14ac:dyDescent="0.3">
      <c r="A711" t="s">
        <v>946</v>
      </c>
      <c r="B711" s="3">
        <v>45794</v>
      </c>
      <c r="C711" t="s">
        <v>248</v>
      </c>
      <c r="D711" t="s">
        <v>97</v>
      </c>
      <c r="E711" t="s">
        <v>44</v>
      </c>
      <c r="F711" t="s">
        <v>58</v>
      </c>
      <c r="G711" t="s">
        <v>69</v>
      </c>
      <c r="H711">
        <v>2</v>
      </c>
      <c r="I711">
        <v>700</v>
      </c>
      <c r="J711">
        <v>0.15</v>
      </c>
      <c r="K711">
        <v>1190</v>
      </c>
      <c r="L711">
        <v>159.80000000000001</v>
      </c>
    </row>
    <row r="712" spans="1:12" x14ac:dyDescent="0.3">
      <c r="A712" t="s">
        <v>947</v>
      </c>
      <c r="B712" s="3">
        <v>45777</v>
      </c>
      <c r="C712" t="s">
        <v>139</v>
      </c>
      <c r="D712" t="s">
        <v>25</v>
      </c>
      <c r="E712" t="s">
        <v>26</v>
      </c>
      <c r="F712" t="s">
        <v>58</v>
      </c>
      <c r="G712" t="s">
        <v>59</v>
      </c>
      <c r="H712">
        <v>3</v>
      </c>
      <c r="I712">
        <v>14167</v>
      </c>
      <c r="J712">
        <v>0.05</v>
      </c>
      <c r="K712">
        <v>40375.949999999997</v>
      </c>
      <c r="L712">
        <v>6926.44</v>
      </c>
    </row>
    <row r="713" spans="1:12" x14ac:dyDescent="0.3">
      <c r="A713" t="s">
        <v>948</v>
      </c>
      <c r="B713" s="3">
        <v>45771</v>
      </c>
      <c r="C713" t="s">
        <v>287</v>
      </c>
      <c r="D713" t="s">
        <v>43</v>
      </c>
      <c r="E713" t="s">
        <v>44</v>
      </c>
      <c r="F713" t="s">
        <v>16</v>
      </c>
      <c r="G713" t="s">
        <v>104</v>
      </c>
      <c r="H713">
        <v>2</v>
      </c>
      <c r="I713">
        <v>429</v>
      </c>
      <c r="J713">
        <v>0</v>
      </c>
      <c r="K713">
        <v>858</v>
      </c>
      <c r="L713">
        <v>224.72</v>
      </c>
    </row>
    <row r="714" spans="1:12" x14ac:dyDescent="0.3">
      <c r="A714" t="s">
        <v>949</v>
      </c>
      <c r="B714" s="3">
        <v>45853</v>
      </c>
      <c r="C714" t="s">
        <v>255</v>
      </c>
      <c r="D714" t="s">
        <v>83</v>
      </c>
      <c r="E714" t="s">
        <v>73</v>
      </c>
      <c r="F714" t="s">
        <v>58</v>
      </c>
      <c r="G714" t="s">
        <v>69</v>
      </c>
      <c r="H714">
        <v>1</v>
      </c>
      <c r="I714">
        <v>691</v>
      </c>
      <c r="J714">
        <v>0.05</v>
      </c>
      <c r="K714">
        <v>656.45</v>
      </c>
      <c r="L714">
        <v>63.54</v>
      </c>
    </row>
    <row r="715" spans="1:12" x14ac:dyDescent="0.3">
      <c r="A715" t="s">
        <v>950</v>
      </c>
      <c r="B715" s="3">
        <v>45702</v>
      </c>
      <c r="C715" t="s">
        <v>248</v>
      </c>
      <c r="D715" t="s">
        <v>307</v>
      </c>
      <c r="E715" t="s">
        <v>73</v>
      </c>
      <c r="F715" t="s">
        <v>58</v>
      </c>
      <c r="G715" t="s">
        <v>59</v>
      </c>
      <c r="H715">
        <v>5</v>
      </c>
      <c r="I715">
        <v>141</v>
      </c>
      <c r="J715">
        <v>0.05</v>
      </c>
      <c r="K715">
        <v>669.75</v>
      </c>
      <c r="L715">
        <v>67</v>
      </c>
    </row>
    <row r="716" spans="1:12" x14ac:dyDescent="0.3">
      <c r="A716" t="s">
        <v>951</v>
      </c>
      <c r="B716" s="3">
        <v>45719</v>
      </c>
      <c r="C716" t="s">
        <v>382</v>
      </c>
      <c r="D716" t="s">
        <v>83</v>
      </c>
      <c r="E716" t="s">
        <v>73</v>
      </c>
      <c r="F716" t="s">
        <v>58</v>
      </c>
      <c r="G716" t="s">
        <v>69</v>
      </c>
      <c r="H716">
        <v>1</v>
      </c>
      <c r="I716">
        <v>584</v>
      </c>
      <c r="J716">
        <v>0.1</v>
      </c>
      <c r="K716">
        <v>525.6</v>
      </c>
      <c r="L716">
        <v>137.30000000000001</v>
      </c>
    </row>
    <row r="717" spans="1:12" x14ac:dyDescent="0.3">
      <c r="A717" t="s">
        <v>952</v>
      </c>
      <c r="B717" s="3">
        <v>45903</v>
      </c>
      <c r="C717" t="s">
        <v>485</v>
      </c>
      <c r="D717" t="s">
        <v>97</v>
      </c>
      <c r="E717" t="s">
        <v>44</v>
      </c>
      <c r="F717" t="s">
        <v>27</v>
      </c>
      <c r="G717" t="s">
        <v>28</v>
      </c>
      <c r="H717">
        <v>1</v>
      </c>
      <c r="I717">
        <v>364</v>
      </c>
      <c r="J717">
        <v>0.1</v>
      </c>
      <c r="K717">
        <v>327.60000000000002</v>
      </c>
      <c r="L717">
        <v>87.06</v>
      </c>
    </row>
    <row r="718" spans="1:12" x14ac:dyDescent="0.3">
      <c r="A718" t="s">
        <v>953</v>
      </c>
      <c r="B718" s="3">
        <v>45913</v>
      </c>
      <c r="C718" t="s">
        <v>172</v>
      </c>
      <c r="D718" t="s">
        <v>68</v>
      </c>
      <c r="E718" t="s">
        <v>44</v>
      </c>
      <c r="F718" t="s">
        <v>27</v>
      </c>
      <c r="G718" t="s">
        <v>40</v>
      </c>
      <c r="H718">
        <v>5</v>
      </c>
      <c r="I718">
        <v>4037</v>
      </c>
      <c r="J718">
        <v>0.15</v>
      </c>
      <c r="K718">
        <v>17157.25</v>
      </c>
      <c r="L718">
        <v>3088.42</v>
      </c>
    </row>
    <row r="719" spans="1:12" x14ac:dyDescent="0.3">
      <c r="A719" t="s">
        <v>954</v>
      </c>
      <c r="B719" s="3">
        <v>45970</v>
      </c>
      <c r="C719" t="s">
        <v>371</v>
      </c>
      <c r="D719" t="s">
        <v>47</v>
      </c>
      <c r="E719" t="s">
        <v>26</v>
      </c>
      <c r="F719" t="s">
        <v>16</v>
      </c>
      <c r="G719" t="s">
        <v>104</v>
      </c>
      <c r="H719">
        <v>3</v>
      </c>
      <c r="I719">
        <v>13481</v>
      </c>
      <c r="J719">
        <v>0.15</v>
      </c>
      <c r="K719">
        <v>34376.550000000003</v>
      </c>
      <c r="L719">
        <v>6843.79</v>
      </c>
    </row>
    <row r="720" spans="1:12" x14ac:dyDescent="0.3">
      <c r="A720" t="s">
        <v>955</v>
      </c>
      <c r="B720" s="3">
        <v>46016</v>
      </c>
      <c r="C720" t="s">
        <v>358</v>
      </c>
      <c r="D720" t="s">
        <v>72</v>
      </c>
      <c r="E720" t="s">
        <v>73</v>
      </c>
      <c r="F720" t="s">
        <v>27</v>
      </c>
      <c r="G720" t="s">
        <v>31</v>
      </c>
      <c r="H720">
        <v>4</v>
      </c>
      <c r="I720">
        <v>397</v>
      </c>
      <c r="J720">
        <v>0.1</v>
      </c>
      <c r="K720">
        <v>1429.2</v>
      </c>
      <c r="L720">
        <v>122.57</v>
      </c>
    </row>
    <row r="721" spans="1:12" x14ac:dyDescent="0.3">
      <c r="A721" t="s">
        <v>956</v>
      </c>
      <c r="B721" s="3">
        <v>45912</v>
      </c>
      <c r="C721" t="s">
        <v>617</v>
      </c>
      <c r="D721" t="s">
        <v>202</v>
      </c>
      <c r="E721" t="s">
        <v>44</v>
      </c>
      <c r="F721" t="s">
        <v>27</v>
      </c>
      <c r="G721" t="s">
        <v>40</v>
      </c>
      <c r="H721">
        <v>1</v>
      </c>
      <c r="I721">
        <v>2517</v>
      </c>
      <c r="J721">
        <v>0.2</v>
      </c>
      <c r="K721">
        <v>2013.6</v>
      </c>
      <c r="L721">
        <v>547.33000000000004</v>
      </c>
    </row>
    <row r="722" spans="1:12" x14ac:dyDescent="0.3">
      <c r="A722" t="s">
        <v>957</v>
      </c>
      <c r="B722" s="3">
        <v>45988</v>
      </c>
      <c r="C722" t="s">
        <v>448</v>
      </c>
      <c r="D722" t="s">
        <v>97</v>
      </c>
      <c r="E722" t="s">
        <v>44</v>
      </c>
      <c r="F722" t="s">
        <v>16</v>
      </c>
      <c r="G722" t="s">
        <v>52</v>
      </c>
      <c r="H722">
        <v>3</v>
      </c>
      <c r="I722">
        <v>387</v>
      </c>
      <c r="J722">
        <v>0</v>
      </c>
      <c r="K722">
        <v>1161</v>
      </c>
      <c r="L722">
        <v>97.52</v>
      </c>
    </row>
    <row r="723" spans="1:12" x14ac:dyDescent="0.3">
      <c r="A723" t="s">
        <v>958</v>
      </c>
      <c r="B723" s="3">
        <v>45827</v>
      </c>
      <c r="C723" t="s">
        <v>244</v>
      </c>
      <c r="D723" t="s">
        <v>30</v>
      </c>
      <c r="E723" t="s">
        <v>15</v>
      </c>
      <c r="F723" t="s">
        <v>21</v>
      </c>
      <c r="G723" t="s">
        <v>55</v>
      </c>
      <c r="H723">
        <v>3</v>
      </c>
      <c r="I723">
        <v>11591</v>
      </c>
      <c r="J723">
        <v>0</v>
      </c>
      <c r="K723">
        <v>34773</v>
      </c>
      <c r="L723">
        <v>8887.83</v>
      </c>
    </row>
    <row r="724" spans="1:12" x14ac:dyDescent="0.3">
      <c r="A724" t="s">
        <v>959</v>
      </c>
      <c r="B724" s="3">
        <v>45763</v>
      </c>
      <c r="C724" t="s">
        <v>141</v>
      </c>
      <c r="D724" t="s">
        <v>92</v>
      </c>
      <c r="E724" t="s">
        <v>51</v>
      </c>
      <c r="F724" t="s">
        <v>21</v>
      </c>
      <c r="G724" t="s">
        <v>35</v>
      </c>
      <c r="H724">
        <v>2</v>
      </c>
      <c r="I724">
        <v>22279</v>
      </c>
      <c r="J724">
        <v>0.05</v>
      </c>
      <c r="K724">
        <v>42330.1</v>
      </c>
      <c r="L724">
        <v>5573.18</v>
      </c>
    </row>
    <row r="725" spans="1:12" x14ac:dyDescent="0.3">
      <c r="A725" t="s">
        <v>960</v>
      </c>
      <c r="B725" s="3">
        <v>45892</v>
      </c>
      <c r="C725" t="s">
        <v>87</v>
      </c>
      <c r="D725" t="s">
        <v>50</v>
      </c>
      <c r="E725" t="s">
        <v>51</v>
      </c>
      <c r="F725" t="s">
        <v>16</v>
      </c>
      <c r="G725" t="s">
        <v>52</v>
      </c>
      <c r="H725">
        <v>3</v>
      </c>
      <c r="I725">
        <v>950</v>
      </c>
      <c r="J725">
        <v>0.2</v>
      </c>
      <c r="K725">
        <v>2280</v>
      </c>
      <c r="L725">
        <v>502.55</v>
      </c>
    </row>
    <row r="726" spans="1:12" x14ac:dyDescent="0.3">
      <c r="A726" t="s">
        <v>961</v>
      </c>
      <c r="B726" s="3">
        <v>45791</v>
      </c>
      <c r="C726" t="s">
        <v>670</v>
      </c>
      <c r="D726" t="s">
        <v>47</v>
      </c>
      <c r="E726" t="s">
        <v>26</v>
      </c>
      <c r="F726" t="s">
        <v>58</v>
      </c>
      <c r="G726" t="s">
        <v>69</v>
      </c>
      <c r="H726">
        <v>3</v>
      </c>
      <c r="I726">
        <v>13767</v>
      </c>
      <c r="J726">
        <v>0.1</v>
      </c>
      <c r="K726">
        <v>37170.9</v>
      </c>
      <c r="L726">
        <v>7331.85</v>
      </c>
    </row>
    <row r="727" spans="1:12" x14ac:dyDescent="0.3">
      <c r="A727" t="s">
        <v>962</v>
      </c>
      <c r="B727" s="3">
        <v>45843</v>
      </c>
      <c r="C727" t="s">
        <v>90</v>
      </c>
      <c r="D727" t="s">
        <v>47</v>
      </c>
      <c r="E727" t="s">
        <v>26</v>
      </c>
      <c r="F727" t="s">
        <v>16</v>
      </c>
      <c r="G727" t="s">
        <v>104</v>
      </c>
      <c r="H727">
        <v>4</v>
      </c>
      <c r="I727">
        <v>12031</v>
      </c>
      <c r="J727">
        <v>0.2</v>
      </c>
      <c r="K727">
        <v>38499.199999999997</v>
      </c>
      <c r="L727">
        <v>7184.38</v>
      </c>
    </row>
    <row r="728" spans="1:12" x14ac:dyDescent="0.3">
      <c r="A728" t="s">
        <v>963</v>
      </c>
      <c r="B728" s="3">
        <v>45761</v>
      </c>
      <c r="C728" t="s">
        <v>792</v>
      </c>
      <c r="D728" t="s">
        <v>153</v>
      </c>
      <c r="E728" t="s">
        <v>26</v>
      </c>
      <c r="F728" t="s">
        <v>16</v>
      </c>
      <c r="G728" t="s">
        <v>17</v>
      </c>
      <c r="H728">
        <v>1</v>
      </c>
      <c r="I728">
        <v>7172</v>
      </c>
      <c r="J728">
        <v>0.05</v>
      </c>
      <c r="K728">
        <v>6813.4</v>
      </c>
      <c r="L728">
        <v>1605.22</v>
      </c>
    </row>
    <row r="729" spans="1:12" x14ac:dyDescent="0.3">
      <c r="A729" t="s">
        <v>964</v>
      </c>
      <c r="B729" s="3">
        <v>45883</v>
      </c>
      <c r="C729" t="s">
        <v>965</v>
      </c>
      <c r="D729" t="s">
        <v>92</v>
      </c>
      <c r="E729" t="s">
        <v>51</v>
      </c>
      <c r="F729" t="s">
        <v>58</v>
      </c>
      <c r="G729" t="s">
        <v>126</v>
      </c>
      <c r="H729">
        <v>3</v>
      </c>
      <c r="I729">
        <v>15703</v>
      </c>
      <c r="J729">
        <v>0.1</v>
      </c>
      <c r="K729">
        <v>42398.1</v>
      </c>
      <c r="L729">
        <v>4105.9399999999996</v>
      </c>
    </row>
    <row r="730" spans="1:12" x14ac:dyDescent="0.3">
      <c r="A730" t="s">
        <v>966</v>
      </c>
      <c r="B730" s="3">
        <v>45980</v>
      </c>
      <c r="C730" t="s">
        <v>197</v>
      </c>
      <c r="D730" t="s">
        <v>202</v>
      </c>
      <c r="E730" t="s">
        <v>44</v>
      </c>
      <c r="F730" t="s">
        <v>21</v>
      </c>
      <c r="G730" t="s">
        <v>35</v>
      </c>
      <c r="H730">
        <v>2</v>
      </c>
      <c r="I730">
        <v>1697</v>
      </c>
      <c r="J730">
        <v>0.2</v>
      </c>
      <c r="K730">
        <v>2715.2</v>
      </c>
      <c r="L730">
        <v>740.97</v>
      </c>
    </row>
    <row r="731" spans="1:12" x14ac:dyDescent="0.3">
      <c r="A731" t="s">
        <v>967</v>
      </c>
      <c r="B731" s="3">
        <v>45749</v>
      </c>
      <c r="C731" t="s">
        <v>636</v>
      </c>
      <c r="D731" t="s">
        <v>83</v>
      </c>
      <c r="E731" t="s">
        <v>73</v>
      </c>
      <c r="F731" t="s">
        <v>58</v>
      </c>
      <c r="G731" t="s">
        <v>59</v>
      </c>
      <c r="H731">
        <v>2</v>
      </c>
      <c r="I731">
        <v>830</v>
      </c>
      <c r="J731">
        <v>0</v>
      </c>
      <c r="K731">
        <v>1660</v>
      </c>
      <c r="L731">
        <v>242.66</v>
      </c>
    </row>
    <row r="732" spans="1:12" x14ac:dyDescent="0.3">
      <c r="A732" t="s">
        <v>968</v>
      </c>
      <c r="B732" s="3">
        <v>46013</v>
      </c>
      <c r="C732" t="s">
        <v>440</v>
      </c>
      <c r="D732" t="s">
        <v>20</v>
      </c>
      <c r="E732" t="s">
        <v>15</v>
      </c>
      <c r="F732" t="s">
        <v>16</v>
      </c>
      <c r="G732" t="s">
        <v>104</v>
      </c>
      <c r="H732">
        <v>5</v>
      </c>
      <c r="I732">
        <v>13806</v>
      </c>
      <c r="J732">
        <v>0.15</v>
      </c>
      <c r="K732">
        <v>58675.5</v>
      </c>
      <c r="L732">
        <v>12148.94</v>
      </c>
    </row>
    <row r="733" spans="1:12" x14ac:dyDescent="0.3">
      <c r="A733" t="s">
        <v>969</v>
      </c>
      <c r="B733" s="3">
        <v>45865</v>
      </c>
      <c r="C733" t="s">
        <v>333</v>
      </c>
      <c r="D733" t="s">
        <v>34</v>
      </c>
      <c r="E733" t="s">
        <v>15</v>
      </c>
      <c r="F733" t="s">
        <v>58</v>
      </c>
      <c r="G733" t="s">
        <v>59</v>
      </c>
      <c r="H733">
        <v>4</v>
      </c>
      <c r="I733">
        <v>24381</v>
      </c>
      <c r="J733">
        <v>0.05</v>
      </c>
      <c r="K733">
        <v>92647.8</v>
      </c>
      <c r="L733">
        <v>13684.21</v>
      </c>
    </row>
    <row r="734" spans="1:12" x14ac:dyDescent="0.3">
      <c r="A734" t="s">
        <v>970</v>
      </c>
      <c r="B734" s="3">
        <v>45686</v>
      </c>
      <c r="C734" t="s">
        <v>134</v>
      </c>
      <c r="D734" t="s">
        <v>88</v>
      </c>
      <c r="E734" t="s">
        <v>73</v>
      </c>
      <c r="F734" t="s">
        <v>21</v>
      </c>
      <c r="G734" t="s">
        <v>55</v>
      </c>
      <c r="H734">
        <v>1</v>
      </c>
      <c r="I734">
        <v>495</v>
      </c>
      <c r="J734">
        <v>0.1</v>
      </c>
      <c r="K734">
        <v>445.5</v>
      </c>
      <c r="L734">
        <v>39.64</v>
      </c>
    </row>
    <row r="735" spans="1:12" x14ac:dyDescent="0.3">
      <c r="A735" t="s">
        <v>971</v>
      </c>
      <c r="B735" s="3">
        <v>45744</v>
      </c>
      <c r="C735" t="s">
        <v>358</v>
      </c>
      <c r="D735" t="s">
        <v>25</v>
      </c>
      <c r="E735" t="s">
        <v>26</v>
      </c>
      <c r="F735" t="s">
        <v>58</v>
      </c>
      <c r="G735" t="s">
        <v>69</v>
      </c>
      <c r="H735">
        <v>1</v>
      </c>
      <c r="I735">
        <v>7389</v>
      </c>
      <c r="J735">
        <v>0.15</v>
      </c>
      <c r="K735">
        <v>6280.65</v>
      </c>
      <c r="L735">
        <v>677.43</v>
      </c>
    </row>
    <row r="736" spans="1:12" x14ac:dyDescent="0.3">
      <c r="A736" t="s">
        <v>972</v>
      </c>
      <c r="B736" s="3">
        <v>45825</v>
      </c>
      <c r="C736" t="s">
        <v>185</v>
      </c>
      <c r="D736" t="s">
        <v>47</v>
      </c>
      <c r="E736" t="s">
        <v>26</v>
      </c>
      <c r="F736" t="s">
        <v>58</v>
      </c>
      <c r="G736" t="s">
        <v>59</v>
      </c>
      <c r="H736">
        <v>1</v>
      </c>
      <c r="I736">
        <v>10234</v>
      </c>
      <c r="J736">
        <v>0.15</v>
      </c>
      <c r="K736">
        <v>8698.9</v>
      </c>
      <c r="L736">
        <v>1073.6199999999999</v>
      </c>
    </row>
    <row r="737" spans="1:12" x14ac:dyDescent="0.3">
      <c r="A737" t="s">
        <v>973</v>
      </c>
      <c r="B737" s="3">
        <v>45742</v>
      </c>
      <c r="C737" t="s">
        <v>87</v>
      </c>
      <c r="D737" t="s">
        <v>307</v>
      </c>
      <c r="E737" t="s">
        <v>73</v>
      </c>
      <c r="F737" t="s">
        <v>58</v>
      </c>
      <c r="G737" t="s">
        <v>126</v>
      </c>
      <c r="H737">
        <v>5</v>
      </c>
      <c r="I737">
        <v>98</v>
      </c>
      <c r="J737">
        <v>0</v>
      </c>
      <c r="K737">
        <v>490</v>
      </c>
      <c r="L737">
        <v>91.88</v>
      </c>
    </row>
    <row r="738" spans="1:12" x14ac:dyDescent="0.3">
      <c r="A738" t="s">
        <v>974</v>
      </c>
      <c r="B738" s="3">
        <v>45668</v>
      </c>
      <c r="C738" t="s">
        <v>274</v>
      </c>
      <c r="D738" t="s">
        <v>103</v>
      </c>
      <c r="E738" t="s">
        <v>51</v>
      </c>
      <c r="F738" t="s">
        <v>16</v>
      </c>
      <c r="G738" t="s">
        <v>17</v>
      </c>
      <c r="H738">
        <v>1</v>
      </c>
      <c r="I738">
        <v>1309</v>
      </c>
      <c r="J738">
        <v>0.1</v>
      </c>
      <c r="K738">
        <v>1178.0999999999999</v>
      </c>
      <c r="L738">
        <v>313.91000000000003</v>
      </c>
    </row>
    <row r="739" spans="1:12" x14ac:dyDescent="0.3">
      <c r="A739" t="s">
        <v>975</v>
      </c>
      <c r="B739" s="3">
        <v>45998</v>
      </c>
      <c r="C739" t="s">
        <v>260</v>
      </c>
      <c r="D739" t="s">
        <v>25</v>
      </c>
      <c r="E739" t="s">
        <v>26</v>
      </c>
      <c r="F739" t="s">
        <v>58</v>
      </c>
      <c r="G739" t="s">
        <v>126</v>
      </c>
      <c r="H739">
        <v>2</v>
      </c>
      <c r="I739">
        <v>11988</v>
      </c>
      <c r="J739">
        <v>0</v>
      </c>
      <c r="K739">
        <v>23976</v>
      </c>
      <c r="L739">
        <v>5200.08</v>
      </c>
    </row>
    <row r="740" spans="1:12" x14ac:dyDescent="0.3">
      <c r="A740" t="s">
        <v>976</v>
      </c>
      <c r="B740" s="3">
        <v>45980</v>
      </c>
      <c r="C740" t="s">
        <v>257</v>
      </c>
      <c r="D740" t="s">
        <v>307</v>
      </c>
      <c r="E740" t="s">
        <v>73</v>
      </c>
      <c r="F740" t="s">
        <v>27</v>
      </c>
      <c r="G740" t="s">
        <v>28</v>
      </c>
      <c r="H740">
        <v>2</v>
      </c>
      <c r="I740">
        <v>144</v>
      </c>
      <c r="J740">
        <v>0.15</v>
      </c>
      <c r="K740">
        <v>244.8</v>
      </c>
      <c r="L740">
        <v>49.6</v>
      </c>
    </row>
    <row r="741" spans="1:12" x14ac:dyDescent="0.3">
      <c r="A741" t="s">
        <v>977</v>
      </c>
      <c r="B741" s="3">
        <v>45918</v>
      </c>
      <c r="C741" t="s">
        <v>106</v>
      </c>
      <c r="D741" t="s">
        <v>50</v>
      </c>
      <c r="E741" t="s">
        <v>51</v>
      </c>
      <c r="F741" t="s">
        <v>21</v>
      </c>
      <c r="G741" t="s">
        <v>55</v>
      </c>
      <c r="H741">
        <v>2</v>
      </c>
      <c r="I741">
        <v>1519</v>
      </c>
      <c r="J741">
        <v>0</v>
      </c>
      <c r="K741">
        <v>3038</v>
      </c>
      <c r="L741">
        <v>315.62</v>
      </c>
    </row>
    <row r="742" spans="1:12" x14ac:dyDescent="0.3">
      <c r="A742" t="s">
        <v>978</v>
      </c>
      <c r="B742" s="3">
        <v>45818</v>
      </c>
      <c r="C742" t="s">
        <v>665</v>
      </c>
      <c r="D742" t="s">
        <v>202</v>
      </c>
      <c r="E742" t="s">
        <v>44</v>
      </c>
      <c r="F742" t="s">
        <v>58</v>
      </c>
      <c r="G742" t="s">
        <v>69</v>
      </c>
      <c r="H742">
        <v>1</v>
      </c>
      <c r="I742">
        <v>2322</v>
      </c>
      <c r="J742">
        <v>0.1</v>
      </c>
      <c r="K742">
        <v>2089.8000000000002</v>
      </c>
      <c r="L742">
        <v>204.58</v>
      </c>
    </row>
    <row r="743" spans="1:12" x14ac:dyDescent="0.3">
      <c r="A743" t="s">
        <v>979</v>
      </c>
      <c r="B743" s="3">
        <v>45913</v>
      </c>
      <c r="C743" t="s">
        <v>67</v>
      </c>
      <c r="D743" t="s">
        <v>34</v>
      </c>
      <c r="E743" t="s">
        <v>15</v>
      </c>
      <c r="F743" t="s">
        <v>16</v>
      </c>
      <c r="G743" t="s">
        <v>52</v>
      </c>
      <c r="H743">
        <v>1</v>
      </c>
      <c r="I743">
        <v>11729</v>
      </c>
      <c r="J743">
        <v>0.15</v>
      </c>
      <c r="K743">
        <v>9969.65</v>
      </c>
      <c r="L743">
        <v>1054.5899999999999</v>
      </c>
    </row>
    <row r="744" spans="1:12" x14ac:dyDescent="0.3">
      <c r="A744" t="s">
        <v>980</v>
      </c>
      <c r="B744" s="3">
        <v>45672</v>
      </c>
      <c r="C744" t="s">
        <v>570</v>
      </c>
      <c r="D744" t="s">
        <v>65</v>
      </c>
      <c r="E744" t="s">
        <v>26</v>
      </c>
      <c r="F744" t="s">
        <v>16</v>
      </c>
      <c r="G744" t="s">
        <v>104</v>
      </c>
      <c r="H744">
        <v>1</v>
      </c>
      <c r="I744">
        <v>3309</v>
      </c>
      <c r="J744">
        <v>0.05</v>
      </c>
      <c r="K744">
        <v>3143.55</v>
      </c>
      <c r="L744">
        <v>700.17</v>
      </c>
    </row>
    <row r="745" spans="1:12" x14ac:dyDescent="0.3">
      <c r="A745" t="s">
        <v>981</v>
      </c>
      <c r="B745" s="3">
        <v>45717</v>
      </c>
      <c r="C745" t="s">
        <v>159</v>
      </c>
      <c r="D745" t="s">
        <v>307</v>
      </c>
      <c r="E745" t="s">
        <v>73</v>
      </c>
      <c r="F745" t="s">
        <v>16</v>
      </c>
      <c r="G745" t="s">
        <v>104</v>
      </c>
      <c r="H745">
        <v>1</v>
      </c>
      <c r="I745">
        <v>247</v>
      </c>
      <c r="J745">
        <v>0</v>
      </c>
      <c r="K745">
        <v>247</v>
      </c>
      <c r="L745">
        <v>42.15</v>
      </c>
    </row>
    <row r="746" spans="1:12" x14ac:dyDescent="0.3">
      <c r="A746" t="s">
        <v>982</v>
      </c>
      <c r="B746" s="3">
        <v>45936</v>
      </c>
      <c r="C746" t="s">
        <v>143</v>
      </c>
      <c r="D746" t="s">
        <v>47</v>
      </c>
      <c r="E746" t="s">
        <v>26</v>
      </c>
      <c r="F746" t="s">
        <v>58</v>
      </c>
      <c r="G746" t="s">
        <v>126</v>
      </c>
      <c r="H746">
        <v>2</v>
      </c>
      <c r="I746">
        <v>21254</v>
      </c>
      <c r="J746">
        <v>0.1</v>
      </c>
      <c r="K746">
        <v>38257.199999999997</v>
      </c>
      <c r="L746">
        <v>6076.7</v>
      </c>
    </row>
    <row r="747" spans="1:12" x14ac:dyDescent="0.3">
      <c r="A747" t="s">
        <v>983</v>
      </c>
      <c r="B747" s="3">
        <v>45808</v>
      </c>
      <c r="C747" t="s">
        <v>75</v>
      </c>
      <c r="D747" t="s">
        <v>72</v>
      </c>
      <c r="E747" t="s">
        <v>73</v>
      </c>
      <c r="F747" t="s">
        <v>58</v>
      </c>
      <c r="G747" t="s">
        <v>69</v>
      </c>
      <c r="H747">
        <v>1</v>
      </c>
      <c r="I747">
        <v>303</v>
      </c>
      <c r="J747">
        <v>0.1</v>
      </c>
      <c r="K747">
        <v>272.7</v>
      </c>
      <c r="L747">
        <v>53.88</v>
      </c>
    </row>
    <row r="748" spans="1:12" x14ac:dyDescent="0.3">
      <c r="A748" t="s">
        <v>984</v>
      </c>
      <c r="B748" s="3">
        <v>45983</v>
      </c>
      <c r="C748" t="s">
        <v>13</v>
      </c>
      <c r="D748" t="s">
        <v>47</v>
      </c>
      <c r="E748" t="s">
        <v>26</v>
      </c>
      <c r="F748" t="s">
        <v>16</v>
      </c>
      <c r="G748" t="s">
        <v>17</v>
      </c>
      <c r="H748">
        <v>3</v>
      </c>
      <c r="I748">
        <v>14297</v>
      </c>
      <c r="J748">
        <v>0.05</v>
      </c>
      <c r="K748">
        <v>40746.449999999997</v>
      </c>
      <c r="L748">
        <v>4130.2299999999996</v>
      </c>
    </row>
    <row r="749" spans="1:12" x14ac:dyDescent="0.3">
      <c r="A749" t="s">
        <v>985</v>
      </c>
      <c r="B749" s="3">
        <v>45910</v>
      </c>
      <c r="C749" t="s">
        <v>463</v>
      </c>
      <c r="D749" t="s">
        <v>202</v>
      </c>
      <c r="E749" t="s">
        <v>44</v>
      </c>
      <c r="F749" t="s">
        <v>21</v>
      </c>
      <c r="G749" t="s">
        <v>55</v>
      </c>
      <c r="H749">
        <v>2</v>
      </c>
      <c r="I749">
        <v>1447</v>
      </c>
      <c r="J749">
        <v>0.1</v>
      </c>
      <c r="K749">
        <v>2604.6</v>
      </c>
      <c r="L749">
        <v>665.38</v>
      </c>
    </row>
    <row r="750" spans="1:12" x14ac:dyDescent="0.3">
      <c r="A750" t="s">
        <v>986</v>
      </c>
      <c r="B750" s="3">
        <v>45678</v>
      </c>
      <c r="C750" t="s">
        <v>310</v>
      </c>
      <c r="D750" t="s">
        <v>65</v>
      </c>
      <c r="E750" t="s">
        <v>26</v>
      </c>
      <c r="F750" t="s">
        <v>16</v>
      </c>
      <c r="G750" t="s">
        <v>52</v>
      </c>
      <c r="H750">
        <v>5</v>
      </c>
      <c r="I750">
        <v>2445</v>
      </c>
      <c r="J750">
        <v>0.05</v>
      </c>
      <c r="K750">
        <v>11613.75</v>
      </c>
      <c r="L750">
        <v>1494.61</v>
      </c>
    </row>
    <row r="751" spans="1:12" x14ac:dyDescent="0.3">
      <c r="A751" t="s">
        <v>987</v>
      </c>
      <c r="B751" s="3">
        <v>45974</v>
      </c>
      <c r="C751" t="s">
        <v>163</v>
      </c>
      <c r="D751" t="s">
        <v>307</v>
      </c>
      <c r="E751" t="s">
        <v>73</v>
      </c>
      <c r="F751" t="s">
        <v>58</v>
      </c>
      <c r="G751" t="s">
        <v>126</v>
      </c>
      <c r="H751">
        <v>1</v>
      </c>
      <c r="I751">
        <v>261</v>
      </c>
      <c r="J751">
        <v>0.05</v>
      </c>
      <c r="K751">
        <v>247.95</v>
      </c>
      <c r="L751">
        <v>55.68</v>
      </c>
    </row>
    <row r="752" spans="1:12" x14ac:dyDescent="0.3">
      <c r="A752" t="s">
        <v>988</v>
      </c>
      <c r="B752" s="3">
        <v>45894</v>
      </c>
      <c r="C752" t="s">
        <v>580</v>
      </c>
      <c r="D752" t="s">
        <v>92</v>
      </c>
      <c r="E752" t="s">
        <v>51</v>
      </c>
      <c r="F752" t="s">
        <v>16</v>
      </c>
      <c r="G752" t="s">
        <v>17</v>
      </c>
      <c r="H752">
        <v>3</v>
      </c>
      <c r="I752">
        <v>12171</v>
      </c>
      <c r="J752">
        <v>0.15</v>
      </c>
      <c r="K752">
        <v>31036.05</v>
      </c>
      <c r="L752">
        <v>4671.1099999999997</v>
      </c>
    </row>
    <row r="753" spans="1:12" x14ac:dyDescent="0.3">
      <c r="A753" t="s">
        <v>989</v>
      </c>
      <c r="B753" s="3">
        <v>45763</v>
      </c>
      <c r="C753" t="s">
        <v>570</v>
      </c>
      <c r="D753" t="s">
        <v>30</v>
      </c>
      <c r="E753" t="s">
        <v>15</v>
      </c>
      <c r="F753" t="s">
        <v>16</v>
      </c>
      <c r="G753" t="s">
        <v>52</v>
      </c>
      <c r="H753">
        <v>1</v>
      </c>
      <c r="I753">
        <v>9432</v>
      </c>
      <c r="J753">
        <v>0.05</v>
      </c>
      <c r="K753">
        <v>8960.4</v>
      </c>
      <c r="L753">
        <v>938.27</v>
      </c>
    </row>
    <row r="754" spans="1:12" x14ac:dyDescent="0.3">
      <c r="A754" t="s">
        <v>990</v>
      </c>
      <c r="B754" s="3">
        <v>45844</v>
      </c>
      <c r="C754" t="s">
        <v>315</v>
      </c>
      <c r="D754" t="s">
        <v>68</v>
      </c>
      <c r="E754" t="s">
        <v>44</v>
      </c>
      <c r="F754" t="s">
        <v>16</v>
      </c>
      <c r="G754" t="s">
        <v>52</v>
      </c>
      <c r="H754">
        <v>4</v>
      </c>
      <c r="I754">
        <v>5178</v>
      </c>
      <c r="J754">
        <v>0.05</v>
      </c>
      <c r="K754">
        <v>19676.400000000001</v>
      </c>
      <c r="L754">
        <v>4338.25</v>
      </c>
    </row>
    <row r="755" spans="1:12" x14ac:dyDescent="0.3">
      <c r="A755" t="s">
        <v>991</v>
      </c>
      <c r="B755" s="3">
        <v>45710</v>
      </c>
      <c r="C755" t="s">
        <v>798</v>
      </c>
      <c r="D755" t="s">
        <v>92</v>
      </c>
      <c r="E755" t="s">
        <v>51</v>
      </c>
      <c r="F755" t="s">
        <v>27</v>
      </c>
      <c r="G755" t="s">
        <v>31</v>
      </c>
      <c r="H755">
        <v>1</v>
      </c>
      <c r="I755">
        <v>15134</v>
      </c>
      <c r="J755">
        <v>0.15</v>
      </c>
      <c r="K755">
        <v>12863.9</v>
      </c>
      <c r="L755">
        <v>3255.32</v>
      </c>
    </row>
    <row r="756" spans="1:12" x14ac:dyDescent="0.3">
      <c r="A756" t="s">
        <v>992</v>
      </c>
      <c r="B756" s="3">
        <v>45758</v>
      </c>
      <c r="C756" t="s">
        <v>337</v>
      </c>
      <c r="D756" t="s">
        <v>88</v>
      </c>
      <c r="E756" t="s">
        <v>73</v>
      </c>
      <c r="F756" t="s">
        <v>21</v>
      </c>
      <c r="G756" t="s">
        <v>22</v>
      </c>
      <c r="H756">
        <v>1</v>
      </c>
      <c r="I756">
        <v>540</v>
      </c>
      <c r="J756">
        <v>0</v>
      </c>
      <c r="K756">
        <v>540</v>
      </c>
      <c r="L756">
        <v>77.06</v>
      </c>
    </row>
    <row r="757" spans="1:12" x14ac:dyDescent="0.3">
      <c r="A757" t="s">
        <v>993</v>
      </c>
      <c r="B757" s="3">
        <v>45823</v>
      </c>
      <c r="C757" t="s">
        <v>805</v>
      </c>
      <c r="D757" t="s">
        <v>120</v>
      </c>
      <c r="E757" t="s">
        <v>51</v>
      </c>
      <c r="F757" t="s">
        <v>27</v>
      </c>
      <c r="G757" t="s">
        <v>40</v>
      </c>
      <c r="H757">
        <v>2</v>
      </c>
      <c r="I757">
        <v>1843</v>
      </c>
      <c r="J757">
        <v>0.05</v>
      </c>
      <c r="K757">
        <v>3501.7</v>
      </c>
      <c r="L757">
        <v>533.42999999999995</v>
      </c>
    </row>
    <row r="758" spans="1:12" x14ac:dyDescent="0.3">
      <c r="A758" t="s">
        <v>994</v>
      </c>
      <c r="B758" s="3">
        <v>45707</v>
      </c>
      <c r="C758" t="s">
        <v>119</v>
      </c>
      <c r="D758" t="s">
        <v>88</v>
      </c>
      <c r="E758" t="s">
        <v>73</v>
      </c>
      <c r="F758" t="s">
        <v>58</v>
      </c>
      <c r="G758" t="s">
        <v>69</v>
      </c>
      <c r="H758">
        <v>1</v>
      </c>
      <c r="I758">
        <v>302</v>
      </c>
      <c r="J758">
        <v>0.25</v>
      </c>
      <c r="K758">
        <v>226.5</v>
      </c>
      <c r="L758">
        <v>26.04</v>
      </c>
    </row>
    <row r="759" spans="1:12" x14ac:dyDescent="0.3">
      <c r="A759" t="s">
        <v>995</v>
      </c>
      <c r="B759" s="3">
        <v>45732</v>
      </c>
      <c r="C759" t="s">
        <v>64</v>
      </c>
      <c r="D759" t="s">
        <v>47</v>
      </c>
      <c r="E759" t="s">
        <v>26</v>
      </c>
      <c r="F759" t="s">
        <v>16</v>
      </c>
      <c r="G759" t="s">
        <v>104</v>
      </c>
      <c r="H759">
        <v>1</v>
      </c>
      <c r="I759">
        <v>18150</v>
      </c>
      <c r="J759">
        <v>0.15</v>
      </c>
      <c r="K759">
        <v>15427.5</v>
      </c>
      <c r="L759">
        <v>1654</v>
      </c>
    </row>
    <row r="760" spans="1:12" x14ac:dyDescent="0.3">
      <c r="A760" t="s">
        <v>996</v>
      </c>
      <c r="B760" s="3">
        <v>45808</v>
      </c>
      <c r="C760" t="s">
        <v>617</v>
      </c>
      <c r="D760" t="s">
        <v>65</v>
      </c>
      <c r="E760" t="s">
        <v>26</v>
      </c>
      <c r="F760" t="s">
        <v>21</v>
      </c>
      <c r="G760" t="s">
        <v>55</v>
      </c>
      <c r="H760">
        <v>1</v>
      </c>
      <c r="I760">
        <v>2040</v>
      </c>
      <c r="J760">
        <v>0.1</v>
      </c>
      <c r="K760">
        <v>1836</v>
      </c>
      <c r="L760">
        <v>296.48</v>
      </c>
    </row>
    <row r="761" spans="1:12" x14ac:dyDescent="0.3">
      <c r="A761" t="s">
        <v>997</v>
      </c>
      <c r="B761" s="3">
        <v>46010</v>
      </c>
      <c r="C761" t="s">
        <v>180</v>
      </c>
      <c r="D761" t="s">
        <v>47</v>
      </c>
      <c r="E761" t="s">
        <v>26</v>
      </c>
      <c r="F761" t="s">
        <v>27</v>
      </c>
      <c r="G761" t="s">
        <v>40</v>
      </c>
      <c r="H761">
        <v>2</v>
      </c>
      <c r="I761">
        <v>11190</v>
      </c>
      <c r="J761">
        <v>0.05</v>
      </c>
      <c r="K761">
        <v>21261</v>
      </c>
      <c r="L761">
        <v>2379.2800000000002</v>
      </c>
    </row>
    <row r="762" spans="1:12" x14ac:dyDescent="0.3">
      <c r="A762" t="s">
        <v>998</v>
      </c>
      <c r="B762" s="3">
        <v>45979</v>
      </c>
      <c r="C762" t="s">
        <v>456</v>
      </c>
      <c r="D762" t="s">
        <v>153</v>
      </c>
      <c r="E762" t="s">
        <v>26</v>
      </c>
      <c r="F762" t="s">
        <v>21</v>
      </c>
      <c r="G762" t="s">
        <v>35</v>
      </c>
      <c r="H762">
        <v>1</v>
      </c>
      <c r="I762">
        <v>6951</v>
      </c>
      <c r="J762">
        <v>0</v>
      </c>
      <c r="K762">
        <v>6951</v>
      </c>
      <c r="L762">
        <v>717.8</v>
      </c>
    </row>
    <row r="763" spans="1:12" x14ac:dyDescent="0.3">
      <c r="A763" t="s">
        <v>999</v>
      </c>
      <c r="B763" s="3">
        <v>45983</v>
      </c>
      <c r="C763" t="s">
        <v>570</v>
      </c>
      <c r="D763" t="s">
        <v>34</v>
      </c>
      <c r="E763" t="s">
        <v>15</v>
      </c>
      <c r="F763" t="s">
        <v>58</v>
      </c>
      <c r="G763" t="s">
        <v>69</v>
      </c>
      <c r="H763">
        <v>1</v>
      </c>
      <c r="I763">
        <v>9441</v>
      </c>
      <c r="J763">
        <v>0</v>
      </c>
      <c r="K763">
        <v>9441</v>
      </c>
      <c r="L763">
        <v>2072.17</v>
      </c>
    </row>
    <row r="764" spans="1:12" x14ac:dyDescent="0.3">
      <c r="A764" t="s">
        <v>1000</v>
      </c>
      <c r="B764" s="3">
        <v>45681</v>
      </c>
      <c r="C764" t="s">
        <v>106</v>
      </c>
      <c r="D764" t="s">
        <v>50</v>
      </c>
      <c r="E764" t="s">
        <v>51</v>
      </c>
      <c r="F764" t="s">
        <v>27</v>
      </c>
      <c r="G764" t="s">
        <v>40</v>
      </c>
      <c r="H764">
        <v>1</v>
      </c>
      <c r="I764">
        <v>3074</v>
      </c>
      <c r="J764">
        <v>0</v>
      </c>
      <c r="K764">
        <v>3074</v>
      </c>
      <c r="L764">
        <v>290.51</v>
      </c>
    </row>
    <row r="765" spans="1:12" x14ac:dyDescent="0.3">
      <c r="A765" t="s">
        <v>1001</v>
      </c>
      <c r="B765" s="3">
        <v>45891</v>
      </c>
      <c r="C765" t="s">
        <v>570</v>
      </c>
      <c r="D765" t="s">
        <v>103</v>
      </c>
      <c r="E765" t="s">
        <v>51</v>
      </c>
      <c r="F765" t="s">
        <v>27</v>
      </c>
      <c r="G765" t="s">
        <v>31</v>
      </c>
      <c r="H765">
        <v>1</v>
      </c>
      <c r="I765">
        <v>8593</v>
      </c>
      <c r="J765">
        <v>0.05</v>
      </c>
      <c r="K765">
        <v>8163.35</v>
      </c>
      <c r="L765">
        <v>1203.6199999999999</v>
      </c>
    </row>
    <row r="766" spans="1:12" x14ac:dyDescent="0.3">
      <c r="A766" t="s">
        <v>1002</v>
      </c>
      <c r="B766" s="3">
        <v>45757</v>
      </c>
      <c r="C766" t="s">
        <v>305</v>
      </c>
      <c r="D766" t="s">
        <v>307</v>
      </c>
      <c r="E766" t="s">
        <v>73</v>
      </c>
      <c r="F766" t="s">
        <v>58</v>
      </c>
      <c r="G766" t="s">
        <v>126</v>
      </c>
      <c r="H766">
        <v>3</v>
      </c>
      <c r="I766">
        <v>377</v>
      </c>
      <c r="J766">
        <v>0</v>
      </c>
      <c r="K766">
        <v>1131</v>
      </c>
      <c r="L766">
        <v>173.39</v>
      </c>
    </row>
    <row r="767" spans="1:12" x14ac:dyDescent="0.3">
      <c r="A767" t="s">
        <v>1003</v>
      </c>
      <c r="B767" s="3">
        <v>45784</v>
      </c>
      <c r="C767" t="s">
        <v>42</v>
      </c>
      <c r="D767" t="s">
        <v>103</v>
      </c>
      <c r="E767" t="s">
        <v>51</v>
      </c>
      <c r="F767" t="s">
        <v>27</v>
      </c>
      <c r="G767" t="s">
        <v>31</v>
      </c>
      <c r="H767">
        <v>1</v>
      </c>
      <c r="I767">
        <v>7513</v>
      </c>
      <c r="J767">
        <v>0.05</v>
      </c>
      <c r="K767">
        <v>7137.35</v>
      </c>
      <c r="L767">
        <v>638.4</v>
      </c>
    </row>
    <row r="768" spans="1:12" x14ac:dyDescent="0.3">
      <c r="A768" t="s">
        <v>1004</v>
      </c>
      <c r="B768" s="3">
        <v>46021</v>
      </c>
      <c r="C768" t="s">
        <v>145</v>
      </c>
      <c r="D768" t="s">
        <v>120</v>
      </c>
      <c r="E768" t="s">
        <v>51</v>
      </c>
      <c r="F768" t="s">
        <v>27</v>
      </c>
      <c r="G768" t="s">
        <v>40</v>
      </c>
      <c r="H768">
        <v>1</v>
      </c>
      <c r="I768">
        <v>1441</v>
      </c>
      <c r="J768">
        <v>0.2</v>
      </c>
      <c r="K768">
        <v>1152.8</v>
      </c>
      <c r="L768">
        <v>219.98</v>
      </c>
    </row>
    <row r="769" spans="1:12" x14ac:dyDescent="0.3">
      <c r="A769" t="s">
        <v>1005</v>
      </c>
      <c r="B769" s="3">
        <v>46017</v>
      </c>
      <c r="C769" t="s">
        <v>178</v>
      </c>
      <c r="D769" t="s">
        <v>20</v>
      </c>
      <c r="E769" t="s">
        <v>15</v>
      </c>
      <c r="F769" t="s">
        <v>16</v>
      </c>
      <c r="G769" t="s">
        <v>17</v>
      </c>
      <c r="H769">
        <v>4</v>
      </c>
      <c r="I769">
        <v>14834</v>
      </c>
      <c r="J769">
        <v>0.2</v>
      </c>
      <c r="K769">
        <v>47468.800000000003</v>
      </c>
      <c r="L769">
        <v>4697.9799999999996</v>
      </c>
    </row>
    <row r="770" spans="1:12" x14ac:dyDescent="0.3">
      <c r="A770" t="s">
        <v>1006</v>
      </c>
      <c r="B770" s="3">
        <v>45867</v>
      </c>
      <c r="C770" t="s">
        <v>194</v>
      </c>
      <c r="D770" t="s">
        <v>83</v>
      </c>
      <c r="E770" t="s">
        <v>73</v>
      </c>
      <c r="F770" t="s">
        <v>21</v>
      </c>
      <c r="G770" t="s">
        <v>22</v>
      </c>
      <c r="H770">
        <v>1</v>
      </c>
      <c r="I770">
        <v>372</v>
      </c>
      <c r="J770">
        <v>0</v>
      </c>
      <c r="K770">
        <v>372</v>
      </c>
      <c r="L770">
        <v>36.56</v>
      </c>
    </row>
    <row r="771" spans="1:12" x14ac:dyDescent="0.3">
      <c r="A771" t="s">
        <v>1007</v>
      </c>
      <c r="B771" s="3">
        <v>45761</v>
      </c>
      <c r="C771" t="s">
        <v>805</v>
      </c>
      <c r="D771" t="s">
        <v>153</v>
      </c>
      <c r="E771" t="s">
        <v>26</v>
      </c>
      <c r="F771" t="s">
        <v>16</v>
      </c>
      <c r="G771" t="s">
        <v>17</v>
      </c>
      <c r="H771">
        <v>1</v>
      </c>
      <c r="I771">
        <v>5415</v>
      </c>
      <c r="J771">
        <v>0</v>
      </c>
      <c r="K771">
        <v>5415</v>
      </c>
      <c r="L771">
        <v>1426.96</v>
      </c>
    </row>
    <row r="772" spans="1:12" x14ac:dyDescent="0.3">
      <c r="A772" t="s">
        <v>1008</v>
      </c>
      <c r="B772" s="3">
        <v>45996</v>
      </c>
      <c r="C772" t="s">
        <v>37</v>
      </c>
      <c r="D772" t="s">
        <v>97</v>
      </c>
      <c r="E772" t="s">
        <v>44</v>
      </c>
      <c r="F772" t="s">
        <v>21</v>
      </c>
      <c r="G772" t="s">
        <v>55</v>
      </c>
      <c r="H772">
        <v>3</v>
      </c>
      <c r="I772">
        <v>399</v>
      </c>
      <c r="J772">
        <v>0.25</v>
      </c>
      <c r="K772">
        <v>897.75</v>
      </c>
      <c r="L772">
        <v>223.1</v>
      </c>
    </row>
    <row r="773" spans="1:12" x14ac:dyDescent="0.3">
      <c r="A773" t="s">
        <v>1009</v>
      </c>
      <c r="B773" s="3">
        <v>45879</v>
      </c>
      <c r="C773" t="s">
        <v>163</v>
      </c>
      <c r="D773" t="s">
        <v>50</v>
      </c>
      <c r="E773" t="s">
        <v>51</v>
      </c>
      <c r="F773" t="s">
        <v>16</v>
      </c>
      <c r="G773" t="s">
        <v>52</v>
      </c>
      <c r="H773">
        <v>2</v>
      </c>
      <c r="I773">
        <v>2594</v>
      </c>
      <c r="J773">
        <v>0.05</v>
      </c>
      <c r="K773">
        <v>4928.6000000000004</v>
      </c>
      <c r="L773">
        <v>1217.9000000000001</v>
      </c>
    </row>
    <row r="774" spans="1:12" x14ac:dyDescent="0.3">
      <c r="A774" t="s">
        <v>1010</v>
      </c>
      <c r="B774" s="3">
        <v>45893</v>
      </c>
      <c r="C774" t="s">
        <v>263</v>
      </c>
      <c r="D774" t="s">
        <v>47</v>
      </c>
      <c r="E774" t="s">
        <v>26</v>
      </c>
      <c r="F774" t="s">
        <v>16</v>
      </c>
      <c r="G774" t="s">
        <v>104</v>
      </c>
      <c r="H774">
        <v>2</v>
      </c>
      <c r="I774">
        <v>19058</v>
      </c>
      <c r="J774">
        <v>0.1</v>
      </c>
      <c r="K774">
        <v>34304.400000000001</v>
      </c>
      <c r="L774">
        <v>3172.77</v>
      </c>
    </row>
    <row r="775" spans="1:12" x14ac:dyDescent="0.3">
      <c r="A775" t="s">
        <v>1011</v>
      </c>
      <c r="B775" s="3">
        <v>45921</v>
      </c>
      <c r="C775" t="s">
        <v>354</v>
      </c>
      <c r="D775" t="s">
        <v>20</v>
      </c>
      <c r="E775" t="s">
        <v>15</v>
      </c>
      <c r="F775" t="s">
        <v>58</v>
      </c>
      <c r="G775" t="s">
        <v>126</v>
      </c>
      <c r="H775">
        <v>5</v>
      </c>
      <c r="I775">
        <v>9974</v>
      </c>
      <c r="J775">
        <v>0</v>
      </c>
      <c r="K775">
        <v>49870</v>
      </c>
      <c r="L775">
        <v>7873.82</v>
      </c>
    </row>
    <row r="776" spans="1:12" x14ac:dyDescent="0.3">
      <c r="A776" t="s">
        <v>1012</v>
      </c>
      <c r="B776" s="3">
        <v>45809</v>
      </c>
      <c r="C776" t="s">
        <v>382</v>
      </c>
      <c r="D776" t="s">
        <v>97</v>
      </c>
      <c r="E776" t="s">
        <v>44</v>
      </c>
      <c r="F776" t="s">
        <v>16</v>
      </c>
      <c r="G776" t="s">
        <v>104</v>
      </c>
      <c r="H776">
        <v>1</v>
      </c>
      <c r="I776">
        <v>267</v>
      </c>
      <c r="J776">
        <v>0.1</v>
      </c>
      <c r="K776">
        <v>240.3</v>
      </c>
      <c r="L776">
        <v>20.27</v>
      </c>
    </row>
    <row r="777" spans="1:12" x14ac:dyDescent="0.3">
      <c r="A777" t="s">
        <v>1013</v>
      </c>
      <c r="B777" s="3">
        <v>45876</v>
      </c>
      <c r="C777" t="s">
        <v>87</v>
      </c>
      <c r="D777" t="s">
        <v>307</v>
      </c>
      <c r="E777" t="s">
        <v>73</v>
      </c>
      <c r="F777" t="s">
        <v>21</v>
      </c>
      <c r="G777" t="s">
        <v>55</v>
      </c>
      <c r="H777">
        <v>1</v>
      </c>
      <c r="I777">
        <v>214</v>
      </c>
      <c r="J777">
        <v>0.1</v>
      </c>
      <c r="K777">
        <v>192.6</v>
      </c>
      <c r="L777">
        <v>48.1</v>
      </c>
    </row>
    <row r="778" spans="1:12" x14ac:dyDescent="0.3">
      <c r="A778" t="s">
        <v>1014</v>
      </c>
      <c r="B778" s="3">
        <v>45666</v>
      </c>
      <c r="C778" t="s">
        <v>731</v>
      </c>
      <c r="D778" t="s">
        <v>65</v>
      </c>
      <c r="E778" t="s">
        <v>26</v>
      </c>
      <c r="F778" t="s">
        <v>27</v>
      </c>
      <c r="G778" t="s">
        <v>28</v>
      </c>
      <c r="H778">
        <v>1</v>
      </c>
      <c r="I778">
        <v>1842</v>
      </c>
      <c r="J778">
        <v>0.1</v>
      </c>
      <c r="K778">
        <v>1657.8</v>
      </c>
      <c r="L778">
        <v>236.92</v>
      </c>
    </row>
    <row r="779" spans="1:12" x14ac:dyDescent="0.3">
      <c r="A779" t="s">
        <v>1015</v>
      </c>
      <c r="B779" s="3">
        <v>45722</v>
      </c>
      <c r="C779" t="s">
        <v>398</v>
      </c>
      <c r="D779" t="s">
        <v>88</v>
      </c>
      <c r="E779" t="s">
        <v>73</v>
      </c>
      <c r="F779" t="s">
        <v>58</v>
      </c>
      <c r="G779" t="s">
        <v>126</v>
      </c>
      <c r="H779">
        <v>1</v>
      </c>
      <c r="I779">
        <v>313</v>
      </c>
      <c r="J779">
        <v>0.05</v>
      </c>
      <c r="K779">
        <v>297.35000000000002</v>
      </c>
      <c r="L779">
        <v>63.55</v>
      </c>
    </row>
    <row r="780" spans="1:12" x14ac:dyDescent="0.3">
      <c r="A780" t="s">
        <v>1016</v>
      </c>
      <c r="B780" s="3">
        <v>45874</v>
      </c>
      <c r="C780" t="s">
        <v>640</v>
      </c>
      <c r="D780" t="s">
        <v>47</v>
      </c>
      <c r="E780" t="s">
        <v>26</v>
      </c>
      <c r="F780" t="s">
        <v>58</v>
      </c>
      <c r="G780" t="s">
        <v>126</v>
      </c>
      <c r="H780">
        <v>3</v>
      </c>
      <c r="I780">
        <v>15071</v>
      </c>
      <c r="J780">
        <v>0.1</v>
      </c>
      <c r="K780">
        <v>40691.699999999997</v>
      </c>
      <c r="L780">
        <v>5233.97</v>
      </c>
    </row>
    <row r="781" spans="1:12" x14ac:dyDescent="0.3">
      <c r="A781" t="s">
        <v>1017</v>
      </c>
      <c r="B781" s="3">
        <v>45925</v>
      </c>
      <c r="C781" t="s">
        <v>61</v>
      </c>
      <c r="D781" t="s">
        <v>120</v>
      </c>
      <c r="E781" t="s">
        <v>51</v>
      </c>
      <c r="F781" t="s">
        <v>58</v>
      </c>
      <c r="G781" t="s">
        <v>69</v>
      </c>
      <c r="H781">
        <v>1</v>
      </c>
      <c r="I781">
        <v>1561</v>
      </c>
      <c r="J781">
        <v>0.1</v>
      </c>
      <c r="K781">
        <v>1404.9</v>
      </c>
      <c r="L781">
        <v>344.06</v>
      </c>
    </row>
    <row r="782" spans="1:12" x14ac:dyDescent="0.3">
      <c r="A782" t="s">
        <v>1018</v>
      </c>
      <c r="B782" s="3">
        <v>45715</v>
      </c>
      <c r="C782" t="s">
        <v>199</v>
      </c>
      <c r="D782" t="s">
        <v>103</v>
      </c>
      <c r="E782" t="s">
        <v>51</v>
      </c>
      <c r="F782" t="s">
        <v>16</v>
      </c>
      <c r="G782" t="s">
        <v>52</v>
      </c>
      <c r="H782">
        <v>3</v>
      </c>
      <c r="I782">
        <v>1257</v>
      </c>
      <c r="J782">
        <v>0.1</v>
      </c>
      <c r="K782">
        <v>3393.9</v>
      </c>
      <c r="L782">
        <v>296.99</v>
      </c>
    </row>
    <row r="783" spans="1:12" x14ac:dyDescent="0.3">
      <c r="A783" t="s">
        <v>1019</v>
      </c>
      <c r="B783" s="3">
        <v>45889</v>
      </c>
      <c r="C783" t="s">
        <v>125</v>
      </c>
      <c r="D783" t="s">
        <v>307</v>
      </c>
      <c r="E783" t="s">
        <v>73</v>
      </c>
      <c r="F783" t="s">
        <v>21</v>
      </c>
      <c r="G783" t="s">
        <v>55</v>
      </c>
      <c r="H783">
        <v>5</v>
      </c>
      <c r="I783">
        <v>420</v>
      </c>
      <c r="J783">
        <v>0.05</v>
      </c>
      <c r="K783">
        <v>1995</v>
      </c>
      <c r="L783">
        <v>243.01</v>
      </c>
    </row>
    <row r="784" spans="1:12" x14ac:dyDescent="0.3">
      <c r="A784" t="s">
        <v>1020</v>
      </c>
      <c r="B784" s="3">
        <v>45750</v>
      </c>
      <c r="C784" t="s">
        <v>263</v>
      </c>
      <c r="D784" t="s">
        <v>47</v>
      </c>
      <c r="E784" t="s">
        <v>26</v>
      </c>
      <c r="F784" t="s">
        <v>27</v>
      </c>
      <c r="G784" t="s">
        <v>28</v>
      </c>
      <c r="H784">
        <v>1</v>
      </c>
      <c r="I784">
        <v>19012</v>
      </c>
      <c r="J784">
        <v>0.1</v>
      </c>
      <c r="K784">
        <v>17110.8</v>
      </c>
      <c r="L784">
        <v>3091.97</v>
      </c>
    </row>
    <row r="785" spans="1:12" x14ac:dyDescent="0.3">
      <c r="A785" t="s">
        <v>1021</v>
      </c>
      <c r="B785" s="3">
        <v>45680</v>
      </c>
      <c r="C785" t="s">
        <v>713</v>
      </c>
      <c r="D785" t="s">
        <v>43</v>
      </c>
      <c r="E785" t="s">
        <v>44</v>
      </c>
      <c r="F785" t="s">
        <v>58</v>
      </c>
      <c r="G785" t="s">
        <v>126</v>
      </c>
      <c r="H785">
        <v>4</v>
      </c>
      <c r="I785">
        <v>1395</v>
      </c>
      <c r="J785">
        <v>0</v>
      </c>
      <c r="K785">
        <v>5580</v>
      </c>
      <c r="L785">
        <v>490.39</v>
      </c>
    </row>
    <row r="786" spans="1:12" x14ac:dyDescent="0.3">
      <c r="A786" t="s">
        <v>1022</v>
      </c>
      <c r="B786" s="3">
        <v>46020</v>
      </c>
      <c r="C786" t="s">
        <v>174</v>
      </c>
      <c r="D786" t="s">
        <v>47</v>
      </c>
      <c r="E786" t="s">
        <v>26</v>
      </c>
      <c r="F786" t="s">
        <v>21</v>
      </c>
      <c r="G786" t="s">
        <v>55</v>
      </c>
      <c r="H786">
        <v>1</v>
      </c>
      <c r="I786">
        <v>9605</v>
      </c>
      <c r="J786">
        <v>0.1</v>
      </c>
      <c r="K786">
        <v>8644.5</v>
      </c>
      <c r="L786">
        <v>1807.73</v>
      </c>
    </row>
    <row r="787" spans="1:12" x14ac:dyDescent="0.3">
      <c r="A787" t="s">
        <v>1023</v>
      </c>
      <c r="B787" s="3">
        <v>45719</v>
      </c>
      <c r="C787" t="s">
        <v>61</v>
      </c>
      <c r="D787" t="s">
        <v>34</v>
      </c>
      <c r="E787" t="s">
        <v>15</v>
      </c>
      <c r="F787" t="s">
        <v>21</v>
      </c>
      <c r="G787" t="s">
        <v>22</v>
      </c>
      <c r="H787">
        <v>3</v>
      </c>
      <c r="I787">
        <v>12036</v>
      </c>
      <c r="J787">
        <v>0.1</v>
      </c>
      <c r="K787">
        <v>32497.200000000001</v>
      </c>
      <c r="L787">
        <v>3172.65</v>
      </c>
    </row>
    <row r="788" spans="1:12" x14ac:dyDescent="0.3">
      <c r="A788" t="s">
        <v>1024</v>
      </c>
      <c r="B788" s="3">
        <v>45861</v>
      </c>
      <c r="C788" t="s">
        <v>178</v>
      </c>
      <c r="D788" t="s">
        <v>307</v>
      </c>
      <c r="E788" t="s">
        <v>73</v>
      </c>
      <c r="F788" t="s">
        <v>58</v>
      </c>
      <c r="G788" t="s">
        <v>69</v>
      </c>
      <c r="H788">
        <v>1</v>
      </c>
      <c r="I788">
        <v>264</v>
      </c>
      <c r="J788">
        <v>0.05</v>
      </c>
      <c r="K788">
        <v>250.8</v>
      </c>
      <c r="L788">
        <v>42.16</v>
      </c>
    </row>
    <row r="789" spans="1:12" x14ac:dyDescent="0.3">
      <c r="A789" t="s">
        <v>1025</v>
      </c>
      <c r="B789" s="3">
        <v>45771</v>
      </c>
      <c r="C789" t="s">
        <v>551</v>
      </c>
      <c r="D789" t="s">
        <v>20</v>
      </c>
      <c r="E789" t="s">
        <v>15</v>
      </c>
      <c r="F789" t="s">
        <v>16</v>
      </c>
      <c r="G789" t="s">
        <v>104</v>
      </c>
      <c r="H789">
        <v>4</v>
      </c>
      <c r="I789">
        <v>5657</v>
      </c>
      <c r="J789">
        <v>0.2</v>
      </c>
      <c r="K789">
        <v>18102.400000000001</v>
      </c>
      <c r="L789">
        <v>2639.6</v>
      </c>
    </row>
    <row r="790" spans="1:12" x14ac:dyDescent="0.3">
      <c r="A790" t="s">
        <v>1026</v>
      </c>
      <c r="B790" s="3">
        <v>45957</v>
      </c>
      <c r="C790" t="s">
        <v>429</v>
      </c>
      <c r="D790" t="s">
        <v>14</v>
      </c>
      <c r="E790" t="s">
        <v>15</v>
      </c>
      <c r="F790" t="s">
        <v>58</v>
      </c>
      <c r="G790" t="s">
        <v>69</v>
      </c>
      <c r="H790">
        <v>1</v>
      </c>
      <c r="I790">
        <v>8274</v>
      </c>
      <c r="J790">
        <v>0</v>
      </c>
      <c r="K790">
        <v>8274</v>
      </c>
      <c r="L790">
        <v>1176.57</v>
      </c>
    </row>
    <row r="791" spans="1:12" x14ac:dyDescent="0.3">
      <c r="A791" t="s">
        <v>1027</v>
      </c>
      <c r="B791" s="3">
        <v>45881</v>
      </c>
      <c r="C791" t="s">
        <v>394</v>
      </c>
      <c r="D791" t="s">
        <v>14</v>
      </c>
      <c r="E791" t="s">
        <v>15</v>
      </c>
      <c r="F791" t="s">
        <v>16</v>
      </c>
      <c r="G791" t="s">
        <v>104</v>
      </c>
      <c r="H791">
        <v>1</v>
      </c>
      <c r="I791">
        <v>16649</v>
      </c>
      <c r="J791">
        <v>0</v>
      </c>
      <c r="K791">
        <v>16649</v>
      </c>
      <c r="L791">
        <v>2451.88</v>
      </c>
    </row>
    <row r="792" spans="1:12" x14ac:dyDescent="0.3">
      <c r="A792" t="s">
        <v>1028</v>
      </c>
      <c r="B792" s="3">
        <v>45753</v>
      </c>
      <c r="C792" t="s">
        <v>197</v>
      </c>
      <c r="D792" t="s">
        <v>72</v>
      </c>
      <c r="E792" t="s">
        <v>73</v>
      </c>
      <c r="F792" t="s">
        <v>21</v>
      </c>
      <c r="G792" t="s">
        <v>35</v>
      </c>
      <c r="H792">
        <v>2</v>
      </c>
      <c r="I792">
        <v>422</v>
      </c>
      <c r="J792">
        <v>0.15</v>
      </c>
      <c r="K792">
        <v>717.4</v>
      </c>
      <c r="L792">
        <v>93.57</v>
      </c>
    </row>
    <row r="793" spans="1:12" x14ac:dyDescent="0.3">
      <c r="A793" t="s">
        <v>1029</v>
      </c>
      <c r="B793" s="3">
        <v>45790</v>
      </c>
      <c r="C793" t="s">
        <v>300</v>
      </c>
      <c r="D793" t="s">
        <v>65</v>
      </c>
      <c r="E793" t="s">
        <v>26</v>
      </c>
      <c r="F793" t="s">
        <v>27</v>
      </c>
      <c r="G793" t="s">
        <v>31</v>
      </c>
      <c r="H793">
        <v>1</v>
      </c>
      <c r="I793">
        <v>4350</v>
      </c>
      <c r="J793">
        <v>0.15</v>
      </c>
      <c r="K793">
        <v>3697.5</v>
      </c>
      <c r="L793">
        <v>819.32</v>
      </c>
    </row>
    <row r="794" spans="1:12" x14ac:dyDescent="0.3">
      <c r="A794" t="s">
        <v>1030</v>
      </c>
      <c r="B794" s="3">
        <v>45991</v>
      </c>
      <c r="C794" t="s">
        <v>436</v>
      </c>
      <c r="D794" t="s">
        <v>50</v>
      </c>
      <c r="E794" t="s">
        <v>51</v>
      </c>
      <c r="F794" t="s">
        <v>21</v>
      </c>
      <c r="G794" t="s">
        <v>22</v>
      </c>
      <c r="H794">
        <v>2</v>
      </c>
      <c r="I794">
        <v>2256</v>
      </c>
      <c r="J794">
        <v>0.2</v>
      </c>
      <c r="K794">
        <v>3609.6</v>
      </c>
      <c r="L794">
        <v>638.33000000000004</v>
      </c>
    </row>
    <row r="795" spans="1:12" x14ac:dyDescent="0.3">
      <c r="A795" t="s">
        <v>1031</v>
      </c>
      <c r="B795" s="3">
        <v>45770</v>
      </c>
      <c r="C795" t="s">
        <v>266</v>
      </c>
      <c r="D795" t="s">
        <v>20</v>
      </c>
      <c r="E795" t="s">
        <v>15</v>
      </c>
      <c r="F795" t="s">
        <v>27</v>
      </c>
      <c r="G795" t="s">
        <v>40</v>
      </c>
      <c r="H795">
        <v>1</v>
      </c>
      <c r="I795">
        <v>10491</v>
      </c>
      <c r="J795">
        <v>0.1</v>
      </c>
      <c r="K795">
        <v>9441.9</v>
      </c>
      <c r="L795">
        <v>873.34</v>
      </c>
    </row>
    <row r="796" spans="1:12" x14ac:dyDescent="0.3">
      <c r="A796" t="s">
        <v>1032</v>
      </c>
      <c r="B796" s="3">
        <v>45701</v>
      </c>
      <c r="C796" t="s">
        <v>705</v>
      </c>
      <c r="D796" t="s">
        <v>120</v>
      </c>
      <c r="E796" t="s">
        <v>51</v>
      </c>
      <c r="F796" t="s">
        <v>27</v>
      </c>
      <c r="G796" t="s">
        <v>28</v>
      </c>
      <c r="H796">
        <v>2</v>
      </c>
      <c r="I796">
        <v>1990</v>
      </c>
      <c r="J796">
        <v>0.2</v>
      </c>
      <c r="K796">
        <v>3184</v>
      </c>
      <c r="L796">
        <v>564.67999999999995</v>
      </c>
    </row>
    <row r="797" spans="1:12" x14ac:dyDescent="0.3">
      <c r="A797" t="s">
        <v>1033</v>
      </c>
      <c r="B797" s="3">
        <v>45972</v>
      </c>
      <c r="C797" t="s">
        <v>85</v>
      </c>
      <c r="D797" t="s">
        <v>202</v>
      </c>
      <c r="E797" t="s">
        <v>44</v>
      </c>
      <c r="F797" t="s">
        <v>16</v>
      </c>
      <c r="G797" t="s">
        <v>104</v>
      </c>
      <c r="H797">
        <v>4</v>
      </c>
      <c r="I797">
        <v>2788</v>
      </c>
      <c r="J797">
        <v>0</v>
      </c>
      <c r="K797">
        <v>11152</v>
      </c>
      <c r="L797">
        <v>1893.8</v>
      </c>
    </row>
    <row r="798" spans="1:12" x14ac:dyDescent="0.3">
      <c r="A798" t="s">
        <v>1034</v>
      </c>
      <c r="B798" s="3">
        <v>46014</v>
      </c>
      <c r="C798" t="s">
        <v>134</v>
      </c>
      <c r="D798" t="s">
        <v>68</v>
      </c>
      <c r="E798" t="s">
        <v>44</v>
      </c>
      <c r="F798" t="s">
        <v>16</v>
      </c>
      <c r="G798" t="s">
        <v>104</v>
      </c>
      <c r="H798">
        <v>2</v>
      </c>
      <c r="I798">
        <v>5148</v>
      </c>
      <c r="J798">
        <v>0.15</v>
      </c>
      <c r="K798">
        <v>8751.6</v>
      </c>
      <c r="L798">
        <v>1973.6</v>
      </c>
    </row>
    <row r="799" spans="1:12" x14ac:dyDescent="0.3">
      <c r="A799" t="s">
        <v>1035</v>
      </c>
      <c r="B799" s="3">
        <v>45960</v>
      </c>
      <c r="C799" t="s">
        <v>276</v>
      </c>
      <c r="D799" t="s">
        <v>153</v>
      </c>
      <c r="E799" t="s">
        <v>26</v>
      </c>
      <c r="F799" t="s">
        <v>21</v>
      </c>
      <c r="G799" t="s">
        <v>22</v>
      </c>
      <c r="H799">
        <v>1</v>
      </c>
      <c r="I799">
        <v>6185</v>
      </c>
      <c r="J799">
        <v>0.2</v>
      </c>
      <c r="K799">
        <v>4948</v>
      </c>
      <c r="L799">
        <v>775.46</v>
      </c>
    </row>
    <row r="800" spans="1:12" x14ac:dyDescent="0.3">
      <c r="A800" t="s">
        <v>1036</v>
      </c>
      <c r="B800" s="3">
        <v>45795</v>
      </c>
      <c r="C800" t="s">
        <v>321</v>
      </c>
      <c r="D800" t="s">
        <v>80</v>
      </c>
      <c r="E800" t="s">
        <v>51</v>
      </c>
      <c r="F800" t="s">
        <v>21</v>
      </c>
      <c r="G800" t="s">
        <v>35</v>
      </c>
      <c r="H800">
        <v>3</v>
      </c>
      <c r="I800">
        <v>54528</v>
      </c>
      <c r="J800">
        <v>0.05</v>
      </c>
      <c r="K800">
        <v>155404.79999999999</v>
      </c>
      <c r="L800">
        <v>26223.05</v>
      </c>
    </row>
    <row r="801" spans="1:12" x14ac:dyDescent="0.3">
      <c r="A801" t="s">
        <v>1037</v>
      </c>
      <c r="B801" s="3">
        <v>45891</v>
      </c>
      <c r="C801" t="s">
        <v>317</v>
      </c>
      <c r="D801" t="s">
        <v>14</v>
      </c>
      <c r="E801" t="s">
        <v>15</v>
      </c>
      <c r="F801" t="s">
        <v>16</v>
      </c>
      <c r="G801" t="s">
        <v>17</v>
      </c>
      <c r="H801">
        <v>3</v>
      </c>
      <c r="I801">
        <v>8414</v>
      </c>
      <c r="J801">
        <v>0</v>
      </c>
      <c r="K801">
        <v>25242</v>
      </c>
      <c r="L801">
        <v>4414.59</v>
      </c>
    </row>
    <row r="802" spans="1:12" x14ac:dyDescent="0.3">
      <c r="A802" t="s">
        <v>1038</v>
      </c>
      <c r="B802" s="3">
        <v>45798</v>
      </c>
      <c r="C802" t="s">
        <v>206</v>
      </c>
      <c r="D802" t="s">
        <v>50</v>
      </c>
      <c r="E802" t="s">
        <v>51</v>
      </c>
      <c r="F802" t="s">
        <v>16</v>
      </c>
      <c r="G802" t="s">
        <v>52</v>
      </c>
      <c r="H802">
        <v>3</v>
      </c>
      <c r="I802">
        <v>2645</v>
      </c>
      <c r="J802">
        <v>0</v>
      </c>
      <c r="K802">
        <v>7935</v>
      </c>
      <c r="L802">
        <v>1877.18</v>
      </c>
    </row>
    <row r="803" spans="1:12" x14ac:dyDescent="0.3">
      <c r="A803" t="s">
        <v>1039</v>
      </c>
      <c r="B803" s="3">
        <v>45785</v>
      </c>
      <c r="C803" t="s">
        <v>131</v>
      </c>
      <c r="D803" t="s">
        <v>50</v>
      </c>
      <c r="E803" t="s">
        <v>51</v>
      </c>
      <c r="F803" t="s">
        <v>16</v>
      </c>
      <c r="G803" t="s">
        <v>52</v>
      </c>
      <c r="H803">
        <v>2</v>
      </c>
      <c r="I803">
        <v>2818</v>
      </c>
      <c r="J803">
        <v>0</v>
      </c>
      <c r="K803">
        <v>5636</v>
      </c>
      <c r="L803">
        <v>1056.28</v>
      </c>
    </row>
    <row r="804" spans="1:12" x14ac:dyDescent="0.3">
      <c r="A804" t="s">
        <v>1040</v>
      </c>
      <c r="B804" s="3">
        <v>45673</v>
      </c>
      <c r="C804" t="s">
        <v>161</v>
      </c>
      <c r="D804" t="s">
        <v>50</v>
      </c>
      <c r="E804" t="s">
        <v>51</v>
      </c>
      <c r="F804" t="s">
        <v>58</v>
      </c>
      <c r="G804" t="s">
        <v>69</v>
      </c>
      <c r="H804">
        <v>2</v>
      </c>
      <c r="I804">
        <v>3251</v>
      </c>
      <c r="J804">
        <v>0.15</v>
      </c>
      <c r="K804">
        <v>5526.7</v>
      </c>
      <c r="L804">
        <v>1255.07</v>
      </c>
    </row>
    <row r="805" spans="1:12" x14ac:dyDescent="0.3">
      <c r="A805" t="s">
        <v>1041</v>
      </c>
      <c r="B805" s="3">
        <v>45860</v>
      </c>
      <c r="C805" t="s">
        <v>85</v>
      </c>
      <c r="D805" t="s">
        <v>14</v>
      </c>
      <c r="E805" t="s">
        <v>15</v>
      </c>
      <c r="F805" t="s">
        <v>27</v>
      </c>
      <c r="G805" t="s">
        <v>28</v>
      </c>
      <c r="H805">
        <v>4</v>
      </c>
      <c r="I805">
        <v>6109</v>
      </c>
      <c r="J805">
        <v>0</v>
      </c>
      <c r="K805">
        <v>24436</v>
      </c>
      <c r="L805">
        <v>3178.43</v>
      </c>
    </row>
    <row r="806" spans="1:12" x14ac:dyDescent="0.3">
      <c r="A806" t="s">
        <v>1042</v>
      </c>
      <c r="B806" s="3">
        <v>45932</v>
      </c>
      <c r="C806" t="s">
        <v>376</v>
      </c>
      <c r="D806" t="s">
        <v>153</v>
      </c>
      <c r="E806" t="s">
        <v>26</v>
      </c>
      <c r="F806" t="s">
        <v>16</v>
      </c>
      <c r="G806" t="s">
        <v>104</v>
      </c>
      <c r="H806">
        <v>2</v>
      </c>
      <c r="I806">
        <v>9779</v>
      </c>
      <c r="J806">
        <v>0.1</v>
      </c>
      <c r="K806">
        <v>17602.2</v>
      </c>
      <c r="L806">
        <v>2592.4299999999998</v>
      </c>
    </row>
    <row r="807" spans="1:12" x14ac:dyDescent="0.3">
      <c r="A807" t="s">
        <v>1043</v>
      </c>
      <c r="B807" s="3">
        <v>45850</v>
      </c>
      <c r="C807" t="s">
        <v>485</v>
      </c>
      <c r="D807" t="s">
        <v>47</v>
      </c>
      <c r="E807" t="s">
        <v>26</v>
      </c>
      <c r="F807" t="s">
        <v>58</v>
      </c>
      <c r="G807" t="s">
        <v>59</v>
      </c>
      <c r="H807">
        <v>2</v>
      </c>
      <c r="I807">
        <v>9167</v>
      </c>
      <c r="J807">
        <v>0.05</v>
      </c>
      <c r="K807">
        <v>17417.3</v>
      </c>
      <c r="L807">
        <v>2557.2199999999998</v>
      </c>
    </row>
    <row r="808" spans="1:12" x14ac:dyDescent="0.3">
      <c r="A808" t="s">
        <v>1044</v>
      </c>
      <c r="B808" s="3">
        <v>45863</v>
      </c>
      <c r="C808" t="s">
        <v>215</v>
      </c>
      <c r="D808" t="s">
        <v>47</v>
      </c>
      <c r="E808" t="s">
        <v>26</v>
      </c>
      <c r="F808" t="s">
        <v>21</v>
      </c>
      <c r="G808" t="s">
        <v>22</v>
      </c>
      <c r="H808">
        <v>1</v>
      </c>
      <c r="I808">
        <v>15310</v>
      </c>
      <c r="J808">
        <v>0</v>
      </c>
      <c r="K808">
        <v>15310</v>
      </c>
      <c r="L808">
        <v>2092.02</v>
      </c>
    </row>
    <row r="809" spans="1:12" x14ac:dyDescent="0.3">
      <c r="A809" t="s">
        <v>1045</v>
      </c>
      <c r="B809" s="3">
        <v>45999</v>
      </c>
      <c r="C809" t="s">
        <v>125</v>
      </c>
      <c r="D809" t="s">
        <v>103</v>
      </c>
      <c r="E809" t="s">
        <v>51</v>
      </c>
      <c r="F809" t="s">
        <v>58</v>
      </c>
      <c r="G809" t="s">
        <v>69</v>
      </c>
      <c r="H809">
        <v>1</v>
      </c>
      <c r="I809">
        <v>3978</v>
      </c>
      <c r="J809">
        <v>0.1</v>
      </c>
      <c r="K809">
        <v>3580.2</v>
      </c>
      <c r="L809">
        <v>687.48</v>
      </c>
    </row>
    <row r="810" spans="1:12" x14ac:dyDescent="0.3">
      <c r="A810" t="s">
        <v>1046</v>
      </c>
      <c r="B810" s="3">
        <v>45927</v>
      </c>
      <c r="C810" t="s">
        <v>965</v>
      </c>
      <c r="D810" t="s">
        <v>88</v>
      </c>
      <c r="E810" t="s">
        <v>73</v>
      </c>
      <c r="F810" t="s">
        <v>21</v>
      </c>
      <c r="G810" t="s">
        <v>35</v>
      </c>
      <c r="H810">
        <v>1</v>
      </c>
      <c r="I810">
        <v>418</v>
      </c>
      <c r="J810">
        <v>0.25</v>
      </c>
      <c r="K810">
        <v>313.5</v>
      </c>
      <c r="L810">
        <v>76.849999999999994</v>
      </c>
    </row>
    <row r="811" spans="1:12" x14ac:dyDescent="0.3">
      <c r="A811" t="s">
        <v>1047</v>
      </c>
      <c r="B811" s="3">
        <v>45932</v>
      </c>
      <c r="C811" t="s">
        <v>185</v>
      </c>
      <c r="D811" t="s">
        <v>120</v>
      </c>
      <c r="E811" t="s">
        <v>51</v>
      </c>
      <c r="F811" t="s">
        <v>21</v>
      </c>
      <c r="G811" t="s">
        <v>22</v>
      </c>
      <c r="H811">
        <v>4</v>
      </c>
      <c r="I811">
        <v>1731</v>
      </c>
      <c r="J811">
        <v>0</v>
      </c>
      <c r="K811">
        <v>6924</v>
      </c>
      <c r="L811">
        <v>1480.56</v>
      </c>
    </row>
    <row r="812" spans="1:12" x14ac:dyDescent="0.3">
      <c r="A812" t="s">
        <v>1048</v>
      </c>
      <c r="B812" s="3">
        <v>45875</v>
      </c>
      <c r="C812" t="s">
        <v>617</v>
      </c>
      <c r="D812" t="s">
        <v>14</v>
      </c>
      <c r="E812" t="s">
        <v>15</v>
      </c>
      <c r="F812" t="s">
        <v>58</v>
      </c>
      <c r="G812" t="s">
        <v>126</v>
      </c>
      <c r="H812">
        <v>1</v>
      </c>
      <c r="I812">
        <v>10275</v>
      </c>
      <c r="J812">
        <v>0</v>
      </c>
      <c r="K812">
        <v>10275</v>
      </c>
      <c r="L812">
        <v>2250.4699999999998</v>
      </c>
    </row>
    <row r="813" spans="1:12" x14ac:dyDescent="0.3">
      <c r="A813" t="s">
        <v>1049</v>
      </c>
      <c r="B813" s="3">
        <v>45669</v>
      </c>
      <c r="C813" t="s">
        <v>231</v>
      </c>
      <c r="D813" t="s">
        <v>68</v>
      </c>
      <c r="E813" t="s">
        <v>44</v>
      </c>
      <c r="F813" t="s">
        <v>16</v>
      </c>
      <c r="G813" t="s">
        <v>17</v>
      </c>
      <c r="H813">
        <v>1</v>
      </c>
      <c r="I813">
        <v>7509</v>
      </c>
      <c r="J813">
        <v>0.1</v>
      </c>
      <c r="K813">
        <v>6758.1</v>
      </c>
      <c r="L813">
        <v>1261.71</v>
      </c>
    </row>
    <row r="814" spans="1:12" x14ac:dyDescent="0.3">
      <c r="A814" t="s">
        <v>1050</v>
      </c>
      <c r="B814" s="3">
        <v>45778</v>
      </c>
      <c r="C814" t="s">
        <v>111</v>
      </c>
      <c r="D814" t="s">
        <v>43</v>
      </c>
      <c r="E814" t="s">
        <v>44</v>
      </c>
      <c r="F814" t="s">
        <v>16</v>
      </c>
      <c r="G814" t="s">
        <v>52</v>
      </c>
      <c r="H814">
        <v>2</v>
      </c>
      <c r="I814">
        <v>610</v>
      </c>
      <c r="J814">
        <v>0.15</v>
      </c>
      <c r="K814">
        <v>1037</v>
      </c>
      <c r="L814">
        <v>269.54000000000002</v>
      </c>
    </row>
    <row r="815" spans="1:12" x14ac:dyDescent="0.3">
      <c r="A815" t="s">
        <v>1051</v>
      </c>
      <c r="B815" s="3">
        <v>45894</v>
      </c>
      <c r="C815" t="s">
        <v>257</v>
      </c>
      <c r="D815" t="s">
        <v>50</v>
      </c>
      <c r="E815" t="s">
        <v>51</v>
      </c>
      <c r="F815" t="s">
        <v>27</v>
      </c>
      <c r="G815" t="s">
        <v>28</v>
      </c>
      <c r="H815">
        <v>1</v>
      </c>
      <c r="I815">
        <v>2617</v>
      </c>
      <c r="J815">
        <v>0.1</v>
      </c>
      <c r="K815">
        <v>2355.3000000000002</v>
      </c>
      <c r="L815">
        <v>500.64</v>
      </c>
    </row>
    <row r="816" spans="1:12" x14ac:dyDescent="0.3">
      <c r="A816" t="s">
        <v>1052</v>
      </c>
      <c r="B816" s="3">
        <v>45873</v>
      </c>
      <c r="C816" t="s">
        <v>401</v>
      </c>
      <c r="D816" t="s">
        <v>34</v>
      </c>
      <c r="E816" t="s">
        <v>15</v>
      </c>
      <c r="F816" t="s">
        <v>21</v>
      </c>
      <c r="G816" t="s">
        <v>22</v>
      </c>
      <c r="H816">
        <v>1</v>
      </c>
      <c r="I816">
        <v>14315</v>
      </c>
      <c r="J816">
        <v>0.1</v>
      </c>
      <c r="K816">
        <v>12883.5</v>
      </c>
      <c r="L816">
        <v>2424.23</v>
      </c>
    </row>
    <row r="817" spans="1:12" x14ac:dyDescent="0.3">
      <c r="A817" t="s">
        <v>1053</v>
      </c>
      <c r="B817" s="3">
        <v>45924</v>
      </c>
      <c r="C817" t="s">
        <v>436</v>
      </c>
      <c r="D817" t="s">
        <v>68</v>
      </c>
      <c r="E817" t="s">
        <v>44</v>
      </c>
      <c r="F817" t="s">
        <v>21</v>
      </c>
      <c r="G817" t="s">
        <v>55</v>
      </c>
      <c r="H817">
        <v>1</v>
      </c>
      <c r="I817">
        <v>6408</v>
      </c>
      <c r="J817">
        <v>0.05</v>
      </c>
      <c r="K817">
        <v>6087.6</v>
      </c>
      <c r="L817">
        <v>1482.68</v>
      </c>
    </row>
    <row r="818" spans="1:12" x14ac:dyDescent="0.3">
      <c r="A818" t="s">
        <v>1054</v>
      </c>
      <c r="B818" s="3">
        <v>45841</v>
      </c>
      <c r="C818" t="s">
        <v>260</v>
      </c>
      <c r="D818" t="s">
        <v>307</v>
      </c>
      <c r="E818" t="s">
        <v>73</v>
      </c>
      <c r="F818" t="s">
        <v>58</v>
      </c>
      <c r="G818" t="s">
        <v>69</v>
      </c>
      <c r="H818">
        <v>1</v>
      </c>
      <c r="I818">
        <v>416</v>
      </c>
      <c r="J818">
        <v>0.1</v>
      </c>
      <c r="K818">
        <v>374.4</v>
      </c>
      <c r="L818">
        <v>36.35</v>
      </c>
    </row>
    <row r="819" spans="1:12" x14ac:dyDescent="0.3">
      <c r="A819" t="s">
        <v>1055</v>
      </c>
      <c r="B819" s="3">
        <v>45855</v>
      </c>
      <c r="C819" t="s">
        <v>295</v>
      </c>
      <c r="D819" t="s">
        <v>88</v>
      </c>
      <c r="E819" t="s">
        <v>73</v>
      </c>
      <c r="F819" t="s">
        <v>16</v>
      </c>
      <c r="G819" t="s">
        <v>17</v>
      </c>
      <c r="H819">
        <v>4</v>
      </c>
      <c r="I819">
        <v>234</v>
      </c>
      <c r="J819">
        <v>0.05</v>
      </c>
      <c r="K819">
        <v>889.2</v>
      </c>
      <c r="L819">
        <v>230.94</v>
      </c>
    </row>
    <row r="820" spans="1:12" x14ac:dyDescent="0.3">
      <c r="A820" t="s">
        <v>1056</v>
      </c>
      <c r="B820" s="3">
        <v>45728</v>
      </c>
      <c r="C820" t="s">
        <v>337</v>
      </c>
      <c r="D820" t="s">
        <v>80</v>
      </c>
      <c r="E820" t="s">
        <v>51</v>
      </c>
      <c r="F820" t="s">
        <v>27</v>
      </c>
      <c r="G820" t="s">
        <v>40</v>
      </c>
      <c r="H820">
        <v>1</v>
      </c>
      <c r="I820">
        <v>62521</v>
      </c>
      <c r="J820">
        <v>0.05</v>
      </c>
      <c r="K820">
        <v>59394.95</v>
      </c>
      <c r="L820">
        <v>9846.7199999999993</v>
      </c>
    </row>
    <row r="821" spans="1:12" x14ac:dyDescent="0.3">
      <c r="A821" t="s">
        <v>1057</v>
      </c>
      <c r="B821" s="3">
        <v>45751</v>
      </c>
      <c r="C821" t="s">
        <v>260</v>
      </c>
      <c r="D821" t="s">
        <v>34</v>
      </c>
      <c r="E821" t="s">
        <v>15</v>
      </c>
      <c r="F821" t="s">
        <v>16</v>
      </c>
      <c r="G821" t="s">
        <v>104</v>
      </c>
      <c r="H821">
        <v>1</v>
      </c>
      <c r="I821">
        <v>12331</v>
      </c>
      <c r="J821">
        <v>0.1</v>
      </c>
      <c r="K821">
        <v>11097.9</v>
      </c>
      <c r="L821">
        <v>1868.56</v>
      </c>
    </row>
    <row r="822" spans="1:12" x14ac:dyDescent="0.3">
      <c r="A822" t="s">
        <v>1058</v>
      </c>
      <c r="B822" s="3">
        <v>45745</v>
      </c>
      <c r="C822" t="s">
        <v>542</v>
      </c>
      <c r="D822" t="s">
        <v>14</v>
      </c>
      <c r="E822" t="s">
        <v>15</v>
      </c>
      <c r="F822" t="s">
        <v>16</v>
      </c>
      <c r="G822" t="s">
        <v>52</v>
      </c>
      <c r="H822">
        <v>1</v>
      </c>
      <c r="I822">
        <v>17192</v>
      </c>
      <c r="J822">
        <v>0.05</v>
      </c>
      <c r="K822">
        <v>16332.4</v>
      </c>
      <c r="L822">
        <v>3895.91</v>
      </c>
    </row>
    <row r="823" spans="1:12" x14ac:dyDescent="0.3">
      <c r="A823" t="s">
        <v>1059</v>
      </c>
      <c r="B823" s="3">
        <v>45860</v>
      </c>
      <c r="C823" t="s">
        <v>94</v>
      </c>
      <c r="D823" t="s">
        <v>34</v>
      </c>
      <c r="E823" t="s">
        <v>15</v>
      </c>
      <c r="F823" t="s">
        <v>21</v>
      </c>
      <c r="G823" t="s">
        <v>35</v>
      </c>
      <c r="H823">
        <v>1</v>
      </c>
      <c r="I823">
        <v>9371</v>
      </c>
      <c r="J823">
        <v>0.15</v>
      </c>
      <c r="K823">
        <v>7965.35</v>
      </c>
      <c r="L823">
        <v>1646.89</v>
      </c>
    </row>
    <row r="824" spans="1:12" x14ac:dyDescent="0.3">
      <c r="A824" t="s">
        <v>1060</v>
      </c>
      <c r="B824" s="3">
        <v>45895</v>
      </c>
      <c r="C824" t="s">
        <v>251</v>
      </c>
      <c r="D824" t="s">
        <v>68</v>
      </c>
      <c r="E824" t="s">
        <v>44</v>
      </c>
      <c r="F824" t="s">
        <v>21</v>
      </c>
      <c r="G824" t="s">
        <v>55</v>
      </c>
      <c r="H824">
        <v>4</v>
      </c>
      <c r="I824">
        <v>6465</v>
      </c>
      <c r="J824">
        <v>0</v>
      </c>
      <c r="K824">
        <v>25860</v>
      </c>
      <c r="L824">
        <v>4742.76</v>
      </c>
    </row>
    <row r="825" spans="1:12" x14ac:dyDescent="0.3">
      <c r="A825" t="s">
        <v>1061</v>
      </c>
      <c r="B825" s="3">
        <v>45795</v>
      </c>
      <c r="C825" t="s">
        <v>270</v>
      </c>
      <c r="D825" t="s">
        <v>92</v>
      </c>
      <c r="E825" t="s">
        <v>51</v>
      </c>
      <c r="F825" t="s">
        <v>21</v>
      </c>
      <c r="G825" t="s">
        <v>35</v>
      </c>
      <c r="H825">
        <v>3</v>
      </c>
      <c r="I825">
        <v>12484</v>
      </c>
      <c r="J825">
        <v>0.1</v>
      </c>
      <c r="K825">
        <v>33706.800000000003</v>
      </c>
      <c r="L825">
        <v>8111.29</v>
      </c>
    </row>
    <row r="826" spans="1:12" x14ac:dyDescent="0.3">
      <c r="A826" t="s">
        <v>1062</v>
      </c>
      <c r="B826" s="3">
        <v>45713</v>
      </c>
      <c r="C826" t="s">
        <v>61</v>
      </c>
      <c r="D826" t="s">
        <v>25</v>
      </c>
      <c r="E826" t="s">
        <v>26</v>
      </c>
      <c r="F826" t="s">
        <v>16</v>
      </c>
      <c r="G826" t="s">
        <v>52</v>
      </c>
      <c r="H826">
        <v>2</v>
      </c>
      <c r="I826">
        <v>10590</v>
      </c>
      <c r="J826">
        <v>0.05</v>
      </c>
      <c r="K826">
        <v>20121</v>
      </c>
      <c r="L826">
        <v>1709.72</v>
      </c>
    </row>
    <row r="827" spans="1:12" x14ac:dyDescent="0.3">
      <c r="A827" t="s">
        <v>1063</v>
      </c>
      <c r="B827" s="3">
        <v>45786</v>
      </c>
      <c r="C827" t="s">
        <v>272</v>
      </c>
      <c r="D827" t="s">
        <v>92</v>
      </c>
      <c r="E827" t="s">
        <v>51</v>
      </c>
      <c r="F827" t="s">
        <v>27</v>
      </c>
      <c r="G827" t="s">
        <v>28</v>
      </c>
      <c r="H827">
        <v>4</v>
      </c>
      <c r="I827">
        <v>17721</v>
      </c>
      <c r="J827">
        <v>0.1</v>
      </c>
      <c r="K827">
        <v>63795.6</v>
      </c>
      <c r="L827">
        <v>16628.62</v>
      </c>
    </row>
    <row r="828" spans="1:12" x14ac:dyDescent="0.3">
      <c r="A828" t="s">
        <v>1064</v>
      </c>
      <c r="B828" s="3">
        <v>45956</v>
      </c>
      <c r="C828" t="s">
        <v>463</v>
      </c>
      <c r="D828" t="s">
        <v>92</v>
      </c>
      <c r="E828" t="s">
        <v>51</v>
      </c>
      <c r="F828" t="s">
        <v>21</v>
      </c>
      <c r="G828" t="s">
        <v>55</v>
      </c>
      <c r="H828">
        <v>1</v>
      </c>
      <c r="I828">
        <v>11463</v>
      </c>
      <c r="J828">
        <v>0.1</v>
      </c>
      <c r="K828">
        <v>10316.700000000001</v>
      </c>
      <c r="L828">
        <v>1328.05</v>
      </c>
    </row>
    <row r="829" spans="1:12" x14ac:dyDescent="0.3">
      <c r="A829" t="s">
        <v>1065</v>
      </c>
      <c r="B829" s="3">
        <v>45822</v>
      </c>
      <c r="C829" t="s">
        <v>217</v>
      </c>
      <c r="D829" t="s">
        <v>83</v>
      </c>
      <c r="E829" t="s">
        <v>73</v>
      </c>
      <c r="F829" t="s">
        <v>16</v>
      </c>
      <c r="G829" t="s">
        <v>17</v>
      </c>
      <c r="H829">
        <v>1</v>
      </c>
      <c r="I829">
        <v>624</v>
      </c>
      <c r="J829">
        <v>0.15</v>
      </c>
      <c r="K829">
        <v>530.4</v>
      </c>
      <c r="L829">
        <v>44.27</v>
      </c>
    </row>
    <row r="830" spans="1:12" x14ac:dyDescent="0.3">
      <c r="A830" t="s">
        <v>1066</v>
      </c>
      <c r="B830" s="3">
        <v>46020</v>
      </c>
      <c r="C830" t="s">
        <v>125</v>
      </c>
      <c r="D830" t="s">
        <v>68</v>
      </c>
      <c r="E830" t="s">
        <v>44</v>
      </c>
      <c r="F830" t="s">
        <v>16</v>
      </c>
      <c r="G830" t="s">
        <v>104</v>
      </c>
      <c r="H830">
        <v>4</v>
      </c>
      <c r="I830">
        <v>3936</v>
      </c>
      <c r="J830">
        <v>0</v>
      </c>
      <c r="K830">
        <v>15744</v>
      </c>
      <c r="L830">
        <v>3032.81</v>
      </c>
    </row>
    <row r="831" spans="1:12" x14ac:dyDescent="0.3">
      <c r="A831" t="s">
        <v>1067</v>
      </c>
      <c r="B831" s="3">
        <v>45833</v>
      </c>
      <c r="C831" t="s">
        <v>217</v>
      </c>
      <c r="D831" t="s">
        <v>103</v>
      </c>
      <c r="E831" t="s">
        <v>51</v>
      </c>
      <c r="F831" t="s">
        <v>16</v>
      </c>
      <c r="G831" t="s">
        <v>104</v>
      </c>
      <c r="H831">
        <v>1</v>
      </c>
      <c r="I831">
        <v>2083</v>
      </c>
      <c r="J831">
        <v>0.1</v>
      </c>
      <c r="K831">
        <v>1874.7</v>
      </c>
      <c r="L831">
        <v>473.12</v>
      </c>
    </row>
    <row r="832" spans="1:12" x14ac:dyDescent="0.3">
      <c r="A832" t="s">
        <v>1068</v>
      </c>
      <c r="B832" s="3">
        <v>45845</v>
      </c>
      <c r="C832" t="s">
        <v>315</v>
      </c>
      <c r="D832" t="s">
        <v>307</v>
      </c>
      <c r="E832" t="s">
        <v>73</v>
      </c>
      <c r="F832" t="s">
        <v>58</v>
      </c>
      <c r="G832" t="s">
        <v>126</v>
      </c>
      <c r="H832">
        <v>3</v>
      </c>
      <c r="I832">
        <v>450</v>
      </c>
      <c r="J832">
        <v>0.15</v>
      </c>
      <c r="K832">
        <v>1147.5</v>
      </c>
      <c r="L832">
        <v>118.01</v>
      </c>
    </row>
    <row r="833" spans="1:12" x14ac:dyDescent="0.3">
      <c r="A833" t="s">
        <v>1069</v>
      </c>
      <c r="B833" s="3">
        <v>45893</v>
      </c>
      <c r="C833" t="s">
        <v>401</v>
      </c>
      <c r="D833" t="s">
        <v>30</v>
      </c>
      <c r="E833" t="s">
        <v>15</v>
      </c>
      <c r="F833" t="s">
        <v>21</v>
      </c>
      <c r="G833" t="s">
        <v>22</v>
      </c>
      <c r="H833">
        <v>2</v>
      </c>
      <c r="I833">
        <v>12450</v>
      </c>
      <c r="J833">
        <v>0.1</v>
      </c>
      <c r="K833">
        <v>22410</v>
      </c>
      <c r="L833">
        <v>6271.25</v>
      </c>
    </row>
    <row r="834" spans="1:12" x14ac:dyDescent="0.3">
      <c r="A834" t="s">
        <v>1070</v>
      </c>
      <c r="B834" s="3">
        <v>45950</v>
      </c>
      <c r="C834" t="s">
        <v>225</v>
      </c>
      <c r="D834" t="s">
        <v>80</v>
      </c>
      <c r="E834" t="s">
        <v>51</v>
      </c>
      <c r="F834" t="s">
        <v>16</v>
      </c>
      <c r="G834" t="s">
        <v>104</v>
      </c>
      <c r="H834">
        <v>1</v>
      </c>
      <c r="I834">
        <v>76714</v>
      </c>
      <c r="J834">
        <v>0.2</v>
      </c>
      <c r="K834">
        <v>61371.199999999997</v>
      </c>
      <c r="L834">
        <v>16878.150000000001</v>
      </c>
    </row>
    <row r="835" spans="1:12" x14ac:dyDescent="0.3">
      <c r="A835" t="s">
        <v>1071</v>
      </c>
      <c r="B835" s="3">
        <v>45685</v>
      </c>
      <c r="C835" t="s">
        <v>278</v>
      </c>
      <c r="D835" t="s">
        <v>65</v>
      </c>
      <c r="E835" t="s">
        <v>26</v>
      </c>
      <c r="F835" t="s">
        <v>27</v>
      </c>
      <c r="G835" t="s">
        <v>28</v>
      </c>
      <c r="H835">
        <v>3</v>
      </c>
      <c r="I835">
        <v>1365</v>
      </c>
      <c r="J835">
        <v>0.1</v>
      </c>
      <c r="K835">
        <v>3685.5</v>
      </c>
      <c r="L835">
        <v>889.52</v>
      </c>
    </row>
    <row r="836" spans="1:12" x14ac:dyDescent="0.3">
      <c r="A836" t="s">
        <v>1072</v>
      </c>
      <c r="B836" s="3">
        <v>45824</v>
      </c>
      <c r="C836" t="s">
        <v>102</v>
      </c>
      <c r="D836" t="s">
        <v>92</v>
      </c>
      <c r="E836" t="s">
        <v>51</v>
      </c>
      <c r="F836" t="s">
        <v>27</v>
      </c>
      <c r="G836" t="s">
        <v>40</v>
      </c>
      <c r="H836">
        <v>1</v>
      </c>
      <c r="I836">
        <v>16710</v>
      </c>
      <c r="J836">
        <v>0.1</v>
      </c>
      <c r="K836">
        <v>15039</v>
      </c>
      <c r="L836">
        <v>2153.39</v>
      </c>
    </row>
    <row r="837" spans="1:12" x14ac:dyDescent="0.3">
      <c r="A837" t="s">
        <v>1073</v>
      </c>
      <c r="B837" s="3">
        <v>45767</v>
      </c>
      <c r="C837" t="s">
        <v>492</v>
      </c>
      <c r="D837" t="s">
        <v>30</v>
      </c>
      <c r="E837" t="s">
        <v>15</v>
      </c>
      <c r="F837" t="s">
        <v>58</v>
      </c>
      <c r="G837" t="s">
        <v>69</v>
      </c>
      <c r="H837">
        <v>3</v>
      </c>
      <c r="I837">
        <v>9730</v>
      </c>
      <c r="J837">
        <v>0.15</v>
      </c>
      <c r="K837">
        <v>24811.5</v>
      </c>
      <c r="L837">
        <v>3491</v>
      </c>
    </row>
    <row r="838" spans="1:12" x14ac:dyDescent="0.3">
      <c r="A838" t="s">
        <v>1074</v>
      </c>
      <c r="B838" s="3">
        <v>45898</v>
      </c>
      <c r="C838" t="s">
        <v>255</v>
      </c>
      <c r="D838" t="s">
        <v>103</v>
      </c>
      <c r="E838" t="s">
        <v>51</v>
      </c>
      <c r="F838" t="s">
        <v>21</v>
      </c>
      <c r="G838" t="s">
        <v>22</v>
      </c>
      <c r="H838">
        <v>1</v>
      </c>
      <c r="I838">
        <v>8986</v>
      </c>
      <c r="J838">
        <v>0</v>
      </c>
      <c r="K838">
        <v>8986</v>
      </c>
      <c r="L838">
        <v>984.97</v>
      </c>
    </row>
    <row r="839" spans="1:12" x14ac:dyDescent="0.3">
      <c r="A839" t="s">
        <v>1075</v>
      </c>
      <c r="B839" s="3">
        <v>45756</v>
      </c>
      <c r="C839" t="s">
        <v>403</v>
      </c>
      <c r="D839" t="s">
        <v>50</v>
      </c>
      <c r="E839" t="s">
        <v>51</v>
      </c>
      <c r="F839" t="s">
        <v>21</v>
      </c>
      <c r="G839" t="s">
        <v>55</v>
      </c>
      <c r="H839">
        <v>2</v>
      </c>
      <c r="I839">
        <v>2929</v>
      </c>
      <c r="J839">
        <v>0.15</v>
      </c>
      <c r="K839">
        <v>4979.3</v>
      </c>
      <c r="L839">
        <v>1352.29</v>
      </c>
    </row>
    <row r="840" spans="1:12" x14ac:dyDescent="0.3">
      <c r="A840" t="s">
        <v>1076</v>
      </c>
      <c r="B840" s="3">
        <v>45855</v>
      </c>
      <c r="C840" t="s">
        <v>282</v>
      </c>
      <c r="D840" t="s">
        <v>30</v>
      </c>
      <c r="E840" t="s">
        <v>15</v>
      </c>
      <c r="F840" t="s">
        <v>27</v>
      </c>
      <c r="G840" t="s">
        <v>28</v>
      </c>
      <c r="H840">
        <v>1</v>
      </c>
      <c r="I840">
        <v>4622</v>
      </c>
      <c r="J840">
        <v>0.15</v>
      </c>
      <c r="K840">
        <v>3928.7</v>
      </c>
      <c r="L840">
        <v>689.21</v>
      </c>
    </row>
    <row r="841" spans="1:12" x14ac:dyDescent="0.3">
      <c r="A841" t="s">
        <v>1077</v>
      </c>
      <c r="B841" s="3">
        <v>45938</v>
      </c>
      <c r="C841" t="s">
        <v>363</v>
      </c>
      <c r="D841" t="s">
        <v>120</v>
      </c>
      <c r="E841" t="s">
        <v>51</v>
      </c>
      <c r="F841" t="s">
        <v>27</v>
      </c>
      <c r="G841" t="s">
        <v>40</v>
      </c>
      <c r="H841">
        <v>2</v>
      </c>
      <c r="I841">
        <v>1857</v>
      </c>
      <c r="J841">
        <v>0.15</v>
      </c>
      <c r="K841">
        <v>3156.9</v>
      </c>
      <c r="L841">
        <v>841.08</v>
      </c>
    </row>
    <row r="842" spans="1:12" x14ac:dyDescent="0.3">
      <c r="A842" t="s">
        <v>1078</v>
      </c>
      <c r="B842" s="3">
        <v>46007</v>
      </c>
      <c r="C842" t="s">
        <v>429</v>
      </c>
      <c r="D842" t="s">
        <v>68</v>
      </c>
      <c r="E842" t="s">
        <v>44</v>
      </c>
      <c r="F842" t="s">
        <v>27</v>
      </c>
      <c r="G842" t="s">
        <v>40</v>
      </c>
      <c r="H842">
        <v>1</v>
      </c>
      <c r="I842">
        <v>3124</v>
      </c>
      <c r="J842">
        <v>0.1</v>
      </c>
      <c r="K842">
        <v>2811.6</v>
      </c>
      <c r="L842">
        <v>452.67</v>
      </c>
    </row>
    <row r="843" spans="1:12" x14ac:dyDescent="0.3">
      <c r="A843" t="s">
        <v>1079</v>
      </c>
      <c r="B843" s="3">
        <v>45703</v>
      </c>
      <c r="C843" t="s">
        <v>111</v>
      </c>
      <c r="D843" t="s">
        <v>202</v>
      </c>
      <c r="E843" t="s">
        <v>44</v>
      </c>
      <c r="F843" t="s">
        <v>58</v>
      </c>
      <c r="G843" t="s">
        <v>69</v>
      </c>
      <c r="H843">
        <v>1</v>
      </c>
      <c r="I843">
        <v>1915</v>
      </c>
      <c r="J843">
        <v>0</v>
      </c>
      <c r="K843">
        <v>1915</v>
      </c>
      <c r="L843">
        <v>409.98</v>
      </c>
    </row>
    <row r="844" spans="1:12" x14ac:dyDescent="0.3">
      <c r="A844" t="s">
        <v>1080</v>
      </c>
      <c r="B844" s="3">
        <v>45835</v>
      </c>
      <c r="C844" t="s">
        <v>371</v>
      </c>
      <c r="D844" t="s">
        <v>97</v>
      </c>
      <c r="E844" t="s">
        <v>44</v>
      </c>
      <c r="F844" t="s">
        <v>27</v>
      </c>
      <c r="G844" t="s">
        <v>28</v>
      </c>
      <c r="H844">
        <v>1</v>
      </c>
      <c r="I844">
        <v>331</v>
      </c>
      <c r="J844">
        <v>0.2</v>
      </c>
      <c r="K844">
        <v>264.8</v>
      </c>
      <c r="L844">
        <v>31.44</v>
      </c>
    </row>
    <row r="845" spans="1:12" x14ac:dyDescent="0.3">
      <c r="A845" t="s">
        <v>1081</v>
      </c>
      <c r="B845" s="3">
        <v>45991</v>
      </c>
      <c r="C845" t="s">
        <v>238</v>
      </c>
      <c r="D845" t="s">
        <v>14</v>
      </c>
      <c r="E845" t="s">
        <v>15</v>
      </c>
      <c r="F845" t="s">
        <v>58</v>
      </c>
      <c r="G845" t="s">
        <v>69</v>
      </c>
      <c r="H845">
        <v>3</v>
      </c>
      <c r="I845">
        <v>11183</v>
      </c>
      <c r="J845">
        <v>0.05</v>
      </c>
      <c r="K845">
        <v>31871.55</v>
      </c>
      <c r="L845">
        <v>6946.87</v>
      </c>
    </row>
    <row r="846" spans="1:12" x14ac:dyDescent="0.3">
      <c r="A846" t="s">
        <v>1082</v>
      </c>
      <c r="B846" s="3">
        <v>45810</v>
      </c>
      <c r="C846" t="s">
        <v>143</v>
      </c>
      <c r="D846" t="s">
        <v>103</v>
      </c>
      <c r="E846" t="s">
        <v>51</v>
      </c>
      <c r="F846" t="s">
        <v>16</v>
      </c>
      <c r="G846" t="s">
        <v>104</v>
      </c>
      <c r="H846">
        <v>4</v>
      </c>
      <c r="I846">
        <v>6144</v>
      </c>
      <c r="J846">
        <v>0</v>
      </c>
      <c r="K846">
        <v>24576</v>
      </c>
      <c r="L846">
        <v>6434.02</v>
      </c>
    </row>
    <row r="847" spans="1:12" x14ac:dyDescent="0.3">
      <c r="A847" t="s">
        <v>1083</v>
      </c>
      <c r="B847" s="3">
        <v>45704</v>
      </c>
      <c r="C847" t="s">
        <v>382</v>
      </c>
      <c r="D847" t="s">
        <v>307</v>
      </c>
      <c r="E847" t="s">
        <v>73</v>
      </c>
      <c r="F847" t="s">
        <v>58</v>
      </c>
      <c r="G847" t="s">
        <v>59</v>
      </c>
      <c r="H847">
        <v>1</v>
      </c>
      <c r="I847">
        <v>146</v>
      </c>
      <c r="J847">
        <v>0.1</v>
      </c>
      <c r="K847">
        <v>131.4</v>
      </c>
      <c r="L847">
        <v>35.69</v>
      </c>
    </row>
    <row r="848" spans="1:12" x14ac:dyDescent="0.3">
      <c r="A848" t="s">
        <v>1084</v>
      </c>
      <c r="B848" s="3">
        <v>45972</v>
      </c>
      <c r="C848" t="s">
        <v>456</v>
      </c>
      <c r="D848" t="s">
        <v>30</v>
      </c>
      <c r="E848" t="s">
        <v>15</v>
      </c>
      <c r="F848" t="s">
        <v>58</v>
      </c>
      <c r="G848" t="s">
        <v>69</v>
      </c>
      <c r="H848">
        <v>2</v>
      </c>
      <c r="I848">
        <v>6332</v>
      </c>
      <c r="J848">
        <v>0</v>
      </c>
      <c r="K848">
        <v>12664</v>
      </c>
      <c r="L848">
        <v>2960.25</v>
      </c>
    </row>
    <row r="849" spans="1:12" x14ac:dyDescent="0.3">
      <c r="A849" t="s">
        <v>1085</v>
      </c>
      <c r="B849" s="3">
        <v>45789</v>
      </c>
      <c r="C849" t="s">
        <v>544</v>
      </c>
      <c r="D849" t="s">
        <v>80</v>
      </c>
      <c r="E849" t="s">
        <v>51</v>
      </c>
      <c r="F849" t="s">
        <v>58</v>
      </c>
      <c r="G849" t="s">
        <v>69</v>
      </c>
      <c r="H849">
        <v>2</v>
      </c>
      <c r="I849">
        <v>82728</v>
      </c>
      <c r="J849">
        <v>0.2</v>
      </c>
      <c r="K849">
        <v>132364.79999999999</v>
      </c>
      <c r="L849">
        <v>16065.69</v>
      </c>
    </row>
    <row r="850" spans="1:12" x14ac:dyDescent="0.3">
      <c r="A850" t="s">
        <v>1086</v>
      </c>
      <c r="B850" s="3">
        <v>45910</v>
      </c>
      <c r="C850" t="s">
        <v>139</v>
      </c>
      <c r="D850" t="s">
        <v>202</v>
      </c>
      <c r="E850" t="s">
        <v>44</v>
      </c>
      <c r="F850" t="s">
        <v>27</v>
      </c>
      <c r="G850" t="s">
        <v>31</v>
      </c>
      <c r="H850">
        <v>2</v>
      </c>
      <c r="I850">
        <v>2140</v>
      </c>
      <c r="J850">
        <v>0.15</v>
      </c>
      <c r="K850">
        <v>3638</v>
      </c>
      <c r="L850">
        <v>841.02</v>
      </c>
    </row>
    <row r="851" spans="1:12" x14ac:dyDescent="0.3">
      <c r="A851" t="s">
        <v>1087</v>
      </c>
      <c r="B851" s="3">
        <v>45843</v>
      </c>
      <c r="C851" t="s">
        <v>204</v>
      </c>
      <c r="D851" t="s">
        <v>68</v>
      </c>
      <c r="E851" t="s">
        <v>44</v>
      </c>
      <c r="F851" t="s">
        <v>21</v>
      </c>
      <c r="G851" t="s">
        <v>55</v>
      </c>
      <c r="H851">
        <v>1</v>
      </c>
      <c r="I851">
        <v>4415</v>
      </c>
      <c r="J851">
        <v>0.05</v>
      </c>
      <c r="K851">
        <v>4194.25</v>
      </c>
      <c r="L851">
        <v>502.95</v>
      </c>
    </row>
    <row r="852" spans="1:12" x14ac:dyDescent="0.3">
      <c r="A852" t="s">
        <v>1088</v>
      </c>
      <c r="B852" s="3">
        <v>45999</v>
      </c>
      <c r="C852" t="s">
        <v>415</v>
      </c>
      <c r="D852" t="s">
        <v>153</v>
      </c>
      <c r="E852" t="s">
        <v>26</v>
      </c>
      <c r="F852" t="s">
        <v>21</v>
      </c>
      <c r="G852" t="s">
        <v>22</v>
      </c>
      <c r="H852">
        <v>1</v>
      </c>
      <c r="I852">
        <v>8514</v>
      </c>
      <c r="J852">
        <v>0.15</v>
      </c>
      <c r="K852">
        <v>7236.9</v>
      </c>
      <c r="L852">
        <v>1278.1300000000001</v>
      </c>
    </row>
    <row r="853" spans="1:12" x14ac:dyDescent="0.3">
      <c r="A853" t="s">
        <v>1089</v>
      </c>
      <c r="B853" s="3">
        <v>45710</v>
      </c>
      <c r="C853" t="s">
        <v>339</v>
      </c>
      <c r="D853" t="s">
        <v>50</v>
      </c>
      <c r="E853" t="s">
        <v>51</v>
      </c>
      <c r="F853" t="s">
        <v>21</v>
      </c>
      <c r="G853" t="s">
        <v>22</v>
      </c>
      <c r="H853">
        <v>1</v>
      </c>
      <c r="I853">
        <v>1266</v>
      </c>
      <c r="J853">
        <v>0.05</v>
      </c>
      <c r="K853">
        <v>1202.7</v>
      </c>
      <c r="L853">
        <v>315.31</v>
      </c>
    </row>
    <row r="854" spans="1:12" x14ac:dyDescent="0.3">
      <c r="A854" t="s">
        <v>1090</v>
      </c>
      <c r="B854" s="3">
        <v>45870</v>
      </c>
      <c r="C854" t="s">
        <v>546</v>
      </c>
      <c r="D854" t="s">
        <v>120</v>
      </c>
      <c r="E854" t="s">
        <v>51</v>
      </c>
      <c r="F854" t="s">
        <v>21</v>
      </c>
      <c r="G854" t="s">
        <v>22</v>
      </c>
      <c r="H854">
        <v>3</v>
      </c>
      <c r="I854">
        <v>1980</v>
      </c>
      <c r="J854">
        <v>0.1</v>
      </c>
      <c r="K854">
        <v>5346</v>
      </c>
      <c r="L854">
        <v>1129.27</v>
      </c>
    </row>
    <row r="855" spans="1:12" x14ac:dyDescent="0.3">
      <c r="A855" t="s">
        <v>1091</v>
      </c>
      <c r="B855" s="3">
        <v>45759</v>
      </c>
      <c r="C855" t="s">
        <v>77</v>
      </c>
      <c r="D855" t="s">
        <v>47</v>
      </c>
      <c r="E855" t="s">
        <v>26</v>
      </c>
      <c r="F855" t="s">
        <v>21</v>
      </c>
      <c r="G855" t="s">
        <v>55</v>
      </c>
      <c r="H855">
        <v>2</v>
      </c>
      <c r="I855">
        <v>14674</v>
      </c>
      <c r="J855">
        <v>0</v>
      </c>
      <c r="K855">
        <v>29348</v>
      </c>
      <c r="L855">
        <v>2661.62</v>
      </c>
    </row>
    <row r="856" spans="1:12" x14ac:dyDescent="0.3">
      <c r="A856" t="s">
        <v>1092</v>
      </c>
      <c r="B856" s="3">
        <v>45723</v>
      </c>
      <c r="C856" t="s">
        <v>217</v>
      </c>
      <c r="D856" t="s">
        <v>25</v>
      </c>
      <c r="E856" t="s">
        <v>26</v>
      </c>
      <c r="F856" t="s">
        <v>21</v>
      </c>
      <c r="G856" t="s">
        <v>35</v>
      </c>
      <c r="H856">
        <v>2</v>
      </c>
      <c r="I856">
        <v>9720</v>
      </c>
      <c r="J856">
        <v>0.15</v>
      </c>
      <c r="K856">
        <v>16524</v>
      </c>
      <c r="L856">
        <v>4187.68</v>
      </c>
    </row>
    <row r="857" spans="1:12" x14ac:dyDescent="0.3">
      <c r="A857" t="s">
        <v>1093</v>
      </c>
      <c r="B857" s="3">
        <v>45798</v>
      </c>
      <c r="C857" t="s">
        <v>111</v>
      </c>
      <c r="D857" t="s">
        <v>80</v>
      </c>
      <c r="E857" t="s">
        <v>51</v>
      </c>
      <c r="F857" t="s">
        <v>58</v>
      </c>
      <c r="G857" t="s">
        <v>69</v>
      </c>
      <c r="H857">
        <v>3</v>
      </c>
      <c r="I857">
        <v>83935</v>
      </c>
      <c r="J857">
        <v>0.15</v>
      </c>
      <c r="K857">
        <v>214034.25</v>
      </c>
      <c r="L857">
        <v>27522.47</v>
      </c>
    </row>
    <row r="858" spans="1:12" x14ac:dyDescent="0.3">
      <c r="A858" t="s">
        <v>1094</v>
      </c>
      <c r="B858" s="3">
        <v>45716</v>
      </c>
      <c r="C858" t="s">
        <v>263</v>
      </c>
      <c r="D858" t="s">
        <v>30</v>
      </c>
      <c r="E858" t="s">
        <v>15</v>
      </c>
      <c r="F858" t="s">
        <v>58</v>
      </c>
      <c r="G858" t="s">
        <v>69</v>
      </c>
      <c r="H858">
        <v>2</v>
      </c>
      <c r="I858">
        <v>11175</v>
      </c>
      <c r="J858">
        <v>0.2</v>
      </c>
      <c r="K858">
        <v>17880</v>
      </c>
      <c r="L858">
        <v>3330.47</v>
      </c>
    </row>
    <row r="859" spans="1:12" x14ac:dyDescent="0.3">
      <c r="A859" t="s">
        <v>1095</v>
      </c>
      <c r="B859" s="3">
        <v>45912</v>
      </c>
      <c r="C859" t="s">
        <v>24</v>
      </c>
      <c r="D859" t="s">
        <v>43</v>
      </c>
      <c r="E859" t="s">
        <v>44</v>
      </c>
      <c r="F859" t="s">
        <v>16</v>
      </c>
      <c r="G859" t="s">
        <v>104</v>
      </c>
      <c r="H859">
        <v>2</v>
      </c>
      <c r="I859">
        <v>1130</v>
      </c>
      <c r="J859">
        <v>0.2</v>
      </c>
      <c r="K859">
        <v>1808</v>
      </c>
      <c r="L859">
        <v>452.16</v>
      </c>
    </row>
    <row r="860" spans="1:12" x14ac:dyDescent="0.3">
      <c r="A860" t="s">
        <v>1096</v>
      </c>
      <c r="B860" s="3">
        <v>45814</v>
      </c>
      <c r="C860" t="s">
        <v>333</v>
      </c>
      <c r="D860" t="s">
        <v>80</v>
      </c>
      <c r="E860" t="s">
        <v>51</v>
      </c>
      <c r="F860" t="s">
        <v>27</v>
      </c>
      <c r="G860" t="s">
        <v>31</v>
      </c>
      <c r="H860">
        <v>3</v>
      </c>
      <c r="I860">
        <v>78117</v>
      </c>
      <c r="J860">
        <v>0.15</v>
      </c>
      <c r="K860">
        <v>199198.35</v>
      </c>
      <c r="L860">
        <v>17482.16</v>
      </c>
    </row>
    <row r="861" spans="1:12" x14ac:dyDescent="0.3">
      <c r="A861" t="s">
        <v>1097</v>
      </c>
      <c r="B861" s="3">
        <v>45703</v>
      </c>
      <c r="C861" t="s">
        <v>403</v>
      </c>
      <c r="D861" t="s">
        <v>47</v>
      </c>
      <c r="E861" t="s">
        <v>26</v>
      </c>
      <c r="F861" t="s">
        <v>21</v>
      </c>
      <c r="G861" t="s">
        <v>35</v>
      </c>
      <c r="H861">
        <v>1</v>
      </c>
      <c r="I861">
        <v>14089</v>
      </c>
      <c r="J861">
        <v>0.15</v>
      </c>
      <c r="K861">
        <v>11975.65</v>
      </c>
      <c r="L861">
        <v>1054.53</v>
      </c>
    </row>
    <row r="862" spans="1:12" x14ac:dyDescent="0.3">
      <c r="A862" t="s">
        <v>1098</v>
      </c>
      <c r="B862" s="3">
        <v>45928</v>
      </c>
      <c r="C862" t="s">
        <v>473</v>
      </c>
      <c r="D862" t="s">
        <v>103</v>
      </c>
      <c r="E862" t="s">
        <v>51</v>
      </c>
      <c r="F862" t="s">
        <v>21</v>
      </c>
      <c r="G862" t="s">
        <v>35</v>
      </c>
      <c r="H862">
        <v>1</v>
      </c>
      <c r="I862">
        <v>6612</v>
      </c>
      <c r="J862">
        <v>0</v>
      </c>
      <c r="K862">
        <v>6612</v>
      </c>
      <c r="L862">
        <v>1714.2</v>
      </c>
    </row>
    <row r="863" spans="1:12" x14ac:dyDescent="0.3">
      <c r="A863" t="s">
        <v>1099</v>
      </c>
      <c r="B863" s="3">
        <v>45768</v>
      </c>
      <c r="C863" t="s">
        <v>391</v>
      </c>
      <c r="D863" t="s">
        <v>34</v>
      </c>
      <c r="E863" t="s">
        <v>15</v>
      </c>
      <c r="F863" t="s">
        <v>58</v>
      </c>
      <c r="G863" t="s">
        <v>59</v>
      </c>
      <c r="H863">
        <v>1</v>
      </c>
      <c r="I863">
        <v>18904</v>
      </c>
      <c r="J863">
        <v>0.05</v>
      </c>
      <c r="K863">
        <v>17958.8</v>
      </c>
      <c r="L863">
        <v>2761</v>
      </c>
    </row>
    <row r="864" spans="1:12" x14ac:dyDescent="0.3">
      <c r="A864" t="s">
        <v>1100</v>
      </c>
      <c r="B864" s="3">
        <v>45768</v>
      </c>
      <c r="C864" t="s">
        <v>580</v>
      </c>
      <c r="D864" t="s">
        <v>14</v>
      </c>
      <c r="E864" t="s">
        <v>15</v>
      </c>
      <c r="F864" t="s">
        <v>16</v>
      </c>
      <c r="G864" t="s">
        <v>17</v>
      </c>
      <c r="H864">
        <v>1</v>
      </c>
      <c r="I864">
        <v>8895</v>
      </c>
      <c r="J864">
        <v>0</v>
      </c>
      <c r="K864">
        <v>8895</v>
      </c>
      <c r="L864">
        <v>1157.21</v>
      </c>
    </row>
    <row r="865" spans="1:12" x14ac:dyDescent="0.3">
      <c r="A865" t="s">
        <v>1101</v>
      </c>
      <c r="B865" s="3">
        <v>45936</v>
      </c>
      <c r="C865" t="s">
        <v>315</v>
      </c>
      <c r="D865" t="s">
        <v>92</v>
      </c>
      <c r="E865" t="s">
        <v>51</v>
      </c>
      <c r="F865" t="s">
        <v>27</v>
      </c>
      <c r="G865" t="s">
        <v>31</v>
      </c>
      <c r="H865">
        <v>1</v>
      </c>
      <c r="I865">
        <v>9583</v>
      </c>
      <c r="J865">
        <v>0.2</v>
      </c>
      <c r="K865">
        <v>7666.4</v>
      </c>
      <c r="L865">
        <v>725.71</v>
      </c>
    </row>
    <row r="866" spans="1:12" x14ac:dyDescent="0.3">
      <c r="A866" t="s">
        <v>1102</v>
      </c>
      <c r="B866" s="3">
        <v>45848</v>
      </c>
      <c r="C866" t="s">
        <v>358</v>
      </c>
      <c r="D866" t="s">
        <v>307</v>
      </c>
      <c r="E866" t="s">
        <v>73</v>
      </c>
      <c r="F866" t="s">
        <v>21</v>
      </c>
      <c r="G866" t="s">
        <v>35</v>
      </c>
      <c r="H866">
        <v>3</v>
      </c>
      <c r="I866">
        <v>339</v>
      </c>
      <c r="J866">
        <v>0.05</v>
      </c>
      <c r="K866">
        <v>966.15</v>
      </c>
      <c r="L866">
        <v>92.04</v>
      </c>
    </row>
    <row r="867" spans="1:12" x14ac:dyDescent="0.3">
      <c r="A867" t="s">
        <v>1103</v>
      </c>
      <c r="B867" s="3">
        <v>45785</v>
      </c>
      <c r="C867" t="s">
        <v>206</v>
      </c>
      <c r="D867" t="s">
        <v>97</v>
      </c>
      <c r="E867" t="s">
        <v>44</v>
      </c>
      <c r="F867" t="s">
        <v>21</v>
      </c>
      <c r="G867" t="s">
        <v>22</v>
      </c>
      <c r="H867">
        <v>3</v>
      </c>
      <c r="I867">
        <v>496</v>
      </c>
      <c r="J867">
        <v>0.1</v>
      </c>
      <c r="K867">
        <v>1339.2</v>
      </c>
      <c r="L867">
        <v>228.79</v>
      </c>
    </row>
    <row r="868" spans="1:12" x14ac:dyDescent="0.3">
      <c r="A868" t="s">
        <v>1104</v>
      </c>
      <c r="B868" s="3">
        <v>45720</v>
      </c>
      <c r="C868" t="s">
        <v>542</v>
      </c>
      <c r="D868" t="s">
        <v>68</v>
      </c>
      <c r="E868" t="s">
        <v>44</v>
      </c>
      <c r="F868" t="s">
        <v>21</v>
      </c>
      <c r="G868" t="s">
        <v>35</v>
      </c>
      <c r="H868">
        <v>2</v>
      </c>
      <c r="I868">
        <v>6661</v>
      </c>
      <c r="J868">
        <v>0.05</v>
      </c>
      <c r="K868">
        <v>12655.9</v>
      </c>
      <c r="L868">
        <v>2647.73</v>
      </c>
    </row>
    <row r="869" spans="1:12" x14ac:dyDescent="0.3">
      <c r="A869" t="s">
        <v>1105</v>
      </c>
      <c r="B869" s="3">
        <v>45773</v>
      </c>
      <c r="C869" t="s">
        <v>368</v>
      </c>
      <c r="D869" t="s">
        <v>202</v>
      </c>
      <c r="E869" t="s">
        <v>44</v>
      </c>
      <c r="F869" t="s">
        <v>58</v>
      </c>
      <c r="G869" t="s">
        <v>59</v>
      </c>
      <c r="H869">
        <v>3</v>
      </c>
      <c r="I869">
        <v>2968</v>
      </c>
      <c r="J869">
        <v>0</v>
      </c>
      <c r="K869">
        <v>8904</v>
      </c>
      <c r="L869">
        <v>1509.35</v>
      </c>
    </row>
    <row r="870" spans="1:12" x14ac:dyDescent="0.3">
      <c r="A870" t="s">
        <v>1106</v>
      </c>
      <c r="B870" s="3">
        <v>45666</v>
      </c>
      <c r="C870" t="s">
        <v>240</v>
      </c>
      <c r="D870" t="s">
        <v>153</v>
      </c>
      <c r="E870" t="s">
        <v>26</v>
      </c>
      <c r="F870" t="s">
        <v>16</v>
      </c>
      <c r="G870" t="s">
        <v>17</v>
      </c>
      <c r="H870">
        <v>2</v>
      </c>
      <c r="I870">
        <v>3398</v>
      </c>
      <c r="J870">
        <v>0.15</v>
      </c>
      <c r="K870">
        <v>5776.6</v>
      </c>
      <c r="L870">
        <v>747.45</v>
      </c>
    </row>
    <row r="871" spans="1:12" x14ac:dyDescent="0.3">
      <c r="A871" t="s">
        <v>1107</v>
      </c>
      <c r="B871" s="3">
        <v>46003</v>
      </c>
      <c r="C871" t="s">
        <v>440</v>
      </c>
      <c r="D871" t="s">
        <v>14</v>
      </c>
      <c r="E871" t="s">
        <v>15</v>
      </c>
      <c r="F871" t="s">
        <v>21</v>
      </c>
      <c r="G871" t="s">
        <v>22</v>
      </c>
      <c r="H871">
        <v>1</v>
      </c>
      <c r="I871">
        <v>11239</v>
      </c>
      <c r="J871">
        <v>0.1</v>
      </c>
      <c r="K871">
        <v>10115.1</v>
      </c>
      <c r="L871">
        <v>1719.67</v>
      </c>
    </row>
    <row r="872" spans="1:12" x14ac:dyDescent="0.3">
      <c r="A872" t="s">
        <v>1108</v>
      </c>
      <c r="B872" s="3">
        <v>45731</v>
      </c>
      <c r="C872" t="s">
        <v>1109</v>
      </c>
      <c r="D872" t="s">
        <v>92</v>
      </c>
      <c r="E872" t="s">
        <v>51</v>
      </c>
      <c r="F872" t="s">
        <v>27</v>
      </c>
      <c r="G872" t="s">
        <v>31</v>
      </c>
      <c r="H872">
        <v>1</v>
      </c>
      <c r="I872">
        <v>14841</v>
      </c>
      <c r="J872">
        <v>0.05</v>
      </c>
      <c r="K872">
        <v>14098.95</v>
      </c>
      <c r="L872">
        <v>2885.13</v>
      </c>
    </row>
    <row r="873" spans="1:12" x14ac:dyDescent="0.3">
      <c r="A873" t="s">
        <v>1110</v>
      </c>
      <c r="B873" s="3">
        <v>45881</v>
      </c>
      <c r="C873" t="s">
        <v>321</v>
      </c>
      <c r="D873" t="s">
        <v>47</v>
      </c>
      <c r="E873" t="s">
        <v>26</v>
      </c>
      <c r="F873" t="s">
        <v>21</v>
      </c>
      <c r="G873" t="s">
        <v>22</v>
      </c>
      <c r="H873">
        <v>4</v>
      </c>
      <c r="I873">
        <v>15566</v>
      </c>
      <c r="J873">
        <v>0</v>
      </c>
      <c r="K873">
        <v>62264</v>
      </c>
      <c r="L873">
        <v>8191.59</v>
      </c>
    </row>
    <row r="874" spans="1:12" x14ac:dyDescent="0.3">
      <c r="A874" t="s">
        <v>1111</v>
      </c>
      <c r="B874" s="3">
        <v>45809</v>
      </c>
      <c r="C874" t="s">
        <v>421</v>
      </c>
      <c r="D874" t="s">
        <v>20</v>
      </c>
      <c r="E874" t="s">
        <v>15</v>
      </c>
      <c r="F874" t="s">
        <v>27</v>
      </c>
      <c r="G874" t="s">
        <v>31</v>
      </c>
      <c r="H874">
        <v>2</v>
      </c>
      <c r="I874">
        <v>10766</v>
      </c>
      <c r="J874">
        <v>0.05</v>
      </c>
      <c r="K874">
        <v>20455.400000000001</v>
      </c>
      <c r="L874">
        <v>1791.79</v>
      </c>
    </row>
    <row r="875" spans="1:12" x14ac:dyDescent="0.3">
      <c r="A875" t="s">
        <v>1112</v>
      </c>
      <c r="B875" s="3">
        <v>45674</v>
      </c>
      <c r="C875" t="s">
        <v>305</v>
      </c>
      <c r="D875" t="s">
        <v>120</v>
      </c>
      <c r="E875" t="s">
        <v>51</v>
      </c>
      <c r="F875" t="s">
        <v>21</v>
      </c>
      <c r="G875" t="s">
        <v>35</v>
      </c>
      <c r="H875">
        <v>1</v>
      </c>
      <c r="I875">
        <v>957</v>
      </c>
      <c r="J875">
        <v>0.05</v>
      </c>
      <c r="K875">
        <v>909.15</v>
      </c>
      <c r="L875">
        <v>225.17</v>
      </c>
    </row>
    <row r="876" spans="1:12" x14ac:dyDescent="0.3">
      <c r="A876" t="s">
        <v>1113</v>
      </c>
      <c r="B876" s="3">
        <v>45987</v>
      </c>
      <c r="C876" t="s">
        <v>731</v>
      </c>
      <c r="D876" t="s">
        <v>80</v>
      </c>
      <c r="E876" t="s">
        <v>51</v>
      </c>
      <c r="F876" t="s">
        <v>27</v>
      </c>
      <c r="G876" t="s">
        <v>28</v>
      </c>
      <c r="H876">
        <v>1</v>
      </c>
      <c r="I876">
        <v>57510</v>
      </c>
      <c r="J876">
        <v>0.1</v>
      </c>
      <c r="K876">
        <v>51759</v>
      </c>
      <c r="L876">
        <v>11015.36</v>
      </c>
    </row>
    <row r="877" spans="1:12" x14ac:dyDescent="0.3">
      <c r="A877" t="s">
        <v>1114</v>
      </c>
      <c r="B877" s="3">
        <v>45694</v>
      </c>
      <c r="C877" t="s">
        <v>640</v>
      </c>
      <c r="D877" t="s">
        <v>202</v>
      </c>
      <c r="E877" t="s">
        <v>44</v>
      </c>
      <c r="F877" t="s">
        <v>21</v>
      </c>
      <c r="G877" t="s">
        <v>55</v>
      </c>
      <c r="H877">
        <v>4</v>
      </c>
      <c r="I877">
        <v>1961</v>
      </c>
      <c r="J877">
        <v>0</v>
      </c>
      <c r="K877">
        <v>7844</v>
      </c>
      <c r="L877">
        <v>1438.77</v>
      </c>
    </row>
    <row r="878" spans="1:12" x14ac:dyDescent="0.3">
      <c r="A878" t="s">
        <v>1115</v>
      </c>
      <c r="B878" s="3">
        <v>46019</v>
      </c>
      <c r="C878" t="s">
        <v>94</v>
      </c>
      <c r="D878" t="s">
        <v>30</v>
      </c>
      <c r="E878" t="s">
        <v>15</v>
      </c>
      <c r="F878" t="s">
        <v>58</v>
      </c>
      <c r="G878" t="s">
        <v>59</v>
      </c>
      <c r="H878">
        <v>3</v>
      </c>
      <c r="I878">
        <v>5576</v>
      </c>
      <c r="J878">
        <v>0.15</v>
      </c>
      <c r="K878">
        <v>14218.8</v>
      </c>
      <c r="L878">
        <v>2536.2600000000002</v>
      </c>
    </row>
    <row r="879" spans="1:12" x14ac:dyDescent="0.3">
      <c r="A879" t="s">
        <v>1116</v>
      </c>
      <c r="B879" s="3">
        <v>45673</v>
      </c>
      <c r="C879" t="s">
        <v>482</v>
      </c>
      <c r="D879" t="s">
        <v>25</v>
      </c>
      <c r="E879" t="s">
        <v>26</v>
      </c>
      <c r="F879" t="s">
        <v>27</v>
      </c>
      <c r="G879" t="s">
        <v>28</v>
      </c>
      <c r="H879">
        <v>1</v>
      </c>
      <c r="I879">
        <v>11744</v>
      </c>
      <c r="J879">
        <v>0</v>
      </c>
      <c r="K879">
        <v>11744</v>
      </c>
      <c r="L879">
        <v>2706.6</v>
      </c>
    </row>
    <row r="880" spans="1:12" x14ac:dyDescent="0.3">
      <c r="A880" t="s">
        <v>1117</v>
      </c>
      <c r="B880" s="3">
        <v>45945</v>
      </c>
      <c r="C880" t="s">
        <v>272</v>
      </c>
      <c r="D880" t="s">
        <v>25</v>
      </c>
      <c r="E880" t="s">
        <v>26</v>
      </c>
      <c r="F880" t="s">
        <v>16</v>
      </c>
      <c r="G880" t="s">
        <v>17</v>
      </c>
      <c r="H880">
        <v>1</v>
      </c>
      <c r="I880">
        <v>17013</v>
      </c>
      <c r="J880">
        <v>0</v>
      </c>
      <c r="K880">
        <v>17013</v>
      </c>
      <c r="L880">
        <v>4709.6000000000004</v>
      </c>
    </row>
    <row r="881" spans="1:12" x14ac:dyDescent="0.3">
      <c r="A881" t="s">
        <v>1118</v>
      </c>
      <c r="B881" s="3">
        <v>45934</v>
      </c>
      <c r="C881" t="s">
        <v>965</v>
      </c>
      <c r="D881" t="s">
        <v>50</v>
      </c>
      <c r="E881" t="s">
        <v>51</v>
      </c>
      <c r="F881" t="s">
        <v>16</v>
      </c>
      <c r="G881" t="s">
        <v>52</v>
      </c>
      <c r="H881">
        <v>3</v>
      </c>
      <c r="I881">
        <v>1515</v>
      </c>
      <c r="J881">
        <v>0.2</v>
      </c>
      <c r="K881">
        <v>3636</v>
      </c>
      <c r="L881">
        <v>814.43</v>
      </c>
    </row>
    <row r="882" spans="1:12" x14ac:dyDescent="0.3">
      <c r="A882" t="s">
        <v>1119</v>
      </c>
      <c r="B882" s="3">
        <v>46010</v>
      </c>
      <c r="C882" t="s">
        <v>597</v>
      </c>
      <c r="D882" t="s">
        <v>68</v>
      </c>
      <c r="E882" t="s">
        <v>44</v>
      </c>
      <c r="F882" t="s">
        <v>58</v>
      </c>
      <c r="G882" t="s">
        <v>126</v>
      </c>
      <c r="H882">
        <v>1</v>
      </c>
      <c r="I882">
        <v>5865</v>
      </c>
      <c r="J882">
        <v>0.05</v>
      </c>
      <c r="K882">
        <v>5571.75</v>
      </c>
      <c r="L882">
        <v>758.35</v>
      </c>
    </row>
    <row r="883" spans="1:12" x14ac:dyDescent="0.3">
      <c r="A883" t="s">
        <v>1120</v>
      </c>
      <c r="B883" s="3">
        <v>45901</v>
      </c>
      <c r="C883" t="s">
        <v>217</v>
      </c>
      <c r="D883" t="s">
        <v>202</v>
      </c>
      <c r="E883" t="s">
        <v>44</v>
      </c>
      <c r="F883" t="s">
        <v>27</v>
      </c>
      <c r="G883" t="s">
        <v>31</v>
      </c>
      <c r="H883">
        <v>1</v>
      </c>
      <c r="I883">
        <v>2816</v>
      </c>
      <c r="J883">
        <v>0</v>
      </c>
      <c r="K883">
        <v>2816</v>
      </c>
      <c r="L883">
        <v>712.19</v>
      </c>
    </row>
    <row r="884" spans="1:12" x14ac:dyDescent="0.3">
      <c r="A884" t="s">
        <v>1121</v>
      </c>
      <c r="B884" s="3">
        <v>45966</v>
      </c>
      <c r="C884" t="s">
        <v>141</v>
      </c>
      <c r="D884" t="s">
        <v>83</v>
      </c>
      <c r="E884" t="s">
        <v>73</v>
      </c>
      <c r="F884" t="s">
        <v>21</v>
      </c>
      <c r="G884" t="s">
        <v>22</v>
      </c>
      <c r="H884">
        <v>3</v>
      </c>
      <c r="I884">
        <v>548</v>
      </c>
      <c r="J884">
        <v>0.05</v>
      </c>
      <c r="K884">
        <v>1561.8</v>
      </c>
      <c r="L884">
        <v>200.46</v>
      </c>
    </row>
    <row r="885" spans="1:12" x14ac:dyDescent="0.3">
      <c r="A885" t="s">
        <v>1122</v>
      </c>
      <c r="B885" s="3">
        <v>45876</v>
      </c>
      <c r="C885" t="s">
        <v>507</v>
      </c>
      <c r="D885" t="s">
        <v>88</v>
      </c>
      <c r="E885" t="s">
        <v>73</v>
      </c>
      <c r="F885" t="s">
        <v>16</v>
      </c>
      <c r="G885" t="s">
        <v>52</v>
      </c>
      <c r="H885">
        <v>1</v>
      </c>
      <c r="I885">
        <v>150</v>
      </c>
      <c r="J885">
        <v>0.2</v>
      </c>
      <c r="K885">
        <v>120</v>
      </c>
      <c r="L885">
        <v>25.26</v>
      </c>
    </row>
    <row r="886" spans="1:12" x14ac:dyDescent="0.3">
      <c r="A886" t="s">
        <v>1123</v>
      </c>
      <c r="B886" s="3">
        <v>45725</v>
      </c>
      <c r="C886" t="s">
        <v>134</v>
      </c>
      <c r="D886" t="s">
        <v>92</v>
      </c>
      <c r="E886" t="s">
        <v>51</v>
      </c>
      <c r="F886" t="s">
        <v>58</v>
      </c>
      <c r="G886" t="s">
        <v>126</v>
      </c>
      <c r="H886">
        <v>1</v>
      </c>
      <c r="I886">
        <v>21481</v>
      </c>
      <c r="J886">
        <v>0.15</v>
      </c>
      <c r="K886">
        <v>18258.849999999999</v>
      </c>
      <c r="L886">
        <v>2293.6799999999998</v>
      </c>
    </row>
    <row r="887" spans="1:12" x14ac:dyDescent="0.3">
      <c r="A887" t="s">
        <v>1124</v>
      </c>
      <c r="B887" s="3">
        <v>45855</v>
      </c>
      <c r="C887" t="s">
        <v>274</v>
      </c>
      <c r="D887" t="s">
        <v>47</v>
      </c>
      <c r="E887" t="s">
        <v>26</v>
      </c>
      <c r="F887" t="s">
        <v>58</v>
      </c>
      <c r="G887" t="s">
        <v>126</v>
      </c>
      <c r="H887">
        <v>2</v>
      </c>
      <c r="I887">
        <v>15398</v>
      </c>
      <c r="J887">
        <v>0.1</v>
      </c>
      <c r="K887">
        <v>27716.400000000001</v>
      </c>
      <c r="L887">
        <v>5016.3</v>
      </c>
    </row>
    <row r="888" spans="1:12" x14ac:dyDescent="0.3">
      <c r="A888" t="s">
        <v>1125</v>
      </c>
      <c r="B888" s="3">
        <v>45964</v>
      </c>
      <c r="C888" t="s">
        <v>274</v>
      </c>
      <c r="D888" t="s">
        <v>43</v>
      </c>
      <c r="E888" t="s">
        <v>44</v>
      </c>
      <c r="F888" t="s">
        <v>58</v>
      </c>
      <c r="G888" t="s">
        <v>126</v>
      </c>
      <c r="H888">
        <v>2</v>
      </c>
      <c r="I888">
        <v>618</v>
      </c>
      <c r="J888">
        <v>0.15</v>
      </c>
      <c r="K888">
        <v>1050.5999999999999</v>
      </c>
      <c r="L888">
        <v>217.67</v>
      </c>
    </row>
    <row r="889" spans="1:12" x14ac:dyDescent="0.3">
      <c r="A889" t="s">
        <v>1126</v>
      </c>
      <c r="B889" s="3">
        <v>45996</v>
      </c>
      <c r="C889" t="s">
        <v>123</v>
      </c>
      <c r="D889" t="s">
        <v>25</v>
      </c>
      <c r="E889" t="s">
        <v>26</v>
      </c>
      <c r="F889" t="s">
        <v>58</v>
      </c>
      <c r="G889" t="s">
        <v>126</v>
      </c>
      <c r="H889">
        <v>1</v>
      </c>
      <c r="I889">
        <v>9033</v>
      </c>
      <c r="J889">
        <v>0.05</v>
      </c>
      <c r="K889">
        <v>8581.35</v>
      </c>
      <c r="L889">
        <v>1344.12</v>
      </c>
    </row>
    <row r="890" spans="1:12" x14ac:dyDescent="0.3">
      <c r="A890" t="s">
        <v>1127</v>
      </c>
      <c r="B890" s="3">
        <v>45860</v>
      </c>
      <c r="C890" t="s">
        <v>597</v>
      </c>
      <c r="D890" t="s">
        <v>80</v>
      </c>
      <c r="E890" t="s">
        <v>51</v>
      </c>
      <c r="F890" t="s">
        <v>21</v>
      </c>
      <c r="G890" t="s">
        <v>22</v>
      </c>
      <c r="H890">
        <v>1</v>
      </c>
      <c r="I890">
        <v>49047</v>
      </c>
      <c r="J890">
        <v>0</v>
      </c>
      <c r="K890">
        <v>49047</v>
      </c>
      <c r="L890">
        <v>9305.5300000000007</v>
      </c>
    </row>
    <row r="891" spans="1:12" x14ac:dyDescent="0.3">
      <c r="A891" t="s">
        <v>1128</v>
      </c>
      <c r="B891" s="3">
        <v>45747</v>
      </c>
      <c r="C891" t="s">
        <v>185</v>
      </c>
      <c r="D891" t="s">
        <v>50</v>
      </c>
      <c r="E891" t="s">
        <v>51</v>
      </c>
      <c r="F891" t="s">
        <v>21</v>
      </c>
      <c r="G891" t="s">
        <v>35</v>
      </c>
      <c r="H891">
        <v>4</v>
      </c>
      <c r="I891">
        <v>3425</v>
      </c>
      <c r="J891">
        <v>0.15</v>
      </c>
      <c r="K891">
        <v>11645</v>
      </c>
      <c r="L891">
        <v>1187.83</v>
      </c>
    </row>
    <row r="892" spans="1:12" x14ac:dyDescent="0.3">
      <c r="A892" t="s">
        <v>1129</v>
      </c>
      <c r="B892" s="3">
        <v>46006</v>
      </c>
      <c r="C892" t="s">
        <v>266</v>
      </c>
      <c r="D892" t="s">
        <v>30</v>
      </c>
      <c r="E892" t="s">
        <v>15</v>
      </c>
      <c r="F892" t="s">
        <v>21</v>
      </c>
      <c r="G892" t="s">
        <v>35</v>
      </c>
      <c r="H892">
        <v>3</v>
      </c>
      <c r="I892">
        <v>7205</v>
      </c>
      <c r="J892">
        <v>0.2</v>
      </c>
      <c r="K892">
        <v>17292</v>
      </c>
      <c r="L892">
        <v>2655.53</v>
      </c>
    </row>
    <row r="893" spans="1:12" x14ac:dyDescent="0.3">
      <c r="A893" t="s">
        <v>1130</v>
      </c>
      <c r="B893" s="3">
        <v>45659</v>
      </c>
      <c r="C893" t="s">
        <v>421</v>
      </c>
      <c r="D893" t="s">
        <v>307</v>
      </c>
      <c r="E893" t="s">
        <v>73</v>
      </c>
      <c r="F893" t="s">
        <v>27</v>
      </c>
      <c r="G893" t="s">
        <v>28</v>
      </c>
      <c r="H893">
        <v>3</v>
      </c>
      <c r="I893">
        <v>415</v>
      </c>
      <c r="J893">
        <v>0</v>
      </c>
      <c r="K893">
        <v>1245</v>
      </c>
      <c r="L893">
        <v>232.05</v>
      </c>
    </row>
    <row r="894" spans="1:12" x14ac:dyDescent="0.3">
      <c r="A894" t="s">
        <v>1131</v>
      </c>
      <c r="B894" s="3">
        <v>45864</v>
      </c>
      <c r="C894" t="s">
        <v>176</v>
      </c>
      <c r="D894" t="s">
        <v>68</v>
      </c>
      <c r="E894" t="s">
        <v>44</v>
      </c>
      <c r="F894" t="s">
        <v>16</v>
      </c>
      <c r="G894" t="s">
        <v>17</v>
      </c>
      <c r="H894">
        <v>1</v>
      </c>
      <c r="I894">
        <v>6837</v>
      </c>
      <c r="J894">
        <v>0.15</v>
      </c>
      <c r="K894">
        <v>5811.45</v>
      </c>
      <c r="L894">
        <v>1527.64</v>
      </c>
    </row>
    <row r="895" spans="1:12" x14ac:dyDescent="0.3">
      <c r="A895" t="s">
        <v>1132</v>
      </c>
      <c r="B895" s="3">
        <v>45719</v>
      </c>
      <c r="C895" t="s">
        <v>792</v>
      </c>
      <c r="D895" t="s">
        <v>202</v>
      </c>
      <c r="E895" t="s">
        <v>44</v>
      </c>
      <c r="F895" t="s">
        <v>27</v>
      </c>
      <c r="G895" t="s">
        <v>31</v>
      </c>
      <c r="H895">
        <v>1</v>
      </c>
      <c r="I895">
        <v>3454</v>
      </c>
      <c r="J895">
        <v>0.25</v>
      </c>
      <c r="K895">
        <v>2590.5</v>
      </c>
      <c r="L895">
        <v>686.47</v>
      </c>
    </row>
    <row r="896" spans="1:12" x14ac:dyDescent="0.3">
      <c r="A896" t="s">
        <v>1133</v>
      </c>
      <c r="B896" s="3">
        <v>45862</v>
      </c>
      <c r="C896" t="s">
        <v>67</v>
      </c>
      <c r="D896" t="s">
        <v>80</v>
      </c>
      <c r="E896" t="s">
        <v>51</v>
      </c>
      <c r="F896" t="s">
        <v>27</v>
      </c>
      <c r="G896" t="s">
        <v>40</v>
      </c>
      <c r="H896">
        <v>1</v>
      </c>
      <c r="I896">
        <v>74795</v>
      </c>
      <c r="J896">
        <v>0</v>
      </c>
      <c r="K896">
        <v>74795</v>
      </c>
      <c r="L896">
        <v>6710.05</v>
      </c>
    </row>
    <row r="897" spans="1:12" x14ac:dyDescent="0.3">
      <c r="A897" t="s">
        <v>1134</v>
      </c>
      <c r="B897" s="3">
        <v>45721</v>
      </c>
      <c r="C897" t="s">
        <v>401</v>
      </c>
      <c r="D897" t="s">
        <v>14</v>
      </c>
      <c r="E897" t="s">
        <v>15</v>
      </c>
      <c r="F897" t="s">
        <v>27</v>
      </c>
      <c r="G897" t="s">
        <v>40</v>
      </c>
      <c r="H897">
        <v>1</v>
      </c>
      <c r="I897">
        <v>11162</v>
      </c>
      <c r="J897">
        <v>0.15</v>
      </c>
      <c r="K897">
        <v>9487.7000000000007</v>
      </c>
      <c r="L897">
        <v>1331.04</v>
      </c>
    </row>
    <row r="898" spans="1:12" x14ac:dyDescent="0.3">
      <c r="A898" t="s">
        <v>1135</v>
      </c>
      <c r="B898" s="3">
        <v>45695</v>
      </c>
      <c r="C898" t="s">
        <v>451</v>
      </c>
      <c r="D898" t="s">
        <v>83</v>
      </c>
      <c r="E898" t="s">
        <v>73</v>
      </c>
      <c r="F898" t="s">
        <v>16</v>
      </c>
      <c r="G898" t="s">
        <v>52</v>
      </c>
      <c r="H898">
        <v>1</v>
      </c>
      <c r="I898">
        <v>318</v>
      </c>
      <c r="J898">
        <v>0.2</v>
      </c>
      <c r="K898">
        <v>254.4</v>
      </c>
      <c r="L898">
        <v>47.19</v>
      </c>
    </row>
    <row r="899" spans="1:12" x14ac:dyDescent="0.3">
      <c r="A899" t="s">
        <v>1136</v>
      </c>
      <c r="B899" s="3">
        <v>45713</v>
      </c>
      <c r="C899" t="s">
        <v>194</v>
      </c>
      <c r="D899" t="s">
        <v>47</v>
      </c>
      <c r="E899" t="s">
        <v>26</v>
      </c>
      <c r="F899" t="s">
        <v>21</v>
      </c>
      <c r="G899" t="s">
        <v>35</v>
      </c>
      <c r="H899">
        <v>3</v>
      </c>
      <c r="I899">
        <v>17836</v>
      </c>
      <c r="J899">
        <v>0</v>
      </c>
      <c r="K899">
        <v>53508</v>
      </c>
      <c r="L899">
        <v>5416.4</v>
      </c>
    </row>
    <row r="900" spans="1:12" x14ac:dyDescent="0.3">
      <c r="A900" t="s">
        <v>1137</v>
      </c>
      <c r="B900" s="3">
        <v>45706</v>
      </c>
      <c r="C900" t="s">
        <v>82</v>
      </c>
      <c r="D900" t="s">
        <v>25</v>
      </c>
      <c r="E900" t="s">
        <v>26</v>
      </c>
      <c r="F900" t="s">
        <v>27</v>
      </c>
      <c r="G900" t="s">
        <v>31</v>
      </c>
      <c r="H900">
        <v>2</v>
      </c>
      <c r="I900">
        <v>10189</v>
      </c>
      <c r="J900">
        <v>0.2</v>
      </c>
      <c r="K900">
        <v>16302.4</v>
      </c>
      <c r="L900">
        <v>3917.86</v>
      </c>
    </row>
    <row r="901" spans="1:12" x14ac:dyDescent="0.3">
      <c r="A901" t="s">
        <v>1138</v>
      </c>
      <c r="B901" s="3">
        <v>45706</v>
      </c>
      <c r="C901" t="s">
        <v>211</v>
      </c>
      <c r="D901" t="s">
        <v>20</v>
      </c>
      <c r="E901" t="s">
        <v>15</v>
      </c>
      <c r="F901" t="s">
        <v>58</v>
      </c>
      <c r="G901" t="s">
        <v>126</v>
      </c>
      <c r="H901">
        <v>1</v>
      </c>
      <c r="I901">
        <v>15051</v>
      </c>
      <c r="J901">
        <v>0.15</v>
      </c>
      <c r="K901">
        <v>12793.35</v>
      </c>
      <c r="L901">
        <v>1784.85</v>
      </c>
    </row>
    <row r="902" spans="1:12" x14ac:dyDescent="0.3">
      <c r="A902" t="s">
        <v>1139</v>
      </c>
      <c r="B902" s="3">
        <v>45993</v>
      </c>
      <c r="C902" t="s">
        <v>156</v>
      </c>
      <c r="D902" t="s">
        <v>92</v>
      </c>
      <c r="E902" t="s">
        <v>51</v>
      </c>
      <c r="F902" t="s">
        <v>16</v>
      </c>
      <c r="G902" t="s">
        <v>52</v>
      </c>
      <c r="H902">
        <v>1</v>
      </c>
      <c r="I902">
        <v>9086</v>
      </c>
      <c r="J902">
        <v>0.1</v>
      </c>
      <c r="K902">
        <v>8177.4</v>
      </c>
      <c r="L902">
        <v>2244.9</v>
      </c>
    </row>
    <row r="903" spans="1:12" x14ac:dyDescent="0.3">
      <c r="A903" t="s">
        <v>1140</v>
      </c>
      <c r="B903" s="3">
        <v>45871</v>
      </c>
      <c r="C903" t="s">
        <v>183</v>
      </c>
      <c r="D903" t="s">
        <v>47</v>
      </c>
      <c r="E903" t="s">
        <v>26</v>
      </c>
      <c r="F903" t="s">
        <v>21</v>
      </c>
      <c r="G903" t="s">
        <v>35</v>
      </c>
      <c r="H903">
        <v>1</v>
      </c>
      <c r="I903">
        <v>16115</v>
      </c>
      <c r="J903">
        <v>0.05</v>
      </c>
      <c r="K903">
        <v>15309.25</v>
      </c>
      <c r="L903">
        <v>1861.13</v>
      </c>
    </row>
    <row r="904" spans="1:12" x14ac:dyDescent="0.3">
      <c r="A904" t="s">
        <v>1141</v>
      </c>
      <c r="B904" s="3">
        <v>45688</v>
      </c>
      <c r="C904" t="s">
        <v>102</v>
      </c>
      <c r="D904" t="s">
        <v>92</v>
      </c>
      <c r="E904" t="s">
        <v>51</v>
      </c>
      <c r="F904" t="s">
        <v>58</v>
      </c>
      <c r="G904" t="s">
        <v>69</v>
      </c>
      <c r="H904">
        <v>1</v>
      </c>
      <c r="I904">
        <v>18176</v>
      </c>
      <c r="J904">
        <v>0</v>
      </c>
      <c r="K904">
        <v>18176</v>
      </c>
      <c r="L904">
        <v>4586.26</v>
      </c>
    </row>
    <row r="905" spans="1:12" x14ac:dyDescent="0.3">
      <c r="A905" t="s">
        <v>1142</v>
      </c>
      <c r="B905" s="3">
        <v>45917</v>
      </c>
      <c r="C905" t="s">
        <v>578</v>
      </c>
      <c r="D905" t="s">
        <v>34</v>
      </c>
      <c r="E905" t="s">
        <v>15</v>
      </c>
      <c r="F905" t="s">
        <v>21</v>
      </c>
      <c r="G905" t="s">
        <v>22</v>
      </c>
      <c r="H905">
        <v>1</v>
      </c>
      <c r="I905">
        <v>18776</v>
      </c>
      <c r="J905">
        <v>0.1</v>
      </c>
      <c r="K905">
        <v>16898.400000000001</v>
      </c>
      <c r="L905">
        <v>4542.43</v>
      </c>
    </row>
    <row r="906" spans="1:12" x14ac:dyDescent="0.3">
      <c r="A906" t="s">
        <v>1143</v>
      </c>
      <c r="B906" s="3">
        <v>45988</v>
      </c>
      <c r="C906" t="s">
        <v>617</v>
      </c>
      <c r="D906" t="s">
        <v>202</v>
      </c>
      <c r="E906" t="s">
        <v>44</v>
      </c>
      <c r="F906" t="s">
        <v>16</v>
      </c>
      <c r="G906" t="s">
        <v>52</v>
      </c>
      <c r="H906">
        <v>1</v>
      </c>
      <c r="I906">
        <v>2083</v>
      </c>
      <c r="J906">
        <v>0.1</v>
      </c>
      <c r="K906">
        <v>1874.7</v>
      </c>
      <c r="L906">
        <v>414.92</v>
      </c>
    </row>
    <row r="907" spans="1:12" x14ac:dyDescent="0.3">
      <c r="A907" t="s">
        <v>1144</v>
      </c>
      <c r="B907" s="3">
        <v>45789</v>
      </c>
      <c r="C907" t="s">
        <v>251</v>
      </c>
      <c r="D907" t="s">
        <v>25</v>
      </c>
      <c r="E907" t="s">
        <v>26</v>
      </c>
      <c r="F907" t="s">
        <v>58</v>
      </c>
      <c r="G907" t="s">
        <v>59</v>
      </c>
      <c r="H907">
        <v>1</v>
      </c>
      <c r="I907">
        <v>17819</v>
      </c>
      <c r="J907">
        <v>0</v>
      </c>
      <c r="K907">
        <v>17819</v>
      </c>
      <c r="L907">
        <v>3844.59</v>
      </c>
    </row>
    <row r="908" spans="1:12" x14ac:dyDescent="0.3">
      <c r="A908" t="s">
        <v>1145</v>
      </c>
      <c r="B908" s="3">
        <v>45720</v>
      </c>
      <c r="C908" t="s">
        <v>82</v>
      </c>
      <c r="D908" t="s">
        <v>68</v>
      </c>
      <c r="E908" t="s">
        <v>44</v>
      </c>
      <c r="F908" t="s">
        <v>16</v>
      </c>
      <c r="G908" t="s">
        <v>104</v>
      </c>
      <c r="H908">
        <v>3</v>
      </c>
      <c r="I908">
        <v>4614</v>
      </c>
      <c r="J908">
        <v>0.1</v>
      </c>
      <c r="K908">
        <v>12457.8</v>
      </c>
      <c r="L908">
        <v>3113.45</v>
      </c>
    </row>
    <row r="909" spans="1:12" x14ac:dyDescent="0.3">
      <c r="A909" t="s">
        <v>1146</v>
      </c>
      <c r="B909" s="3">
        <v>45846</v>
      </c>
      <c r="C909" t="s">
        <v>542</v>
      </c>
      <c r="D909" t="s">
        <v>83</v>
      </c>
      <c r="E909" t="s">
        <v>73</v>
      </c>
      <c r="F909" t="s">
        <v>58</v>
      </c>
      <c r="G909" t="s">
        <v>126</v>
      </c>
      <c r="H909">
        <v>1</v>
      </c>
      <c r="I909">
        <v>701</v>
      </c>
      <c r="J909">
        <v>0.1</v>
      </c>
      <c r="K909">
        <v>630.9</v>
      </c>
      <c r="L909">
        <v>88.08</v>
      </c>
    </row>
    <row r="910" spans="1:12" x14ac:dyDescent="0.3">
      <c r="A910" t="s">
        <v>1147</v>
      </c>
      <c r="B910" s="3">
        <v>45852</v>
      </c>
      <c r="C910" t="s">
        <v>354</v>
      </c>
      <c r="D910" t="s">
        <v>47</v>
      </c>
      <c r="E910" t="s">
        <v>26</v>
      </c>
      <c r="F910" t="s">
        <v>58</v>
      </c>
      <c r="G910" t="s">
        <v>59</v>
      </c>
      <c r="H910">
        <v>1</v>
      </c>
      <c r="I910">
        <v>10765</v>
      </c>
      <c r="J910">
        <v>0.1</v>
      </c>
      <c r="K910">
        <v>9688.5</v>
      </c>
      <c r="L910">
        <v>2100.23</v>
      </c>
    </row>
    <row r="911" spans="1:12" x14ac:dyDescent="0.3">
      <c r="A911" t="s">
        <v>1148</v>
      </c>
      <c r="B911" s="3">
        <v>45915</v>
      </c>
      <c r="C911" t="s">
        <v>87</v>
      </c>
      <c r="D911" t="s">
        <v>92</v>
      </c>
      <c r="E911" t="s">
        <v>51</v>
      </c>
      <c r="F911" t="s">
        <v>58</v>
      </c>
      <c r="G911" t="s">
        <v>59</v>
      </c>
      <c r="H911">
        <v>2</v>
      </c>
      <c r="I911">
        <v>14207</v>
      </c>
      <c r="J911">
        <v>0</v>
      </c>
      <c r="K911">
        <v>28414</v>
      </c>
      <c r="L911">
        <v>7818.8</v>
      </c>
    </row>
    <row r="912" spans="1:12" x14ac:dyDescent="0.3">
      <c r="A912" t="s">
        <v>1149</v>
      </c>
      <c r="B912" s="3">
        <v>45833</v>
      </c>
      <c r="C912" t="s">
        <v>143</v>
      </c>
      <c r="D912" t="s">
        <v>30</v>
      </c>
      <c r="E912" t="s">
        <v>15</v>
      </c>
      <c r="F912" t="s">
        <v>21</v>
      </c>
      <c r="G912" t="s">
        <v>22</v>
      </c>
      <c r="H912">
        <v>3</v>
      </c>
      <c r="I912">
        <v>9597</v>
      </c>
      <c r="J912">
        <v>0.05</v>
      </c>
      <c r="K912">
        <v>27351.45</v>
      </c>
      <c r="L912">
        <v>2525.13</v>
      </c>
    </row>
    <row r="913" spans="1:12" x14ac:dyDescent="0.3">
      <c r="A913" t="s">
        <v>1150</v>
      </c>
      <c r="B913" s="3">
        <v>45962</v>
      </c>
      <c r="C913" t="s">
        <v>412</v>
      </c>
      <c r="D913" t="s">
        <v>92</v>
      </c>
      <c r="E913" t="s">
        <v>51</v>
      </c>
      <c r="F913" t="s">
        <v>27</v>
      </c>
      <c r="G913" t="s">
        <v>31</v>
      </c>
      <c r="H913">
        <v>1</v>
      </c>
      <c r="I913">
        <v>19016</v>
      </c>
      <c r="J913">
        <v>0</v>
      </c>
      <c r="K913">
        <v>19016</v>
      </c>
      <c r="L913">
        <v>3305.13</v>
      </c>
    </row>
    <row r="914" spans="1:12" x14ac:dyDescent="0.3">
      <c r="A914" t="s">
        <v>1151</v>
      </c>
      <c r="B914" s="3">
        <v>45714</v>
      </c>
      <c r="C914" t="s">
        <v>19</v>
      </c>
      <c r="D914" t="s">
        <v>307</v>
      </c>
      <c r="E914" t="s">
        <v>73</v>
      </c>
      <c r="F914" t="s">
        <v>21</v>
      </c>
      <c r="G914" t="s">
        <v>22</v>
      </c>
      <c r="H914">
        <v>2</v>
      </c>
      <c r="I914">
        <v>237</v>
      </c>
      <c r="J914">
        <v>0.05</v>
      </c>
      <c r="K914">
        <v>450.3</v>
      </c>
      <c r="L914">
        <v>58.91</v>
      </c>
    </row>
    <row r="915" spans="1:12" x14ac:dyDescent="0.3">
      <c r="A915" t="s">
        <v>1152</v>
      </c>
      <c r="B915" s="3">
        <v>45724</v>
      </c>
      <c r="C915" t="s">
        <v>368</v>
      </c>
      <c r="D915" t="s">
        <v>20</v>
      </c>
      <c r="E915" t="s">
        <v>15</v>
      </c>
      <c r="F915" t="s">
        <v>27</v>
      </c>
      <c r="G915" t="s">
        <v>31</v>
      </c>
      <c r="H915">
        <v>1</v>
      </c>
      <c r="I915">
        <v>5945</v>
      </c>
      <c r="J915">
        <v>0.1</v>
      </c>
      <c r="K915">
        <v>5350.5</v>
      </c>
      <c r="L915">
        <v>638.03</v>
      </c>
    </row>
    <row r="916" spans="1:12" x14ac:dyDescent="0.3">
      <c r="A916" t="s">
        <v>1153</v>
      </c>
      <c r="B916" s="3">
        <v>45838</v>
      </c>
      <c r="C916" t="s">
        <v>123</v>
      </c>
      <c r="D916" t="s">
        <v>120</v>
      </c>
      <c r="E916" t="s">
        <v>51</v>
      </c>
      <c r="F916" t="s">
        <v>58</v>
      </c>
      <c r="G916" t="s">
        <v>59</v>
      </c>
      <c r="H916">
        <v>1</v>
      </c>
      <c r="I916">
        <v>581</v>
      </c>
      <c r="J916">
        <v>0.05</v>
      </c>
      <c r="K916">
        <v>551.95000000000005</v>
      </c>
      <c r="L916">
        <v>117.43</v>
      </c>
    </row>
    <row r="917" spans="1:12" x14ac:dyDescent="0.3">
      <c r="A917" t="s">
        <v>1154</v>
      </c>
      <c r="B917" s="3">
        <v>45843</v>
      </c>
      <c r="C917" t="s">
        <v>248</v>
      </c>
      <c r="D917" t="s">
        <v>30</v>
      </c>
      <c r="E917" t="s">
        <v>15</v>
      </c>
      <c r="F917" t="s">
        <v>21</v>
      </c>
      <c r="G917" t="s">
        <v>35</v>
      </c>
      <c r="H917">
        <v>1</v>
      </c>
      <c r="I917">
        <v>4719</v>
      </c>
      <c r="J917">
        <v>0.2</v>
      </c>
      <c r="K917">
        <v>3775.2</v>
      </c>
      <c r="L917">
        <v>461.11</v>
      </c>
    </row>
    <row r="918" spans="1:12" x14ac:dyDescent="0.3">
      <c r="A918" t="s">
        <v>1155</v>
      </c>
      <c r="B918" s="3">
        <v>46003</v>
      </c>
      <c r="C918" t="s">
        <v>266</v>
      </c>
      <c r="D918" t="s">
        <v>120</v>
      </c>
      <c r="E918" t="s">
        <v>51</v>
      </c>
      <c r="F918" t="s">
        <v>58</v>
      </c>
      <c r="G918" t="s">
        <v>126</v>
      </c>
      <c r="H918">
        <v>1</v>
      </c>
      <c r="I918">
        <v>642</v>
      </c>
      <c r="J918">
        <v>0.1</v>
      </c>
      <c r="K918">
        <v>577.79999999999995</v>
      </c>
      <c r="L918">
        <v>85.48</v>
      </c>
    </row>
    <row r="919" spans="1:12" x14ac:dyDescent="0.3">
      <c r="A919" t="s">
        <v>1156</v>
      </c>
      <c r="B919" s="3">
        <v>45886</v>
      </c>
      <c r="C919" t="s">
        <v>13</v>
      </c>
      <c r="D919" t="s">
        <v>97</v>
      </c>
      <c r="E919" t="s">
        <v>44</v>
      </c>
      <c r="F919" t="s">
        <v>16</v>
      </c>
      <c r="G919" t="s">
        <v>52</v>
      </c>
      <c r="H919">
        <v>1</v>
      </c>
      <c r="I919">
        <v>760</v>
      </c>
      <c r="J919">
        <v>0.05</v>
      </c>
      <c r="K919">
        <v>722</v>
      </c>
      <c r="L919">
        <v>96.44</v>
      </c>
    </row>
    <row r="920" spans="1:12" x14ac:dyDescent="0.3">
      <c r="A920" t="s">
        <v>1157</v>
      </c>
      <c r="B920" s="3">
        <v>45973</v>
      </c>
      <c r="C920" t="s">
        <v>300</v>
      </c>
      <c r="D920" t="s">
        <v>47</v>
      </c>
      <c r="E920" t="s">
        <v>26</v>
      </c>
      <c r="F920" t="s">
        <v>16</v>
      </c>
      <c r="G920" t="s">
        <v>17</v>
      </c>
      <c r="H920">
        <v>5</v>
      </c>
      <c r="I920">
        <v>21411</v>
      </c>
      <c r="J920">
        <v>0.05</v>
      </c>
      <c r="K920">
        <v>101702.25</v>
      </c>
      <c r="L920">
        <v>28401.31</v>
      </c>
    </row>
    <row r="921" spans="1:12" x14ac:dyDescent="0.3">
      <c r="A921" t="s">
        <v>1158</v>
      </c>
      <c r="B921" s="3">
        <v>45701</v>
      </c>
      <c r="C921" t="s">
        <v>161</v>
      </c>
      <c r="D921" t="s">
        <v>14</v>
      </c>
      <c r="E921" t="s">
        <v>15</v>
      </c>
      <c r="F921" t="s">
        <v>16</v>
      </c>
      <c r="G921" t="s">
        <v>104</v>
      </c>
      <c r="H921">
        <v>1</v>
      </c>
      <c r="I921">
        <v>10602</v>
      </c>
      <c r="J921">
        <v>0.15</v>
      </c>
      <c r="K921">
        <v>9011.7000000000007</v>
      </c>
      <c r="L921">
        <v>1893.88</v>
      </c>
    </row>
    <row r="922" spans="1:12" x14ac:dyDescent="0.3">
      <c r="A922" t="s">
        <v>1159</v>
      </c>
      <c r="B922" s="3">
        <v>45855</v>
      </c>
      <c r="C922" t="s">
        <v>61</v>
      </c>
      <c r="D922" t="s">
        <v>83</v>
      </c>
      <c r="E922" t="s">
        <v>73</v>
      </c>
      <c r="F922" t="s">
        <v>58</v>
      </c>
      <c r="G922" t="s">
        <v>126</v>
      </c>
      <c r="H922">
        <v>1</v>
      </c>
      <c r="I922">
        <v>263</v>
      </c>
      <c r="J922">
        <v>0.1</v>
      </c>
      <c r="K922">
        <v>236.7</v>
      </c>
      <c r="L922">
        <v>52.02</v>
      </c>
    </row>
    <row r="923" spans="1:12" x14ac:dyDescent="0.3">
      <c r="A923" t="s">
        <v>1160</v>
      </c>
      <c r="B923" s="3">
        <v>45734</v>
      </c>
      <c r="C923" t="s">
        <v>535</v>
      </c>
      <c r="D923" t="s">
        <v>307</v>
      </c>
      <c r="E923" t="s">
        <v>73</v>
      </c>
      <c r="F923" t="s">
        <v>58</v>
      </c>
      <c r="G923" t="s">
        <v>59</v>
      </c>
      <c r="H923">
        <v>2</v>
      </c>
      <c r="I923">
        <v>207</v>
      </c>
      <c r="J923">
        <v>0</v>
      </c>
      <c r="K923">
        <v>414</v>
      </c>
      <c r="L923">
        <v>69.510000000000005</v>
      </c>
    </row>
    <row r="924" spans="1:12" x14ac:dyDescent="0.3">
      <c r="A924" t="s">
        <v>1161</v>
      </c>
      <c r="B924" s="3">
        <v>45905</v>
      </c>
      <c r="C924" t="s">
        <v>389</v>
      </c>
      <c r="D924" t="s">
        <v>83</v>
      </c>
      <c r="E924" t="s">
        <v>73</v>
      </c>
      <c r="F924" t="s">
        <v>58</v>
      </c>
      <c r="G924" t="s">
        <v>69</v>
      </c>
      <c r="H924">
        <v>5</v>
      </c>
      <c r="I924">
        <v>640</v>
      </c>
      <c r="J924">
        <v>0.15</v>
      </c>
      <c r="K924">
        <v>2720</v>
      </c>
      <c r="L924">
        <v>277.08999999999997</v>
      </c>
    </row>
    <row r="925" spans="1:12" x14ac:dyDescent="0.3">
      <c r="A925" t="s">
        <v>1162</v>
      </c>
      <c r="B925" s="3">
        <v>45920</v>
      </c>
      <c r="C925" t="s">
        <v>326</v>
      </c>
      <c r="D925" t="s">
        <v>25</v>
      </c>
      <c r="E925" t="s">
        <v>26</v>
      </c>
      <c r="F925" t="s">
        <v>21</v>
      </c>
      <c r="G925" t="s">
        <v>35</v>
      </c>
      <c r="H925">
        <v>2</v>
      </c>
      <c r="I925">
        <v>16405</v>
      </c>
      <c r="J925">
        <v>0.2</v>
      </c>
      <c r="K925">
        <v>26248</v>
      </c>
      <c r="L925">
        <v>4225.1899999999996</v>
      </c>
    </row>
    <row r="926" spans="1:12" x14ac:dyDescent="0.3">
      <c r="A926" t="s">
        <v>1163</v>
      </c>
      <c r="B926" s="3">
        <v>45951</v>
      </c>
      <c r="C926" t="s">
        <v>87</v>
      </c>
      <c r="D926" t="s">
        <v>97</v>
      </c>
      <c r="E926" t="s">
        <v>44</v>
      </c>
      <c r="F926" t="s">
        <v>58</v>
      </c>
      <c r="G926" t="s">
        <v>126</v>
      </c>
      <c r="H926">
        <v>2</v>
      </c>
      <c r="I926">
        <v>1149</v>
      </c>
      <c r="J926">
        <v>0.05</v>
      </c>
      <c r="K926">
        <v>2183.1</v>
      </c>
      <c r="L926">
        <v>317.39999999999998</v>
      </c>
    </row>
    <row r="927" spans="1:12" x14ac:dyDescent="0.3">
      <c r="A927" t="s">
        <v>1164</v>
      </c>
      <c r="B927" s="3">
        <v>45830</v>
      </c>
      <c r="C927" t="s">
        <v>371</v>
      </c>
      <c r="D927" t="s">
        <v>43</v>
      </c>
      <c r="E927" t="s">
        <v>44</v>
      </c>
      <c r="F927" t="s">
        <v>21</v>
      </c>
      <c r="G927" t="s">
        <v>35</v>
      </c>
      <c r="H927">
        <v>1</v>
      </c>
      <c r="I927">
        <v>435</v>
      </c>
      <c r="J927">
        <v>0.1</v>
      </c>
      <c r="K927">
        <v>391.5</v>
      </c>
      <c r="L927">
        <v>95.57</v>
      </c>
    </row>
    <row r="928" spans="1:12" x14ac:dyDescent="0.3">
      <c r="A928" t="s">
        <v>1165</v>
      </c>
      <c r="B928" s="3">
        <v>45772</v>
      </c>
      <c r="C928" t="s">
        <v>217</v>
      </c>
      <c r="D928" t="s">
        <v>92</v>
      </c>
      <c r="E928" t="s">
        <v>51</v>
      </c>
      <c r="F928" t="s">
        <v>58</v>
      </c>
      <c r="G928" t="s">
        <v>59</v>
      </c>
      <c r="H928">
        <v>3</v>
      </c>
      <c r="I928">
        <v>19525</v>
      </c>
      <c r="J928">
        <v>0.2</v>
      </c>
      <c r="K928">
        <v>46860</v>
      </c>
      <c r="L928">
        <v>12474.98</v>
      </c>
    </row>
    <row r="929" spans="1:12" x14ac:dyDescent="0.3">
      <c r="A929" t="s">
        <v>1166</v>
      </c>
      <c r="B929" s="3">
        <v>45798</v>
      </c>
      <c r="C929" t="s">
        <v>650</v>
      </c>
      <c r="D929" t="s">
        <v>47</v>
      </c>
      <c r="E929" t="s">
        <v>26</v>
      </c>
      <c r="F929" t="s">
        <v>27</v>
      </c>
      <c r="G929" t="s">
        <v>28</v>
      </c>
      <c r="H929">
        <v>2</v>
      </c>
      <c r="I929">
        <v>11084</v>
      </c>
      <c r="J929">
        <v>0.05</v>
      </c>
      <c r="K929">
        <v>21059.599999999999</v>
      </c>
      <c r="L929">
        <v>5205.66</v>
      </c>
    </row>
    <row r="930" spans="1:12" x14ac:dyDescent="0.3">
      <c r="A930" t="s">
        <v>1167</v>
      </c>
      <c r="B930" s="3">
        <v>45824</v>
      </c>
      <c r="C930" t="s">
        <v>37</v>
      </c>
      <c r="D930" t="s">
        <v>65</v>
      </c>
      <c r="E930" t="s">
        <v>26</v>
      </c>
      <c r="F930" t="s">
        <v>21</v>
      </c>
      <c r="G930" t="s">
        <v>35</v>
      </c>
      <c r="H930">
        <v>1</v>
      </c>
      <c r="I930">
        <v>3928</v>
      </c>
      <c r="J930">
        <v>0.15</v>
      </c>
      <c r="K930">
        <v>3338.8</v>
      </c>
      <c r="L930">
        <v>462.37</v>
      </c>
    </row>
    <row r="931" spans="1:12" x14ac:dyDescent="0.3">
      <c r="A931" t="s">
        <v>1168</v>
      </c>
      <c r="B931" s="3">
        <v>45878</v>
      </c>
      <c r="C931" t="s">
        <v>266</v>
      </c>
      <c r="D931" t="s">
        <v>72</v>
      </c>
      <c r="E931" t="s">
        <v>73</v>
      </c>
      <c r="F931" t="s">
        <v>27</v>
      </c>
      <c r="G931" t="s">
        <v>28</v>
      </c>
      <c r="H931">
        <v>1</v>
      </c>
      <c r="I931">
        <v>991</v>
      </c>
      <c r="J931">
        <v>0.05</v>
      </c>
      <c r="K931">
        <v>941.45</v>
      </c>
      <c r="L931">
        <v>231.53</v>
      </c>
    </row>
    <row r="932" spans="1:12" x14ac:dyDescent="0.3">
      <c r="A932" t="s">
        <v>1169</v>
      </c>
      <c r="B932" s="3">
        <v>45880</v>
      </c>
      <c r="C932" t="s">
        <v>67</v>
      </c>
      <c r="D932" t="s">
        <v>92</v>
      </c>
      <c r="E932" t="s">
        <v>51</v>
      </c>
      <c r="F932" t="s">
        <v>27</v>
      </c>
      <c r="G932" t="s">
        <v>28</v>
      </c>
      <c r="H932">
        <v>1</v>
      </c>
      <c r="I932">
        <v>19810</v>
      </c>
      <c r="J932">
        <v>0.1</v>
      </c>
      <c r="K932">
        <v>17829</v>
      </c>
      <c r="L932">
        <v>2257.31</v>
      </c>
    </row>
    <row r="933" spans="1:12" x14ac:dyDescent="0.3">
      <c r="A933" t="s">
        <v>1170</v>
      </c>
      <c r="B933" s="3">
        <v>45694</v>
      </c>
      <c r="C933" t="s">
        <v>13</v>
      </c>
      <c r="D933" t="s">
        <v>72</v>
      </c>
      <c r="E933" t="s">
        <v>73</v>
      </c>
      <c r="F933" t="s">
        <v>27</v>
      </c>
      <c r="G933" t="s">
        <v>31</v>
      </c>
      <c r="H933">
        <v>1</v>
      </c>
      <c r="I933">
        <v>935</v>
      </c>
      <c r="J933">
        <v>0.1</v>
      </c>
      <c r="K933">
        <v>841.5</v>
      </c>
      <c r="L933">
        <v>217.8</v>
      </c>
    </row>
    <row r="934" spans="1:12" x14ac:dyDescent="0.3">
      <c r="A934" t="s">
        <v>1171</v>
      </c>
      <c r="B934" s="3">
        <v>45676</v>
      </c>
      <c r="C934" t="s">
        <v>315</v>
      </c>
      <c r="D934" t="s">
        <v>97</v>
      </c>
      <c r="E934" t="s">
        <v>44</v>
      </c>
      <c r="F934" t="s">
        <v>27</v>
      </c>
      <c r="G934" t="s">
        <v>40</v>
      </c>
      <c r="H934">
        <v>5</v>
      </c>
      <c r="I934">
        <v>841</v>
      </c>
      <c r="J934">
        <v>0.1</v>
      </c>
      <c r="K934">
        <v>3784.5</v>
      </c>
      <c r="L934">
        <v>528.35</v>
      </c>
    </row>
    <row r="935" spans="1:12" x14ac:dyDescent="0.3">
      <c r="A935" t="s">
        <v>1172</v>
      </c>
      <c r="B935" s="3">
        <v>45993</v>
      </c>
      <c r="C935" t="s">
        <v>792</v>
      </c>
      <c r="D935" t="s">
        <v>50</v>
      </c>
      <c r="E935" t="s">
        <v>51</v>
      </c>
      <c r="F935" t="s">
        <v>21</v>
      </c>
      <c r="G935" t="s">
        <v>35</v>
      </c>
      <c r="H935">
        <v>2</v>
      </c>
      <c r="I935">
        <v>2783</v>
      </c>
      <c r="J935">
        <v>0.05</v>
      </c>
      <c r="K935">
        <v>5287.7</v>
      </c>
      <c r="L935">
        <v>1184.55</v>
      </c>
    </row>
    <row r="936" spans="1:12" x14ac:dyDescent="0.3">
      <c r="A936" t="s">
        <v>1173</v>
      </c>
      <c r="B936" s="3">
        <v>45958</v>
      </c>
      <c r="C936" t="s">
        <v>180</v>
      </c>
      <c r="D936" t="s">
        <v>80</v>
      </c>
      <c r="E936" t="s">
        <v>51</v>
      </c>
      <c r="F936" t="s">
        <v>21</v>
      </c>
      <c r="G936" t="s">
        <v>35</v>
      </c>
      <c r="H936">
        <v>1</v>
      </c>
      <c r="I936">
        <v>74227</v>
      </c>
      <c r="J936">
        <v>0.1</v>
      </c>
      <c r="K936">
        <v>66804.3</v>
      </c>
      <c r="L936">
        <v>6335.4</v>
      </c>
    </row>
    <row r="937" spans="1:12" x14ac:dyDescent="0.3">
      <c r="A937" t="s">
        <v>1174</v>
      </c>
      <c r="B937" s="3">
        <v>45834</v>
      </c>
      <c r="C937" t="s">
        <v>194</v>
      </c>
      <c r="D937" t="s">
        <v>97</v>
      </c>
      <c r="E937" t="s">
        <v>44</v>
      </c>
      <c r="F937" t="s">
        <v>16</v>
      </c>
      <c r="G937" t="s">
        <v>104</v>
      </c>
      <c r="H937">
        <v>1</v>
      </c>
      <c r="I937">
        <v>1191</v>
      </c>
      <c r="J937">
        <v>0</v>
      </c>
      <c r="K937">
        <v>1191</v>
      </c>
      <c r="L937">
        <v>98.09</v>
      </c>
    </row>
    <row r="938" spans="1:12" x14ac:dyDescent="0.3">
      <c r="A938" t="s">
        <v>1175</v>
      </c>
      <c r="B938" s="3">
        <v>45995</v>
      </c>
      <c r="C938" t="s">
        <v>463</v>
      </c>
      <c r="D938" t="s">
        <v>88</v>
      </c>
      <c r="E938" t="s">
        <v>73</v>
      </c>
      <c r="F938" t="s">
        <v>21</v>
      </c>
      <c r="G938" t="s">
        <v>22</v>
      </c>
      <c r="H938">
        <v>3</v>
      </c>
      <c r="I938">
        <v>256</v>
      </c>
      <c r="J938">
        <v>0.2</v>
      </c>
      <c r="K938">
        <v>614.4</v>
      </c>
      <c r="L938">
        <v>152.44999999999999</v>
      </c>
    </row>
    <row r="939" spans="1:12" x14ac:dyDescent="0.3">
      <c r="A939" t="s">
        <v>1176</v>
      </c>
      <c r="B939" s="3">
        <v>45792</v>
      </c>
      <c r="C939" t="s">
        <v>650</v>
      </c>
      <c r="D939" t="s">
        <v>88</v>
      </c>
      <c r="E939" t="s">
        <v>73</v>
      </c>
      <c r="F939" t="s">
        <v>27</v>
      </c>
      <c r="G939" t="s">
        <v>28</v>
      </c>
      <c r="H939">
        <v>2</v>
      </c>
      <c r="I939">
        <v>248</v>
      </c>
      <c r="J939">
        <v>0.2</v>
      </c>
      <c r="K939">
        <v>396.8</v>
      </c>
      <c r="L939">
        <v>98.45</v>
      </c>
    </row>
    <row r="940" spans="1:12" x14ac:dyDescent="0.3">
      <c r="A940" t="s">
        <v>1177</v>
      </c>
      <c r="B940" s="3">
        <v>45886</v>
      </c>
      <c r="C940" t="s">
        <v>516</v>
      </c>
      <c r="D940" t="s">
        <v>120</v>
      </c>
      <c r="E940" t="s">
        <v>51</v>
      </c>
      <c r="F940" t="s">
        <v>58</v>
      </c>
      <c r="G940" t="s">
        <v>126</v>
      </c>
      <c r="H940">
        <v>5</v>
      </c>
      <c r="I940">
        <v>1188</v>
      </c>
      <c r="J940">
        <v>0.15</v>
      </c>
      <c r="K940">
        <v>5049</v>
      </c>
      <c r="L940">
        <v>975.33</v>
      </c>
    </row>
    <row r="941" spans="1:12" x14ac:dyDescent="0.3">
      <c r="A941" t="s">
        <v>1178</v>
      </c>
      <c r="B941" s="3">
        <v>45707</v>
      </c>
      <c r="C941" t="s">
        <v>563</v>
      </c>
      <c r="D941" t="s">
        <v>83</v>
      </c>
      <c r="E941" t="s">
        <v>73</v>
      </c>
      <c r="F941" t="s">
        <v>58</v>
      </c>
      <c r="G941" t="s">
        <v>69</v>
      </c>
      <c r="H941">
        <v>1</v>
      </c>
      <c r="I941">
        <v>345</v>
      </c>
      <c r="J941">
        <v>0.05</v>
      </c>
      <c r="K941">
        <v>327.75</v>
      </c>
      <c r="L941">
        <v>33.61</v>
      </c>
    </row>
    <row r="942" spans="1:12" x14ac:dyDescent="0.3">
      <c r="A942" t="s">
        <v>1179</v>
      </c>
      <c r="B942" s="3">
        <v>45703</v>
      </c>
      <c r="C942" t="s">
        <v>389</v>
      </c>
      <c r="D942" t="s">
        <v>47</v>
      </c>
      <c r="E942" t="s">
        <v>26</v>
      </c>
      <c r="F942" t="s">
        <v>21</v>
      </c>
      <c r="G942" t="s">
        <v>55</v>
      </c>
      <c r="H942">
        <v>5</v>
      </c>
      <c r="I942">
        <v>17010</v>
      </c>
      <c r="J942">
        <v>0</v>
      </c>
      <c r="K942">
        <v>85050</v>
      </c>
      <c r="L942">
        <v>12359.84</v>
      </c>
    </row>
    <row r="943" spans="1:12" x14ac:dyDescent="0.3">
      <c r="A943" t="s">
        <v>1180</v>
      </c>
      <c r="B943" s="3">
        <v>45929</v>
      </c>
      <c r="C943" t="s">
        <v>172</v>
      </c>
      <c r="D943" t="s">
        <v>25</v>
      </c>
      <c r="E943" t="s">
        <v>26</v>
      </c>
      <c r="F943" t="s">
        <v>58</v>
      </c>
      <c r="G943" t="s">
        <v>126</v>
      </c>
      <c r="H943">
        <v>1</v>
      </c>
      <c r="I943">
        <v>10269</v>
      </c>
      <c r="J943">
        <v>0</v>
      </c>
      <c r="K943">
        <v>10269</v>
      </c>
      <c r="L943">
        <v>2374.12</v>
      </c>
    </row>
    <row r="944" spans="1:12" x14ac:dyDescent="0.3">
      <c r="A944" t="s">
        <v>1181</v>
      </c>
      <c r="B944" s="3">
        <v>45835</v>
      </c>
      <c r="C944" t="s">
        <v>328</v>
      </c>
      <c r="D944" t="s">
        <v>80</v>
      </c>
      <c r="E944" t="s">
        <v>51</v>
      </c>
      <c r="F944" t="s">
        <v>21</v>
      </c>
      <c r="G944" t="s">
        <v>55</v>
      </c>
      <c r="H944">
        <v>1</v>
      </c>
      <c r="I944">
        <v>47930</v>
      </c>
      <c r="J944">
        <v>0.15</v>
      </c>
      <c r="K944">
        <v>40740.5</v>
      </c>
      <c r="L944">
        <v>9389.9500000000007</v>
      </c>
    </row>
    <row r="945" spans="1:12" x14ac:dyDescent="0.3">
      <c r="A945" t="s">
        <v>1182</v>
      </c>
      <c r="B945" s="3">
        <v>45698</v>
      </c>
      <c r="C945" t="s">
        <v>251</v>
      </c>
      <c r="D945" t="s">
        <v>83</v>
      </c>
      <c r="E945" t="s">
        <v>73</v>
      </c>
      <c r="F945" t="s">
        <v>16</v>
      </c>
      <c r="G945" t="s">
        <v>52</v>
      </c>
      <c r="H945">
        <v>2</v>
      </c>
      <c r="I945">
        <v>275</v>
      </c>
      <c r="J945">
        <v>0.1</v>
      </c>
      <c r="K945">
        <v>495</v>
      </c>
      <c r="L945">
        <v>116.61</v>
      </c>
    </row>
    <row r="946" spans="1:12" x14ac:dyDescent="0.3">
      <c r="A946" t="s">
        <v>1183</v>
      </c>
      <c r="B946" s="3">
        <v>45865</v>
      </c>
      <c r="C946" t="s">
        <v>270</v>
      </c>
      <c r="D946" t="s">
        <v>34</v>
      </c>
      <c r="E946" t="s">
        <v>15</v>
      </c>
      <c r="F946" t="s">
        <v>58</v>
      </c>
      <c r="G946" t="s">
        <v>59</v>
      </c>
      <c r="H946">
        <v>3</v>
      </c>
      <c r="I946">
        <v>22044</v>
      </c>
      <c r="J946">
        <v>0.05</v>
      </c>
      <c r="K946">
        <v>62825.4</v>
      </c>
      <c r="L946">
        <v>14636.8</v>
      </c>
    </row>
    <row r="947" spans="1:12" x14ac:dyDescent="0.3">
      <c r="A947" t="s">
        <v>1184</v>
      </c>
      <c r="B947" s="3">
        <v>45867</v>
      </c>
      <c r="C947" t="s">
        <v>485</v>
      </c>
      <c r="D947" t="s">
        <v>25</v>
      </c>
      <c r="E947" t="s">
        <v>26</v>
      </c>
      <c r="F947" t="s">
        <v>21</v>
      </c>
      <c r="G947" t="s">
        <v>22</v>
      </c>
      <c r="H947">
        <v>2</v>
      </c>
      <c r="I947">
        <v>12935</v>
      </c>
      <c r="J947">
        <v>0.15</v>
      </c>
      <c r="K947">
        <v>21989.5</v>
      </c>
      <c r="L947">
        <v>6001.77</v>
      </c>
    </row>
    <row r="948" spans="1:12" x14ac:dyDescent="0.3">
      <c r="A948" t="s">
        <v>1185</v>
      </c>
      <c r="B948" s="3">
        <v>45885</v>
      </c>
      <c r="C948" t="s">
        <v>201</v>
      </c>
      <c r="D948" t="s">
        <v>50</v>
      </c>
      <c r="E948" t="s">
        <v>51</v>
      </c>
      <c r="F948" t="s">
        <v>16</v>
      </c>
      <c r="G948" t="s">
        <v>17</v>
      </c>
      <c r="H948">
        <v>2</v>
      </c>
      <c r="I948">
        <v>2103</v>
      </c>
      <c r="J948">
        <v>0</v>
      </c>
      <c r="K948">
        <v>4206</v>
      </c>
      <c r="L948">
        <v>982.6</v>
      </c>
    </row>
    <row r="949" spans="1:12" x14ac:dyDescent="0.3">
      <c r="A949" t="s">
        <v>1186</v>
      </c>
      <c r="B949" s="3">
        <v>45987</v>
      </c>
      <c r="C949" t="s">
        <v>516</v>
      </c>
      <c r="D949" t="s">
        <v>120</v>
      </c>
      <c r="E949" t="s">
        <v>51</v>
      </c>
      <c r="F949" t="s">
        <v>27</v>
      </c>
      <c r="G949" t="s">
        <v>28</v>
      </c>
      <c r="H949">
        <v>3</v>
      </c>
      <c r="I949">
        <v>655</v>
      </c>
      <c r="J949">
        <v>0.2</v>
      </c>
      <c r="K949">
        <v>1572</v>
      </c>
      <c r="L949">
        <v>308.87</v>
      </c>
    </row>
    <row r="950" spans="1:12" x14ac:dyDescent="0.3">
      <c r="A950" t="s">
        <v>1187</v>
      </c>
      <c r="B950" s="3">
        <v>45741</v>
      </c>
      <c r="C950" t="s">
        <v>54</v>
      </c>
      <c r="D950" t="s">
        <v>47</v>
      </c>
      <c r="E950" t="s">
        <v>26</v>
      </c>
      <c r="F950" t="s">
        <v>27</v>
      </c>
      <c r="G950" t="s">
        <v>28</v>
      </c>
      <c r="H950">
        <v>3</v>
      </c>
      <c r="I950">
        <v>8500</v>
      </c>
      <c r="J950">
        <v>0</v>
      </c>
      <c r="K950">
        <v>25500</v>
      </c>
      <c r="L950">
        <v>4898.03</v>
      </c>
    </row>
    <row r="951" spans="1:12" x14ac:dyDescent="0.3">
      <c r="A951" t="s">
        <v>1188</v>
      </c>
      <c r="B951" s="3">
        <v>45711</v>
      </c>
      <c r="C951" t="s">
        <v>401</v>
      </c>
      <c r="D951" t="s">
        <v>120</v>
      </c>
      <c r="E951" t="s">
        <v>51</v>
      </c>
      <c r="F951" t="s">
        <v>16</v>
      </c>
      <c r="G951" t="s">
        <v>17</v>
      </c>
      <c r="H951">
        <v>3</v>
      </c>
      <c r="I951">
        <v>1367</v>
      </c>
      <c r="J951">
        <v>0.15</v>
      </c>
      <c r="K951">
        <v>3485.85</v>
      </c>
      <c r="L951">
        <v>302.17</v>
      </c>
    </row>
    <row r="952" spans="1:12" x14ac:dyDescent="0.3">
      <c r="A952" t="s">
        <v>1189</v>
      </c>
      <c r="B952" s="3">
        <v>45822</v>
      </c>
      <c r="C952" t="s">
        <v>238</v>
      </c>
      <c r="D952" t="s">
        <v>92</v>
      </c>
      <c r="E952" t="s">
        <v>51</v>
      </c>
      <c r="F952" t="s">
        <v>21</v>
      </c>
      <c r="G952" t="s">
        <v>22</v>
      </c>
      <c r="H952">
        <v>1</v>
      </c>
      <c r="I952">
        <v>20124</v>
      </c>
      <c r="J952">
        <v>0</v>
      </c>
      <c r="K952">
        <v>20124</v>
      </c>
      <c r="L952">
        <v>4184.8900000000003</v>
      </c>
    </row>
    <row r="953" spans="1:12" x14ac:dyDescent="0.3">
      <c r="A953" t="s">
        <v>1190</v>
      </c>
      <c r="B953" s="3">
        <v>45697</v>
      </c>
      <c r="C953" t="s">
        <v>403</v>
      </c>
      <c r="D953" t="s">
        <v>153</v>
      </c>
      <c r="E953" t="s">
        <v>26</v>
      </c>
      <c r="F953" t="s">
        <v>58</v>
      </c>
      <c r="G953" t="s">
        <v>69</v>
      </c>
      <c r="H953">
        <v>1</v>
      </c>
      <c r="I953">
        <v>5662</v>
      </c>
      <c r="J953">
        <v>0.1</v>
      </c>
      <c r="K953">
        <v>5095.8</v>
      </c>
      <c r="L953">
        <v>879.22</v>
      </c>
    </row>
    <row r="954" spans="1:12" x14ac:dyDescent="0.3">
      <c r="A954" t="s">
        <v>1191</v>
      </c>
      <c r="B954" s="3">
        <v>46003</v>
      </c>
      <c r="C954" t="s">
        <v>79</v>
      </c>
      <c r="D954" t="s">
        <v>50</v>
      </c>
      <c r="E954" t="s">
        <v>51</v>
      </c>
      <c r="F954" t="s">
        <v>21</v>
      </c>
      <c r="G954" t="s">
        <v>35</v>
      </c>
      <c r="H954">
        <v>1</v>
      </c>
      <c r="I954">
        <v>3161</v>
      </c>
      <c r="J954">
        <v>0.1</v>
      </c>
      <c r="K954">
        <v>2844.9</v>
      </c>
      <c r="L954">
        <v>521.44000000000005</v>
      </c>
    </row>
    <row r="955" spans="1:12" x14ac:dyDescent="0.3">
      <c r="A955" t="s">
        <v>1192</v>
      </c>
      <c r="B955" s="3">
        <v>45713</v>
      </c>
      <c r="C955" t="s">
        <v>194</v>
      </c>
      <c r="D955" t="s">
        <v>307</v>
      </c>
      <c r="E955" t="s">
        <v>73</v>
      </c>
      <c r="F955" t="s">
        <v>21</v>
      </c>
      <c r="G955" t="s">
        <v>35</v>
      </c>
      <c r="H955">
        <v>3</v>
      </c>
      <c r="I955">
        <v>191</v>
      </c>
      <c r="J955">
        <v>0.05</v>
      </c>
      <c r="K955">
        <v>544.35</v>
      </c>
      <c r="L955">
        <v>108.81</v>
      </c>
    </row>
    <row r="956" spans="1:12" x14ac:dyDescent="0.3">
      <c r="A956" t="s">
        <v>1193</v>
      </c>
      <c r="B956" s="3">
        <v>45906</v>
      </c>
      <c r="C956" t="s">
        <v>278</v>
      </c>
      <c r="D956" t="s">
        <v>103</v>
      </c>
      <c r="E956" t="s">
        <v>51</v>
      </c>
      <c r="F956" t="s">
        <v>27</v>
      </c>
      <c r="G956" t="s">
        <v>40</v>
      </c>
      <c r="H956">
        <v>2</v>
      </c>
      <c r="I956">
        <v>7560</v>
      </c>
      <c r="J956">
        <v>0.2</v>
      </c>
      <c r="K956">
        <v>12096</v>
      </c>
      <c r="L956">
        <v>2224.21</v>
      </c>
    </row>
    <row r="957" spans="1:12" x14ac:dyDescent="0.3">
      <c r="A957" t="s">
        <v>1194</v>
      </c>
      <c r="B957" s="3">
        <v>45675</v>
      </c>
      <c r="C957" t="s">
        <v>100</v>
      </c>
      <c r="D957" t="s">
        <v>307</v>
      </c>
      <c r="E957" t="s">
        <v>73</v>
      </c>
      <c r="F957" t="s">
        <v>58</v>
      </c>
      <c r="G957" t="s">
        <v>126</v>
      </c>
      <c r="H957">
        <v>4</v>
      </c>
      <c r="I957">
        <v>153</v>
      </c>
      <c r="J957">
        <v>0.1</v>
      </c>
      <c r="K957">
        <v>550.79999999999995</v>
      </c>
      <c r="L957">
        <v>53.73</v>
      </c>
    </row>
    <row r="958" spans="1:12" x14ac:dyDescent="0.3">
      <c r="A958" t="s">
        <v>1195</v>
      </c>
      <c r="B958" s="3">
        <v>45674</v>
      </c>
      <c r="C958" t="s">
        <v>535</v>
      </c>
      <c r="D958" t="s">
        <v>97</v>
      </c>
      <c r="E958" t="s">
        <v>44</v>
      </c>
      <c r="F958" t="s">
        <v>58</v>
      </c>
      <c r="G958" t="s">
        <v>59</v>
      </c>
      <c r="H958">
        <v>2</v>
      </c>
      <c r="I958">
        <v>999</v>
      </c>
      <c r="J958">
        <v>0.15</v>
      </c>
      <c r="K958">
        <v>1698.3</v>
      </c>
      <c r="L958">
        <v>355.97</v>
      </c>
    </row>
    <row r="959" spans="1:12" x14ac:dyDescent="0.3">
      <c r="A959" t="s">
        <v>1196</v>
      </c>
      <c r="B959" s="3">
        <v>45942</v>
      </c>
      <c r="C959" t="s">
        <v>719</v>
      </c>
      <c r="D959" t="s">
        <v>47</v>
      </c>
      <c r="E959" t="s">
        <v>26</v>
      </c>
      <c r="F959" t="s">
        <v>27</v>
      </c>
      <c r="G959" t="s">
        <v>28</v>
      </c>
      <c r="H959">
        <v>1</v>
      </c>
      <c r="I959">
        <v>12013</v>
      </c>
      <c r="J959">
        <v>0</v>
      </c>
      <c r="K959">
        <v>12013</v>
      </c>
      <c r="L959">
        <v>1780.44</v>
      </c>
    </row>
    <row r="960" spans="1:12" x14ac:dyDescent="0.3">
      <c r="A960" t="s">
        <v>1197</v>
      </c>
      <c r="B960" s="3">
        <v>45723</v>
      </c>
      <c r="C960" t="s">
        <v>191</v>
      </c>
      <c r="D960" t="s">
        <v>83</v>
      </c>
      <c r="E960" t="s">
        <v>73</v>
      </c>
      <c r="F960" t="s">
        <v>58</v>
      </c>
      <c r="G960" t="s">
        <v>69</v>
      </c>
      <c r="H960">
        <v>2</v>
      </c>
      <c r="I960">
        <v>437</v>
      </c>
      <c r="J960">
        <v>0.1</v>
      </c>
      <c r="K960">
        <v>786.6</v>
      </c>
      <c r="L960">
        <v>108.05</v>
      </c>
    </row>
    <row r="961" spans="1:12" x14ac:dyDescent="0.3">
      <c r="A961" t="s">
        <v>1198</v>
      </c>
      <c r="B961" s="3">
        <v>45910</v>
      </c>
      <c r="C961" t="s">
        <v>71</v>
      </c>
      <c r="D961" t="s">
        <v>153</v>
      </c>
      <c r="E961" t="s">
        <v>26</v>
      </c>
      <c r="F961" t="s">
        <v>27</v>
      </c>
      <c r="G961" t="s">
        <v>40</v>
      </c>
      <c r="H961">
        <v>2</v>
      </c>
      <c r="I961">
        <v>5440</v>
      </c>
      <c r="J961">
        <v>0.05</v>
      </c>
      <c r="K961">
        <v>10336</v>
      </c>
      <c r="L961">
        <v>2800.31</v>
      </c>
    </row>
    <row r="962" spans="1:12" x14ac:dyDescent="0.3">
      <c r="A962" t="s">
        <v>1199</v>
      </c>
      <c r="B962" s="3">
        <v>45970</v>
      </c>
      <c r="C962" t="s">
        <v>516</v>
      </c>
      <c r="D962" t="s">
        <v>97</v>
      </c>
      <c r="E962" t="s">
        <v>44</v>
      </c>
      <c r="F962" t="s">
        <v>16</v>
      </c>
      <c r="G962" t="s">
        <v>104</v>
      </c>
      <c r="H962">
        <v>1</v>
      </c>
      <c r="I962">
        <v>500</v>
      </c>
      <c r="J962">
        <v>0</v>
      </c>
      <c r="K962">
        <v>500</v>
      </c>
      <c r="L962">
        <v>52.31</v>
      </c>
    </row>
    <row r="963" spans="1:12" x14ac:dyDescent="0.3">
      <c r="A963" t="s">
        <v>1200</v>
      </c>
      <c r="B963" s="3">
        <v>46014</v>
      </c>
      <c r="C963" t="s">
        <v>215</v>
      </c>
      <c r="D963" t="s">
        <v>88</v>
      </c>
      <c r="E963" t="s">
        <v>73</v>
      </c>
      <c r="F963" t="s">
        <v>21</v>
      </c>
      <c r="G963" t="s">
        <v>35</v>
      </c>
      <c r="H963">
        <v>5</v>
      </c>
      <c r="I963">
        <v>224</v>
      </c>
      <c r="J963">
        <v>0.1</v>
      </c>
      <c r="K963">
        <v>1008</v>
      </c>
      <c r="L963">
        <v>250.87</v>
      </c>
    </row>
    <row r="964" spans="1:12" x14ac:dyDescent="0.3">
      <c r="A964" t="s">
        <v>1201</v>
      </c>
      <c r="B964" s="3">
        <v>45882</v>
      </c>
      <c r="C964" t="s">
        <v>147</v>
      </c>
      <c r="D964" t="s">
        <v>80</v>
      </c>
      <c r="E964" t="s">
        <v>51</v>
      </c>
      <c r="F964" t="s">
        <v>16</v>
      </c>
      <c r="G964" t="s">
        <v>104</v>
      </c>
      <c r="H964">
        <v>2</v>
      </c>
      <c r="I964">
        <v>59500</v>
      </c>
      <c r="J964">
        <v>0.1</v>
      </c>
      <c r="K964">
        <v>107100</v>
      </c>
      <c r="L964">
        <v>21942.06</v>
      </c>
    </row>
    <row r="965" spans="1:12" x14ac:dyDescent="0.3">
      <c r="A965" t="s">
        <v>1202</v>
      </c>
      <c r="B965" s="3">
        <v>45883</v>
      </c>
      <c r="C965" t="s">
        <v>136</v>
      </c>
      <c r="D965" t="s">
        <v>202</v>
      </c>
      <c r="E965" t="s">
        <v>44</v>
      </c>
      <c r="F965" t="s">
        <v>16</v>
      </c>
      <c r="G965" t="s">
        <v>104</v>
      </c>
      <c r="H965">
        <v>1</v>
      </c>
      <c r="I965">
        <v>2792</v>
      </c>
      <c r="J965">
        <v>0.05</v>
      </c>
      <c r="K965">
        <v>2652.4</v>
      </c>
      <c r="L965">
        <v>666.67</v>
      </c>
    </row>
    <row r="966" spans="1:12" x14ac:dyDescent="0.3">
      <c r="A966" t="s">
        <v>1203</v>
      </c>
      <c r="B966" s="3">
        <v>45817</v>
      </c>
      <c r="C966" t="s">
        <v>305</v>
      </c>
      <c r="D966" t="s">
        <v>120</v>
      </c>
      <c r="E966" t="s">
        <v>51</v>
      </c>
      <c r="F966" t="s">
        <v>58</v>
      </c>
      <c r="G966" t="s">
        <v>126</v>
      </c>
      <c r="H966">
        <v>1</v>
      </c>
      <c r="I966">
        <v>1865</v>
      </c>
      <c r="J966">
        <v>0</v>
      </c>
      <c r="K966">
        <v>1865</v>
      </c>
      <c r="L966">
        <v>346.23</v>
      </c>
    </row>
    <row r="967" spans="1:12" x14ac:dyDescent="0.3">
      <c r="A967" t="s">
        <v>1204</v>
      </c>
      <c r="B967" s="3">
        <v>45977</v>
      </c>
      <c r="C967" t="s">
        <v>382</v>
      </c>
      <c r="D967" t="s">
        <v>14</v>
      </c>
      <c r="E967" t="s">
        <v>15</v>
      </c>
      <c r="F967" t="s">
        <v>27</v>
      </c>
      <c r="G967" t="s">
        <v>40</v>
      </c>
      <c r="H967">
        <v>1</v>
      </c>
      <c r="I967">
        <v>16429</v>
      </c>
      <c r="J967">
        <v>0.1</v>
      </c>
      <c r="K967">
        <v>14786.1</v>
      </c>
      <c r="L967">
        <v>2482.61</v>
      </c>
    </row>
    <row r="968" spans="1:12" x14ac:dyDescent="0.3">
      <c r="A968" t="s">
        <v>1205</v>
      </c>
      <c r="B968" s="3">
        <v>45801</v>
      </c>
      <c r="C968" t="s">
        <v>113</v>
      </c>
      <c r="D968" t="s">
        <v>103</v>
      </c>
      <c r="E968" t="s">
        <v>51</v>
      </c>
      <c r="F968" t="s">
        <v>21</v>
      </c>
      <c r="G968" t="s">
        <v>22</v>
      </c>
      <c r="H968">
        <v>1</v>
      </c>
      <c r="I968">
        <v>8320</v>
      </c>
      <c r="J968">
        <v>0</v>
      </c>
      <c r="K968">
        <v>8320</v>
      </c>
      <c r="L968">
        <v>1740.14</v>
      </c>
    </row>
    <row r="969" spans="1:12" x14ac:dyDescent="0.3">
      <c r="A969" t="s">
        <v>1206</v>
      </c>
      <c r="B969" s="3">
        <v>45822</v>
      </c>
      <c r="C969" t="s">
        <v>187</v>
      </c>
      <c r="D969" t="s">
        <v>72</v>
      </c>
      <c r="E969" t="s">
        <v>73</v>
      </c>
      <c r="F969" t="s">
        <v>16</v>
      </c>
      <c r="G969" t="s">
        <v>17</v>
      </c>
      <c r="H969">
        <v>2</v>
      </c>
      <c r="I969">
        <v>640</v>
      </c>
      <c r="J969">
        <v>0.05</v>
      </c>
      <c r="K969">
        <v>1216</v>
      </c>
      <c r="L969">
        <v>130.44999999999999</v>
      </c>
    </row>
    <row r="970" spans="1:12" x14ac:dyDescent="0.3">
      <c r="A970" t="s">
        <v>1207</v>
      </c>
      <c r="B970" s="3">
        <v>45841</v>
      </c>
      <c r="C970" t="s">
        <v>705</v>
      </c>
      <c r="D970" t="s">
        <v>30</v>
      </c>
      <c r="E970" t="s">
        <v>15</v>
      </c>
      <c r="F970" t="s">
        <v>21</v>
      </c>
      <c r="G970" t="s">
        <v>55</v>
      </c>
      <c r="H970">
        <v>2</v>
      </c>
      <c r="I970">
        <v>7506</v>
      </c>
      <c r="J970">
        <v>0.25</v>
      </c>
      <c r="K970">
        <v>11259</v>
      </c>
      <c r="L970">
        <v>1336.93</v>
      </c>
    </row>
    <row r="971" spans="1:12" x14ac:dyDescent="0.3">
      <c r="A971" t="s">
        <v>1208</v>
      </c>
      <c r="B971" s="3">
        <v>45921</v>
      </c>
      <c r="C971" t="s">
        <v>170</v>
      </c>
      <c r="D971" t="s">
        <v>97</v>
      </c>
      <c r="E971" t="s">
        <v>44</v>
      </c>
      <c r="F971" t="s">
        <v>16</v>
      </c>
      <c r="G971" t="s">
        <v>104</v>
      </c>
      <c r="H971">
        <v>3</v>
      </c>
      <c r="I971">
        <v>962</v>
      </c>
      <c r="J971">
        <v>0.05</v>
      </c>
      <c r="K971">
        <v>2741.7</v>
      </c>
      <c r="L971">
        <v>554.29999999999995</v>
      </c>
    </row>
    <row r="972" spans="1:12" x14ac:dyDescent="0.3">
      <c r="A972" t="s">
        <v>1209</v>
      </c>
      <c r="B972" s="3">
        <v>45901</v>
      </c>
      <c r="C972" t="s">
        <v>436</v>
      </c>
      <c r="D972" t="s">
        <v>120</v>
      </c>
      <c r="E972" t="s">
        <v>51</v>
      </c>
      <c r="F972" t="s">
        <v>27</v>
      </c>
      <c r="G972" t="s">
        <v>28</v>
      </c>
      <c r="H972">
        <v>1</v>
      </c>
      <c r="I972">
        <v>1744</v>
      </c>
      <c r="J972">
        <v>0</v>
      </c>
      <c r="K972">
        <v>1744</v>
      </c>
      <c r="L972">
        <v>318.31</v>
      </c>
    </row>
    <row r="973" spans="1:12" x14ac:dyDescent="0.3">
      <c r="A973" t="s">
        <v>1210</v>
      </c>
      <c r="B973" s="3">
        <v>45764</v>
      </c>
      <c r="C973" t="s">
        <v>421</v>
      </c>
      <c r="D973" t="s">
        <v>153</v>
      </c>
      <c r="E973" t="s">
        <v>26</v>
      </c>
      <c r="F973" t="s">
        <v>21</v>
      </c>
      <c r="G973" t="s">
        <v>22</v>
      </c>
      <c r="H973">
        <v>4</v>
      </c>
      <c r="I973">
        <v>6114</v>
      </c>
      <c r="J973">
        <v>0.1</v>
      </c>
      <c r="K973">
        <v>22010.400000000001</v>
      </c>
      <c r="L973">
        <v>5394.88</v>
      </c>
    </row>
    <row r="974" spans="1:12" x14ac:dyDescent="0.3">
      <c r="A974" t="s">
        <v>1211</v>
      </c>
      <c r="B974" s="3">
        <v>45692</v>
      </c>
      <c r="C974" t="s">
        <v>61</v>
      </c>
      <c r="D974" t="s">
        <v>72</v>
      </c>
      <c r="E974" t="s">
        <v>73</v>
      </c>
      <c r="F974" t="s">
        <v>58</v>
      </c>
      <c r="G974" t="s">
        <v>69</v>
      </c>
      <c r="H974">
        <v>3</v>
      </c>
      <c r="I974">
        <v>921</v>
      </c>
      <c r="J974">
        <v>0.1</v>
      </c>
      <c r="K974">
        <v>2486.6999999999998</v>
      </c>
      <c r="L974">
        <v>327.10000000000002</v>
      </c>
    </row>
    <row r="975" spans="1:12" x14ac:dyDescent="0.3">
      <c r="A975" t="s">
        <v>1212</v>
      </c>
      <c r="B975" s="3">
        <v>45712</v>
      </c>
      <c r="C975" t="s">
        <v>156</v>
      </c>
      <c r="D975" t="s">
        <v>14</v>
      </c>
      <c r="E975" t="s">
        <v>15</v>
      </c>
      <c r="F975" t="s">
        <v>16</v>
      </c>
      <c r="G975" t="s">
        <v>17</v>
      </c>
      <c r="H975">
        <v>3</v>
      </c>
      <c r="I975">
        <v>11744</v>
      </c>
      <c r="J975">
        <v>0</v>
      </c>
      <c r="K975">
        <v>35232</v>
      </c>
      <c r="L975">
        <v>4999.84</v>
      </c>
    </row>
    <row r="976" spans="1:12" x14ac:dyDescent="0.3">
      <c r="A976" t="s">
        <v>1213</v>
      </c>
      <c r="B976" s="3">
        <v>45892</v>
      </c>
      <c r="C976" t="s">
        <v>427</v>
      </c>
      <c r="D976" t="s">
        <v>88</v>
      </c>
      <c r="E976" t="s">
        <v>73</v>
      </c>
      <c r="F976" t="s">
        <v>21</v>
      </c>
      <c r="G976" t="s">
        <v>22</v>
      </c>
      <c r="H976">
        <v>2</v>
      </c>
      <c r="I976">
        <v>466</v>
      </c>
      <c r="J976">
        <v>0.05</v>
      </c>
      <c r="K976">
        <v>885.4</v>
      </c>
      <c r="L976">
        <v>191.2</v>
      </c>
    </row>
    <row r="977" spans="1:12" x14ac:dyDescent="0.3">
      <c r="A977" t="s">
        <v>1214</v>
      </c>
      <c r="B977" s="3">
        <v>45892</v>
      </c>
      <c r="C977" t="s">
        <v>172</v>
      </c>
      <c r="D977" t="s">
        <v>103</v>
      </c>
      <c r="E977" t="s">
        <v>51</v>
      </c>
      <c r="F977" t="s">
        <v>27</v>
      </c>
      <c r="G977" t="s">
        <v>31</v>
      </c>
      <c r="H977">
        <v>2</v>
      </c>
      <c r="I977">
        <v>2043</v>
      </c>
      <c r="J977">
        <v>0.05</v>
      </c>
      <c r="K977">
        <v>3881.7</v>
      </c>
      <c r="L977">
        <v>1065.0999999999999</v>
      </c>
    </row>
    <row r="978" spans="1:12" x14ac:dyDescent="0.3">
      <c r="A978" t="s">
        <v>1215</v>
      </c>
      <c r="B978" s="3">
        <v>45786</v>
      </c>
      <c r="C978" t="s">
        <v>798</v>
      </c>
      <c r="D978" t="s">
        <v>50</v>
      </c>
      <c r="E978" t="s">
        <v>51</v>
      </c>
      <c r="F978" t="s">
        <v>58</v>
      </c>
      <c r="G978" t="s">
        <v>59</v>
      </c>
      <c r="H978">
        <v>1</v>
      </c>
      <c r="I978">
        <v>2497</v>
      </c>
      <c r="J978">
        <v>0</v>
      </c>
      <c r="K978">
        <v>2497</v>
      </c>
      <c r="L978">
        <v>247.18</v>
      </c>
    </row>
    <row r="979" spans="1:12" x14ac:dyDescent="0.3">
      <c r="A979" t="s">
        <v>1216</v>
      </c>
      <c r="B979" s="3">
        <v>45818</v>
      </c>
      <c r="C979" t="s">
        <v>570</v>
      </c>
      <c r="D979" t="s">
        <v>83</v>
      </c>
      <c r="E979" t="s">
        <v>73</v>
      </c>
      <c r="F979" t="s">
        <v>21</v>
      </c>
      <c r="G979" t="s">
        <v>22</v>
      </c>
      <c r="H979">
        <v>1</v>
      </c>
      <c r="I979">
        <v>581</v>
      </c>
      <c r="J979">
        <v>0.1</v>
      </c>
      <c r="K979">
        <v>522.9</v>
      </c>
      <c r="L979">
        <v>79.41</v>
      </c>
    </row>
    <row r="980" spans="1:12" x14ac:dyDescent="0.3">
      <c r="A980" t="s">
        <v>1217</v>
      </c>
      <c r="B980" s="3">
        <v>45893</v>
      </c>
      <c r="C980" t="s">
        <v>37</v>
      </c>
      <c r="D980" t="s">
        <v>34</v>
      </c>
      <c r="E980" t="s">
        <v>15</v>
      </c>
      <c r="F980" t="s">
        <v>27</v>
      </c>
      <c r="G980" t="s">
        <v>28</v>
      </c>
      <c r="H980">
        <v>5</v>
      </c>
      <c r="I980">
        <v>24854</v>
      </c>
      <c r="J980">
        <v>0.15</v>
      </c>
      <c r="K980">
        <v>105629.5</v>
      </c>
      <c r="L980">
        <v>22467.439999999999</v>
      </c>
    </row>
    <row r="981" spans="1:12" x14ac:dyDescent="0.3">
      <c r="A981" t="s">
        <v>1218</v>
      </c>
      <c r="B981" s="3">
        <v>45695</v>
      </c>
      <c r="C981" t="s">
        <v>228</v>
      </c>
      <c r="D981" t="s">
        <v>202</v>
      </c>
      <c r="E981" t="s">
        <v>44</v>
      </c>
      <c r="F981" t="s">
        <v>27</v>
      </c>
      <c r="G981" t="s">
        <v>31</v>
      </c>
      <c r="H981">
        <v>4</v>
      </c>
      <c r="I981">
        <v>2278</v>
      </c>
      <c r="J981">
        <v>0.1</v>
      </c>
      <c r="K981">
        <v>8200.7999999999993</v>
      </c>
      <c r="L981">
        <v>2019.98</v>
      </c>
    </row>
    <row r="982" spans="1:12" x14ac:dyDescent="0.3">
      <c r="A982" t="s">
        <v>1219</v>
      </c>
      <c r="B982" s="3">
        <v>45981</v>
      </c>
      <c r="C982" t="s">
        <v>248</v>
      </c>
      <c r="D982" t="s">
        <v>120</v>
      </c>
      <c r="E982" t="s">
        <v>51</v>
      </c>
      <c r="F982" t="s">
        <v>58</v>
      </c>
      <c r="G982" t="s">
        <v>59</v>
      </c>
      <c r="H982">
        <v>4</v>
      </c>
      <c r="I982">
        <v>631</v>
      </c>
      <c r="J982">
        <v>0</v>
      </c>
      <c r="K982">
        <v>2524</v>
      </c>
      <c r="L982">
        <v>549.39</v>
      </c>
    </row>
    <row r="983" spans="1:12" x14ac:dyDescent="0.3">
      <c r="A983" t="s">
        <v>1220</v>
      </c>
      <c r="B983" s="3">
        <v>45879</v>
      </c>
      <c r="C983" t="s">
        <v>217</v>
      </c>
      <c r="D983" t="s">
        <v>34</v>
      </c>
      <c r="E983" t="s">
        <v>15</v>
      </c>
      <c r="F983" t="s">
        <v>58</v>
      </c>
      <c r="G983" t="s">
        <v>59</v>
      </c>
      <c r="H983">
        <v>2</v>
      </c>
      <c r="I983">
        <v>9909</v>
      </c>
      <c r="J983">
        <v>0.2</v>
      </c>
      <c r="K983">
        <v>15854.4</v>
      </c>
      <c r="L983">
        <v>2905.31</v>
      </c>
    </row>
    <row r="984" spans="1:12" x14ac:dyDescent="0.3">
      <c r="A984" t="s">
        <v>1221</v>
      </c>
      <c r="B984" s="3">
        <v>46019</v>
      </c>
      <c r="C984" t="s">
        <v>421</v>
      </c>
      <c r="D984" t="s">
        <v>14</v>
      </c>
      <c r="E984" t="s">
        <v>15</v>
      </c>
      <c r="F984" t="s">
        <v>58</v>
      </c>
      <c r="G984" t="s">
        <v>126</v>
      </c>
      <c r="H984">
        <v>1</v>
      </c>
      <c r="I984">
        <v>15657</v>
      </c>
      <c r="J984">
        <v>0.1</v>
      </c>
      <c r="K984">
        <v>14091.3</v>
      </c>
      <c r="L984">
        <v>3251.65</v>
      </c>
    </row>
    <row r="985" spans="1:12" x14ac:dyDescent="0.3">
      <c r="A985" t="s">
        <v>1222</v>
      </c>
      <c r="B985" s="3">
        <v>45926</v>
      </c>
      <c r="C985" t="s">
        <v>451</v>
      </c>
      <c r="D985" t="s">
        <v>120</v>
      </c>
      <c r="E985" t="s">
        <v>51</v>
      </c>
      <c r="F985" t="s">
        <v>21</v>
      </c>
      <c r="G985" t="s">
        <v>55</v>
      </c>
      <c r="H985">
        <v>3</v>
      </c>
      <c r="I985">
        <v>1216</v>
      </c>
      <c r="J985">
        <v>0.15</v>
      </c>
      <c r="K985">
        <v>3100.8</v>
      </c>
      <c r="L985">
        <v>768.14</v>
      </c>
    </row>
    <row r="986" spans="1:12" x14ac:dyDescent="0.3">
      <c r="A986" t="s">
        <v>1223</v>
      </c>
      <c r="B986" s="3">
        <v>45659</v>
      </c>
      <c r="C986" t="s">
        <v>535</v>
      </c>
      <c r="D986" t="s">
        <v>83</v>
      </c>
      <c r="E986" t="s">
        <v>73</v>
      </c>
      <c r="F986" t="s">
        <v>21</v>
      </c>
      <c r="G986" t="s">
        <v>22</v>
      </c>
      <c r="H986">
        <v>2</v>
      </c>
      <c r="I986">
        <v>875</v>
      </c>
      <c r="J986">
        <v>0.1</v>
      </c>
      <c r="K986">
        <v>1575</v>
      </c>
      <c r="L986">
        <v>207.76</v>
      </c>
    </row>
    <row r="987" spans="1:12" x14ac:dyDescent="0.3">
      <c r="A987" t="s">
        <v>1224</v>
      </c>
      <c r="B987" s="3">
        <v>46019</v>
      </c>
      <c r="C987" t="s">
        <v>223</v>
      </c>
      <c r="D987" t="s">
        <v>43</v>
      </c>
      <c r="E987" t="s">
        <v>44</v>
      </c>
      <c r="F987" t="s">
        <v>58</v>
      </c>
      <c r="G987" t="s">
        <v>69</v>
      </c>
      <c r="H987">
        <v>1</v>
      </c>
      <c r="I987">
        <v>1489</v>
      </c>
      <c r="J987">
        <v>0</v>
      </c>
      <c r="K987">
        <v>1489</v>
      </c>
      <c r="L987">
        <v>239.62</v>
      </c>
    </row>
    <row r="988" spans="1:12" x14ac:dyDescent="0.3">
      <c r="A988" t="s">
        <v>1225</v>
      </c>
      <c r="B988" s="3">
        <v>45787</v>
      </c>
      <c r="C988" t="s">
        <v>67</v>
      </c>
      <c r="D988" t="s">
        <v>83</v>
      </c>
      <c r="E988" t="s">
        <v>73</v>
      </c>
      <c r="F988" t="s">
        <v>27</v>
      </c>
      <c r="G988" t="s">
        <v>31</v>
      </c>
      <c r="H988">
        <v>3</v>
      </c>
      <c r="I988">
        <v>541</v>
      </c>
      <c r="J988">
        <v>0.1</v>
      </c>
      <c r="K988">
        <v>1460.7</v>
      </c>
      <c r="L988">
        <v>181.49</v>
      </c>
    </row>
    <row r="989" spans="1:12" x14ac:dyDescent="0.3">
      <c r="A989" t="s">
        <v>1226</v>
      </c>
      <c r="B989" s="3">
        <v>45795</v>
      </c>
      <c r="C989" t="s">
        <v>248</v>
      </c>
      <c r="D989" t="s">
        <v>307</v>
      </c>
      <c r="E989" t="s">
        <v>73</v>
      </c>
      <c r="F989" t="s">
        <v>27</v>
      </c>
      <c r="G989" t="s">
        <v>31</v>
      </c>
      <c r="H989">
        <v>3</v>
      </c>
      <c r="I989">
        <v>156</v>
      </c>
      <c r="J989">
        <v>0.05</v>
      </c>
      <c r="K989">
        <v>444.6</v>
      </c>
      <c r="L989">
        <v>65.489999999999995</v>
      </c>
    </row>
    <row r="990" spans="1:12" x14ac:dyDescent="0.3">
      <c r="A990" t="s">
        <v>1227</v>
      </c>
      <c r="B990" s="3">
        <v>46014</v>
      </c>
      <c r="C990" t="s">
        <v>119</v>
      </c>
      <c r="D990" t="s">
        <v>30</v>
      </c>
      <c r="E990" t="s">
        <v>15</v>
      </c>
      <c r="F990" t="s">
        <v>27</v>
      </c>
      <c r="G990" t="s">
        <v>40</v>
      </c>
      <c r="H990">
        <v>1</v>
      </c>
      <c r="I990">
        <v>11877</v>
      </c>
      <c r="J990">
        <v>0.15</v>
      </c>
      <c r="K990">
        <v>10095.450000000001</v>
      </c>
      <c r="L990">
        <v>927.73</v>
      </c>
    </row>
    <row r="991" spans="1:12" x14ac:dyDescent="0.3">
      <c r="A991" t="s">
        <v>1228</v>
      </c>
      <c r="B991" s="3">
        <v>45678</v>
      </c>
      <c r="C991" t="s">
        <v>328</v>
      </c>
      <c r="D991" t="s">
        <v>25</v>
      </c>
      <c r="E991" t="s">
        <v>26</v>
      </c>
      <c r="F991" t="s">
        <v>58</v>
      </c>
      <c r="G991" t="s">
        <v>126</v>
      </c>
      <c r="H991">
        <v>1</v>
      </c>
      <c r="I991">
        <v>9257</v>
      </c>
      <c r="J991">
        <v>0.15</v>
      </c>
      <c r="K991">
        <v>7868.45</v>
      </c>
      <c r="L991">
        <v>1174.71</v>
      </c>
    </row>
    <row r="992" spans="1:12" x14ac:dyDescent="0.3">
      <c r="A992" t="s">
        <v>1229</v>
      </c>
      <c r="B992" s="3">
        <v>45771</v>
      </c>
      <c r="C992" t="s">
        <v>39</v>
      </c>
      <c r="D992" t="s">
        <v>80</v>
      </c>
      <c r="E992" t="s">
        <v>51</v>
      </c>
      <c r="F992" t="s">
        <v>21</v>
      </c>
      <c r="G992" t="s">
        <v>55</v>
      </c>
      <c r="H992">
        <v>4</v>
      </c>
      <c r="I992">
        <v>49091</v>
      </c>
      <c r="J992">
        <v>0.15</v>
      </c>
      <c r="K992">
        <v>166909.4</v>
      </c>
      <c r="L992">
        <v>40251.629999999997</v>
      </c>
    </row>
    <row r="993" spans="1:12" x14ac:dyDescent="0.3">
      <c r="A993" t="s">
        <v>1230</v>
      </c>
      <c r="B993" s="3">
        <v>45906</v>
      </c>
      <c r="C993" t="s">
        <v>33</v>
      </c>
      <c r="D993" t="s">
        <v>120</v>
      </c>
      <c r="E993" t="s">
        <v>51</v>
      </c>
      <c r="F993" t="s">
        <v>16</v>
      </c>
      <c r="G993" t="s">
        <v>104</v>
      </c>
      <c r="H993">
        <v>1</v>
      </c>
      <c r="I993">
        <v>1671</v>
      </c>
      <c r="J993">
        <v>0.2</v>
      </c>
      <c r="K993">
        <v>1336.8</v>
      </c>
      <c r="L993">
        <v>281.39</v>
      </c>
    </row>
    <row r="994" spans="1:12" x14ac:dyDescent="0.3">
      <c r="A994" t="s">
        <v>1231</v>
      </c>
      <c r="B994" s="3">
        <v>45743</v>
      </c>
      <c r="C994" t="s">
        <v>19</v>
      </c>
      <c r="D994" t="s">
        <v>34</v>
      </c>
      <c r="E994" t="s">
        <v>15</v>
      </c>
      <c r="F994" t="s">
        <v>21</v>
      </c>
      <c r="G994" t="s">
        <v>35</v>
      </c>
      <c r="H994">
        <v>2</v>
      </c>
      <c r="I994">
        <v>18372</v>
      </c>
      <c r="J994">
        <v>0.05</v>
      </c>
      <c r="K994">
        <v>34906.800000000003</v>
      </c>
      <c r="L994">
        <v>9415.44</v>
      </c>
    </row>
    <row r="995" spans="1:12" x14ac:dyDescent="0.3">
      <c r="A995" t="s">
        <v>1232</v>
      </c>
      <c r="B995" s="3">
        <v>45920</v>
      </c>
      <c r="C995" t="s">
        <v>131</v>
      </c>
      <c r="D995" t="s">
        <v>97</v>
      </c>
      <c r="E995" t="s">
        <v>44</v>
      </c>
      <c r="F995" t="s">
        <v>27</v>
      </c>
      <c r="G995" t="s">
        <v>31</v>
      </c>
      <c r="H995">
        <v>1</v>
      </c>
      <c r="I995">
        <v>677</v>
      </c>
      <c r="J995">
        <v>0.1</v>
      </c>
      <c r="K995">
        <v>609.29999999999995</v>
      </c>
      <c r="L995">
        <v>101.82</v>
      </c>
    </row>
    <row r="996" spans="1:12" x14ac:dyDescent="0.3">
      <c r="A996" t="s">
        <v>1233</v>
      </c>
      <c r="B996" s="3">
        <v>45744</v>
      </c>
      <c r="C996" t="s">
        <v>371</v>
      </c>
      <c r="D996" t="s">
        <v>307</v>
      </c>
      <c r="E996" t="s">
        <v>73</v>
      </c>
      <c r="F996" t="s">
        <v>58</v>
      </c>
      <c r="G996" t="s">
        <v>59</v>
      </c>
      <c r="H996">
        <v>1</v>
      </c>
      <c r="I996">
        <v>285</v>
      </c>
      <c r="J996">
        <v>0.15</v>
      </c>
      <c r="K996">
        <v>242.25</v>
      </c>
      <c r="L996">
        <v>45.2</v>
      </c>
    </row>
    <row r="997" spans="1:12" x14ac:dyDescent="0.3">
      <c r="A997" t="s">
        <v>1234</v>
      </c>
      <c r="B997" s="3">
        <v>45922</v>
      </c>
      <c r="C997" t="s">
        <v>100</v>
      </c>
      <c r="D997" t="s">
        <v>153</v>
      </c>
      <c r="E997" t="s">
        <v>26</v>
      </c>
      <c r="F997" t="s">
        <v>16</v>
      </c>
      <c r="G997" t="s">
        <v>52</v>
      </c>
      <c r="H997">
        <v>3</v>
      </c>
      <c r="I997">
        <v>9197</v>
      </c>
      <c r="J997">
        <v>0.05</v>
      </c>
      <c r="K997">
        <v>26211.45</v>
      </c>
      <c r="L997">
        <v>4877.8100000000004</v>
      </c>
    </row>
    <row r="998" spans="1:12" x14ac:dyDescent="0.3">
      <c r="A998" t="s">
        <v>1235</v>
      </c>
      <c r="B998" s="3">
        <v>45734</v>
      </c>
      <c r="C998" t="s">
        <v>71</v>
      </c>
      <c r="D998" t="s">
        <v>307</v>
      </c>
      <c r="E998" t="s">
        <v>73</v>
      </c>
      <c r="F998" t="s">
        <v>21</v>
      </c>
      <c r="G998" t="s">
        <v>55</v>
      </c>
      <c r="H998">
        <v>2</v>
      </c>
      <c r="I998">
        <v>297</v>
      </c>
      <c r="J998">
        <v>0.25</v>
      </c>
      <c r="K998">
        <v>445.5</v>
      </c>
      <c r="L998">
        <v>83.07</v>
      </c>
    </row>
    <row r="999" spans="1:12" x14ac:dyDescent="0.3">
      <c r="A999" t="s">
        <v>1236</v>
      </c>
      <c r="B999" s="3">
        <v>45978</v>
      </c>
      <c r="C999" t="s">
        <v>503</v>
      </c>
      <c r="D999" t="s">
        <v>103</v>
      </c>
      <c r="E999" t="s">
        <v>51</v>
      </c>
      <c r="F999" t="s">
        <v>21</v>
      </c>
      <c r="G999" t="s">
        <v>55</v>
      </c>
      <c r="H999">
        <v>1</v>
      </c>
      <c r="I999">
        <v>7497</v>
      </c>
      <c r="J999">
        <v>0.15</v>
      </c>
      <c r="K999">
        <v>6372.45</v>
      </c>
      <c r="L999">
        <v>1001.95</v>
      </c>
    </row>
    <row r="1000" spans="1:12" x14ac:dyDescent="0.3">
      <c r="A1000" t="s">
        <v>1237</v>
      </c>
      <c r="B1000" s="3">
        <v>45885</v>
      </c>
      <c r="C1000" t="s">
        <v>228</v>
      </c>
      <c r="D1000" t="s">
        <v>68</v>
      </c>
      <c r="E1000" t="s">
        <v>44</v>
      </c>
      <c r="F1000" t="s">
        <v>16</v>
      </c>
      <c r="G1000" t="s">
        <v>52</v>
      </c>
      <c r="H1000">
        <v>3</v>
      </c>
      <c r="I1000">
        <v>6577</v>
      </c>
      <c r="J1000">
        <v>0.1</v>
      </c>
      <c r="K1000">
        <v>17757.900000000001</v>
      </c>
      <c r="L1000">
        <v>2504.63</v>
      </c>
    </row>
    <row r="1001" spans="1:12" x14ac:dyDescent="0.3">
      <c r="A1001" t="s">
        <v>1238</v>
      </c>
      <c r="B1001" s="3">
        <v>45824</v>
      </c>
      <c r="C1001" t="s">
        <v>389</v>
      </c>
      <c r="D1001" t="s">
        <v>120</v>
      </c>
      <c r="E1001" t="s">
        <v>51</v>
      </c>
      <c r="F1001" t="s">
        <v>16</v>
      </c>
      <c r="G1001" t="s">
        <v>104</v>
      </c>
      <c r="H1001">
        <v>1</v>
      </c>
      <c r="I1001">
        <v>1888</v>
      </c>
      <c r="J1001">
        <v>0.1</v>
      </c>
      <c r="K1001">
        <v>1699.2</v>
      </c>
      <c r="L1001">
        <v>405.73</v>
      </c>
    </row>
    <row r="1002" spans="1:12" x14ac:dyDescent="0.3">
      <c r="A1002" t="s">
        <v>1239</v>
      </c>
      <c r="B1002" s="3">
        <v>45981</v>
      </c>
      <c r="C1002" t="s">
        <v>102</v>
      </c>
      <c r="D1002" t="s">
        <v>153</v>
      </c>
      <c r="E1002" t="s">
        <v>26</v>
      </c>
      <c r="F1002" t="s">
        <v>16</v>
      </c>
      <c r="G1002" t="s">
        <v>52</v>
      </c>
      <c r="H1002">
        <v>1</v>
      </c>
      <c r="I1002">
        <v>2502</v>
      </c>
      <c r="J1002">
        <v>0</v>
      </c>
      <c r="K1002">
        <v>2502</v>
      </c>
      <c r="L1002">
        <v>667.34</v>
      </c>
    </row>
    <row r="1003" spans="1:12" x14ac:dyDescent="0.3">
      <c r="A1003" t="s">
        <v>1240</v>
      </c>
      <c r="B1003" s="3">
        <v>45662</v>
      </c>
      <c r="C1003" t="s">
        <v>792</v>
      </c>
      <c r="D1003" t="s">
        <v>92</v>
      </c>
      <c r="E1003" t="s">
        <v>51</v>
      </c>
      <c r="F1003" t="s">
        <v>58</v>
      </c>
      <c r="G1003" t="s">
        <v>69</v>
      </c>
      <c r="H1003">
        <v>2</v>
      </c>
      <c r="I1003">
        <v>21650</v>
      </c>
      <c r="J1003">
        <v>0</v>
      </c>
      <c r="K1003">
        <v>43300</v>
      </c>
      <c r="L1003">
        <v>6153.6</v>
      </c>
    </row>
    <row r="1004" spans="1:12" x14ac:dyDescent="0.3">
      <c r="A1004" t="s">
        <v>1241</v>
      </c>
      <c r="B1004" s="3">
        <v>45782</v>
      </c>
      <c r="C1004" t="s">
        <v>580</v>
      </c>
      <c r="D1004" t="s">
        <v>88</v>
      </c>
      <c r="E1004" t="s">
        <v>73</v>
      </c>
      <c r="F1004" t="s">
        <v>27</v>
      </c>
      <c r="G1004" t="s">
        <v>40</v>
      </c>
      <c r="H1004">
        <v>3</v>
      </c>
      <c r="I1004">
        <v>422</v>
      </c>
      <c r="J1004">
        <v>0.05</v>
      </c>
      <c r="K1004">
        <v>1202.7</v>
      </c>
      <c r="L1004">
        <v>324.95999999999998</v>
      </c>
    </row>
    <row r="1005" spans="1:12" x14ac:dyDescent="0.3">
      <c r="A1005" t="s">
        <v>1242</v>
      </c>
      <c r="B1005" s="3">
        <v>45976</v>
      </c>
      <c r="C1005" t="s">
        <v>805</v>
      </c>
      <c r="D1005" t="s">
        <v>50</v>
      </c>
      <c r="E1005" t="s">
        <v>51</v>
      </c>
      <c r="F1005" t="s">
        <v>21</v>
      </c>
      <c r="G1005" t="s">
        <v>22</v>
      </c>
      <c r="H1005">
        <v>1</v>
      </c>
      <c r="I1005">
        <v>1452</v>
      </c>
      <c r="J1005">
        <v>0.1</v>
      </c>
      <c r="K1005">
        <v>1306.8</v>
      </c>
      <c r="L1005">
        <v>155.97</v>
      </c>
    </row>
    <row r="1006" spans="1:12" x14ac:dyDescent="0.3">
      <c r="A1006" t="s">
        <v>1243</v>
      </c>
      <c r="B1006" s="3">
        <v>45987</v>
      </c>
      <c r="C1006" t="s">
        <v>143</v>
      </c>
      <c r="D1006" t="s">
        <v>43</v>
      </c>
      <c r="E1006" t="s">
        <v>44</v>
      </c>
      <c r="F1006" t="s">
        <v>16</v>
      </c>
      <c r="G1006" t="s">
        <v>17</v>
      </c>
      <c r="H1006">
        <v>4</v>
      </c>
      <c r="I1006">
        <v>451</v>
      </c>
      <c r="J1006">
        <v>0.1</v>
      </c>
      <c r="K1006">
        <v>1623.6</v>
      </c>
      <c r="L1006">
        <v>315.64999999999998</v>
      </c>
    </row>
    <row r="1007" spans="1:12" x14ac:dyDescent="0.3">
      <c r="A1007" t="s">
        <v>1244</v>
      </c>
      <c r="B1007" s="3">
        <v>45832</v>
      </c>
      <c r="C1007" t="s">
        <v>96</v>
      </c>
      <c r="D1007" t="s">
        <v>80</v>
      </c>
      <c r="E1007" t="s">
        <v>51</v>
      </c>
      <c r="F1007" t="s">
        <v>58</v>
      </c>
      <c r="G1007" t="s">
        <v>126</v>
      </c>
      <c r="H1007">
        <v>1</v>
      </c>
      <c r="I1007">
        <v>45780</v>
      </c>
      <c r="J1007">
        <v>0.15</v>
      </c>
      <c r="K1007">
        <v>38913</v>
      </c>
      <c r="L1007">
        <v>3954.88</v>
      </c>
    </row>
    <row r="1008" spans="1:12" x14ac:dyDescent="0.3">
      <c r="A1008" t="s">
        <v>1245</v>
      </c>
      <c r="B1008" s="3">
        <v>45939</v>
      </c>
      <c r="C1008" t="s">
        <v>403</v>
      </c>
      <c r="D1008" t="s">
        <v>120</v>
      </c>
      <c r="E1008" t="s">
        <v>51</v>
      </c>
      <c r="F1008" t="s">
        <v>21</v>
      </c>
      <c r="G1008" t="s">
        <v>55</v>
      </c>
      <c r="H1008">
        <v>2</v>
      </c>
      <c r="I1008">
        <v>937</v>
      </c>
      <c r="J1008">
        <v>0.1</v>
      </c>
      <c r="K1008">
        <v>1686.6</v>
      </c>
      <c r="L1008">
        <v>232.13</v>
      </c>
    </row>
    <row r="1009" spans="1:12" x14ac:dyDescent="0.3">
      <c r="A1009" t="s">
        <v>1246</v>
      </c>
      <c r="B1009" s="3">
        <v>45832</v>
      </c>
      <c r="C1009" t="s">
        <v>640</v>
      </c>
      <c r="D1009" t="s">
        <v>50</v>
      </c>
      <c r="E1009" t="s">
        <v>51</v>
      </c>
      <c r="F1009" t="s">
        <v>58</v>
      </c>
      <c r="G1009" t="s">
        <v>126</v>
      </c>
      <c r="H1009">
        <v>1</v>
      </c>
      <c r="I1009">
        <v>1213</v>
      </c>
      <c r="J1009">
        <v>0</v>
      </c>
      <c r="K1009">
        <v>1213</v>
      </c>
      <c r="L1009">
        <v>338.62</v>
      </c>
    </row>
    <row r="1010" spans="1:12" x14ac:dyDescent="0.3">
      <c r="A1010" t="s">
        <v>1247</v>
      </c>
      <c r="B1010" s="3">
        <v>45910</v>
      </c>
      <c r="C1010" t="s">
        <v>176</v>
      </c>
      <c r="D1010" t="s">
        <v>43</v>
      </c>
      <c r="E1010" t="s">
        <v>44</v>
      </c>
      <c r="F1010" t="s">
        <v>16</v>
      </c>
      <c r="G1010" t="s">
        <v>52</v>
      </c>
      <c r="H1010">
        <v>1</v>
      </c>
      <c r="I1010">
        <v>696</v>
      </c>
      <c r="J1010">
        <v>0</v>
      </c>
      <c r="K1010">
        <v>696</v>
      </c>
      <c r="L1010">
        <v>74.5</v>
      </c>
    </row>
    <row r="1011" spans="1:12" x14ac:dyDescent="0.3">
      <c r="A1011" t="s">
        <v>1248</v>
      </c>
      <c r="B1011" s="3">
        <v>45857</v>
      </c>
      <c r="C1011" t="s">
        <v>208</v>
      </c>
      <c r="D1011" t="s">
        <v>34</v>
      </c>
      <c r="E1011" t="s">
        <v>15</v>
      </c>
      <c r="F1011" t="s">
        <v>27</v>
      </c>
      <c r="G1011" t="s">
        <v>28</v>
      </c>
      <c r="H1011">
        <v>2</v>
      </c>
      <c r="I1011">
        <v>12212</v>
      </c>
      <c r="J1011">
        <v>0.1</v>
      </c>
      <c r="K1011">
        <v>21981.599999999999</v>
      </c>
      <c r="L1011">
        <v>2048.21</v>
      </c>
    </row>
    <row r="1012" spans="1:12" x14ac:dyDescent="0.3">
      <c r="A1012" t="s">
        <v>1249</v>
      </c>
      <c r="B1012" s="3">
        <v>45670</v>
      </c>
      <c r="C1012" t="s">
        <v>131</v>
      </c>
      <c r="D1012" t="s">
        <v>80</v>
      </c>
      <c r="E1012" t="s">
        <v>51</v>
      </c>
      <c r="F1012" t="s">
        <v>27</v>
      </c>
      <c r="G1012" t="s">
        <v>28</v>
      </c>
      <c r="H1012">
        <v>1</v>
      </c>
      <c r="I1012">
        <v>75842</v>
      </c>
      <c r="J1012">
        <v>0.05</v>
      </c>
      <c r="K1012">
        <v>72049.899999999994</v>
      </c>
      <c r="L1012">
        <v>19407.97</v>
      </c>
    </row>
    <row r="1013" spans="1:12" x14ac:dyDescent="0.3">
      <c r="A1013" t="s">
        <v>1250</v>
      </c>
      <c r="B1013" s="3">
        <v>45969</v>
      </c>
      <c r="C1013" t="s">
        <v>448</v>
      </c>
      <c r="D1013" t="s">
        <v>43</v>
      </c>
      <c r="E1013" t="s">
        <v>44</v>
      </c>
      <c r="F1013" t="s">
        <v>21</v>
      </c>
      <c r="G1013" t="s">
        <v>22</v>
      </c>
      <c r="H1013">
        <v>4</v>
      </c>
      <c r="I1013">
        <v>1378</v>
      </c>
      <c r="J1013">
        <v>0.15</v>
      </c>
      <c r="K1013">
        <v>4685.2</v>
      </c>
      <c r="L1013">
        <v>718.71</v>
      </c>
    </row>
    <row r="1014" spans="1:12" x14ac:dyDescent="0.3">
      <c r="A1014" t="s">
        <v>1251</v>
      </c>
      <c r="B1014" s="3">
        <v>45955</v>
      </c>
      <c r="C1014" t="s">
        <v>24</v>
      </c>
      <c r="D1014" t="s">
        <v>25</v>
      </c>
      <c r="E1014" t="s">
        <v>26</v>
      </c>
      <c r="F1014" t="s">
        <v>16</v>
      </c>
      <c r="G1014" t="s">
        <v>52</v>
      </c>
      <c r="H1014">
        <v>4</v>
      </c>
      <c r="I1014">
        <v>15652</v>
      </c>
      <c r="J1014">
        <v>0</v>
      </c>
      <c r="K1014">
        <v>62608</v>
      </c>
      <c r="L1014">
        <v>8129.07</v>
      </c>
    </row>
    <row r="1015" spans="1:12" x14ac:dyDescent="0.3">
      <c r="A1015" t="s">
        <v>1252</v>
      </c>
      <c r="B1015" s="3">
        <v>45716</v>
      </c>
      <c r="C1015" t="s">
        <v>415</v>
      </c>
      <c r="D1015" t="s">
        <v>30</v>
      </c>
      <c r="E1015" t="s">
        <v>15</v>
      </c>
      <c r="F1015" t="s">
        <v>58</v>
      </c>
      <c r="G1015" t="s">
        <v>69</v>
      </c>
      <c r="H1015">
        <v>1</v>
      </c>
      <c r="I1015">
        <v>10099</v>
      </c>
      <c r="J1015">
        <v>0.1</v>
      </c>
      <c r="K1015">
        <v>9089.1</v>
      </c>
      <c r="L1015">
        <v>1096.1300000000001</v>
      </c>
    </row>
    <row r="1016" spans="1:12" x14ac:dyDescent="0.3">
      <c r="A1016" t="s">
        <v>1253</v>
      </c>
      <c r="B1016" s="3">
        <v>46009</v>
      </c>
      <c r="C1016" t="s">
        <v>501</v>
      </c>
      <c r="D1016" t="s">
        <v>47</v>
      </c>
      <c r="E1016" t="s">
        <v>26</v>
      </c>
      <c r="F1016" t="s">
        <v>58</v>
      </c>
      <c r="G1016" t="s">
        <v>69</v>
      </c>
      <c r="H1016">
        <v>2</v>
      </c>
      <c r="I1016">
        <v>17541</v>
      </c>
      <c r="J1016">
        <v>0.15</v>
      </c>
      <c r="K1016">
        <v>29819.7</v>
      </c>
      <c r="L1016">
        <v>6137.6</v>
      </c>
    </row>
    <row r="1017" spans="1:12" x14ac:dyDescent="0.3">
      <c r="A1017" t="s">
        <v>1254</v>
      </c>
      <c r="B1017" s="3">
        <v>45975</v>
      </c>
      <c r="C1017" t="s">
        <v>136</v>
      </c>
      <c r="D1017" t="s">
        <v>92</v>
      </c>
      <c r="E1017" t="s">
        <v>51</v>
      </c>
      <c r="F1017" t="s">
        <v>27</v>
      </c>
      <c r="G1017" t="s">
        <v>40</v>
      </c>
      <c r="H1017">
        <v>1</v>
      </c>
      <c r="I1017">
        <v>19711</v>
      </c>
      <c r="J1017">
        <v>0</v>
      </c>
      <c r="K1017">
        <v>19711</v>
      </c>
      <c r="L1017">
        <v>3906.22</v>
      </c>
    </row>
    <row r="1018" spans="1:12" x14ac:dyDescent="0.3">
      <c r="A1018" t="s">
        <v>1255</v>
      </c>
      <c r="B1018" s="3">
        <v>45931</v>
      </c>
      <c r="C1018" t="s">
        <v>234</v>
      </c>
      <c r="D1018" t="s">
        <v>72</v>
      </c>
      <c r="E1018" t="s">
        <v>73</v>
      </c>
      <c r="F1018" t="s">
        <v>21</v>
      </c>
      <c r="G1018" t="s">
        <v>55</v>
      </c>
      <c r="H1018">
        <v>1</v>
      </c>
      <c r="I1018">
        <v>485</v>
      </c>
      <c r="J1018">
        <v>0.25</v>
      </c>
      <c r="K1018">
        <v>363.75</v>
      </c>
      <c r="L1018">
        <v>36.619999999999997</v>
      </c>
    </row>
    <row r="1019" spans="1:12" x14ac:dyDescent="0.3">
      <c r="A1019" t="s">
        <v>1256</v>
      </c>
      <c r="B1019" s="3">
        <v>45713</v>
      </c>
      <c r="C1019" t="s">
        <v>363</v>
      </c>
      <c r="D1019" t="s">
        <v>97</v>
      </c>
      <c r="E1019" t="s">
        <v>44</v>
      </c>
      <c r="F1019" t="s">
        <v>21</v>
      </c>
      <c r="G1019" t="s">
        <v>35</v>
      </c>
      <c r="H1019">
        <v>2</v>
      </c>
      <c r="I1019">
        <v>702</v>
      </c>
      <c r="J1019">
        <v>0.2</v>
      </c>
      <c r="K1019">
        <v>1123.2</v>
      </c>
      <c r="L1019">
        <v>97.66</v>
      </c>
    </row>
    <row r="1020" spans="1:12" x14ac:dyDescent="0.3">
      <c r="A1020" t="s">
        <v>1257</v>
      </c>
      <c r="B1020" s="3">
        <v>45984</v>
      </c>
      <c r="C1020" t="s">
        <v>96</v>
      </c>
      <c r="D1020" t="s">
        <v>65</v>
      </c>
      <c r="E1020" t="s">
        <v>26</v>
      </c>
      <c r="F1020" t="s">
        <v>58</v>
      </c>
      <c r="G1020" t="s">
        <v>126</v>
      </c>
      <c r="H1020">
        <v>1</v>
      </c>
      <c r="I1020">
        <v>3891</v>
      </c>
      <c r="J1020">
        <v>0.1</v>
      </c>
      <c r="K1020">
        <v>3501.9</v>
      </c>
      <c r="L1020">
        <v>373.84</v>
      </c>
    </row>
    <row r="1021" spans="1:12" x14ac:dyDescent="0.3">
      <c r="A1021" t="s">
        <v>1258</v>
      </c>
      <c r="B1021" s="3">
        <v>45841</v>
      </c>
      <c r="C1021" t="s">
        <v>792</v>
      </c>
      <c r="D1021" t="s">
        <v>65</v>
      </c>
      <c r="E1021" t="s">
        <v>26</v>
      </c>
      <c r="F1021" t="s">
        <v>27</v>
      </c>
      <c r="G1021" t="s">
        <v>31</v>
      </c>
      <c r="H1021">
        <v>2</v>
      </c>
      <c r="I1021">
        <v>2514</v>
      </c>
      <c r="J1021">
        <v>0</v>
      </c>
      <c r="K1021">
        <v>5028</v>
      </c>
      <c r="L1021">
        <v>739.68</v>
      </c>
    </row>
    <row r="1022" spans="1:12" x14ac:dyDescent="0.3">
      <c r="A1022" t="s">
        <v>1259</v>
      </c>
      <c r="B1022" s="3">
        <v>45771</v>
      </c>
      <c r="C1022" t="s">
        <v>206</v>
      </c>
      <c r="D1022" t="s">
        <v>50</v>
      </c>
      <c r="E1022" t="s">
        <v>51</v>
      </c>
      <c r="F1022" t="s">
        <v>16</v>
      </c>
      <c r="G1022" t="s">
        <v>104</v>
      </c>
      <c r="H1022">
        <v>3</v>
      </c>
      <c r="I1022">
        <v>1144</v>
      </c>
      <c r="J1022">
        <v>0.2</v>
      </c>
      <c r="K1022">
        <v>2745.6</v>
      </c>
      <c r="L1022">
        <v>588.80999999999995</v>
      </c>
    </row>
    <row r="1023" spans="1:12" x14ac:dyDescent="0.3">
      <c r="A1023" t="s">
        <v>1260</v>
      </c>
      <c r="B1023" s="3">
        <v>45821</v>
      </c>
      <c r="C1023" t="s">
        <v>90</v>
      </c>
      <c r="D1023" t="s">
        <v>25</v>
      </c>
      <c r="E1023" t="s">
        <v>26</v>
      </c>
      <c r="F1023" t="s">
        <v>21</v>
      </c>
      <c r="G1023" t="s">
        <v>55</v>
      </c>
      <c r="H1023">
        <v>1</v>
      </c>
      <c r="I1023">
        <v>8272</v>
      </c>
      <c r="J1023">
        <v>0.15</v>
      </c>
      <c r="K1023">
        <v>7031.2</v>
      </c>
      <c r="L1023">
        <v>1745.76</v>
      </c>
    </row>
    <row r="1024" spans="1:12" x14ac:dyDescent="0.3">
      <c r="A1024" t="s">
        <v>1261</v>
      </c>
      <c r="B1024" s="3">
        <v>45954</v>
      </c>
      <c r="C1024" t="s">
        <v>1262</v>
      </c>
      <c r="D1024" t="s">
        <v>68</v>
      </c>
      <c r="E1024" t="s">
        <v>44</v>
      </c>
      <c r="F1024" t="s">
        <v>27</v>
      </c>
      <c r="G1024" t="s">
        <v>40</v>
      </c>
      <c r="H1024">
        <v>1</v>
      </c>
      <c r="I1024">
        <v>4772</v>
      </c>
      <c r="J1024">
        <v>0.1</v>
      </c>
      <c r="K1024">
        <v>4294.8</v>
      </c>
      <c r="L1024">
        <v>549.96</v>
      </c>
    </row>
    <row r="1025" spans="1:12" x14ac:dyDescent="0.3">
      <c r="A1025" t="s">
        <v>1263</v>
      </c>
      <c r="B1025" s="3">
        <v>45900</v>
      </c>
      <c r="C1025" t="s">
        <v>507</v>
      </c>
      <c r="D1025" t="s">
        <v>120</v>
      </c>
      <c r="E1025" t="s">
        <v>51</v>
      </c>
      <c r="F1025" t="s">
        <v>27</v>
      </c>
      <c r="G1025" t="s">
        <v>40</v>
      </c>
      <c r="H1025">
        <v>1</v>
      </c>
      <c r="I1025">
        <v>1153</v>
      </c>
      <c r="J1025">
        <v>0.1</v>
      </c>
      <c r="K1025">
        <v>1037.7</v>
      </c>
      <c r="L1025">
        <v>181.96</v>
      </c>
    </row>
    <row r="1026" spans="1:12" x14ac:dyDescent="0.3">
      <c r="A1026" t="s">
        <v>1264</v>
      </c>
      <c r="B1026" s="3">
        <v>45779</v>
      </c>
      <c r="C1026" t="s">
        <v>313</v>
      </c>
      <c r="D1026" t="s">
        <v>25</v>
      </c>
      <c r="E1026" t="s">
        <v>26</v>
      </c>
      <c r="F1026" t="s">
        <v>27</v>
      </c>
      <c r="G1026" t="s">
        <v>31</v>
      </c>
      <c r="H1026">
        <v>4</v>
      </c>
      <c r="I1026">
        <v>10577</v>
      </c>
      <c r="J1026">
        <v>0</v>
      </c>
      <c r="K1026">
        <v>42308</v>
      </c>
      <c r="L1026">
        <v>4838.97</v>
      </c>
    </row>
    <row r="1027" spans="1:12" x14ac:dyDescent="0.3">
      <c r="A1027" t="s">
        <v>1265</v>
      </c>
      <c r="B1027" s="3">
        <v>45937</v>
      </c>
      <c r="C1027" t="s">
        <v>156</v>
      </c>
      <c r="D1027" t="s">
        <v>153</v>
      </c>
      <c r="E1027" t="s">
        <v>26</v>
      </c>
      <c r="F1027" t="s">
        <v>58</v>
      </c>
      <c r="G1027" t="s">
        <v>69</v>
      </c>
      <c r="H1027">
        <v>1</v>
      </c>
      <c r="I1027">
        <v>5809</v>
      </c>
      <c r="J1027">
        <v>0</v>
      </c>
      <c r="K1027">
        <v>5809</v>
      </c>
      <c r="L1027">
        <v>1423.56</v>
      </c>
    </row>
    <row r="1028" spans="1:12" x14ac:dyDescent="0.3">
      <c r="A1028" t="s">
        <v>1266</v>
      </c>
      <c r="B1028" s="3">
        <v>45719</v>
      </c>
      <c r="C1028" t="s">
        <v>546</v>
      </c>
      <c r="D1028" t="s">
        <v>83</v>
      </c>
      <c r="E1028" t="s">
        <v>73</v>
      </c>
      <c r="F1028" t="s">
        <v>21</v>
      </c>
      <c r="G1028" t="s">
        <v>22</v>
      </c>
      <c r="H1028">
        <v>1</v>
      </c>
      <c r="I1028">
        <v>529</v>
      </c>
      <c r="J1028">
        <v>0</v>
      </c>
      <c r="K1028">
        <v>529</v>
      </c>
      <c r="L1028">
        <v>102.23</v>
      </c>
    </row>
    <row r="1029" spans="1:12" x14ac:dyDescent="0.3">
      <c r="A1029" t="s">
        <v>1267</v>
      </c>
      <c r="B1029" s="3">
        <v>45998</v>
      </c>
      <c r="C1029" t="s">
        <v>1109</v>
      </c>
      <c r="D1029" t="s">
        <v>202</v>
      </c>
      <c r="E1029" t="s">
        <v>44</v>
      </c>
      <c r="F1029" t="s">
        <v>58</v>
      </c>
      <c r="G1029" t="s">
        <v>69</v>
      </c>
      <c r="H1029">
        <v>3</v>
      </c>
      <c r="I1029">
        <v>3036</v>
      </c>
      <c r="J1029">
        <v>0.1</v>
      </c>
      <c r="K1029">
        <v>8197.2000000000007</v>
      </c>
      <c r="L1029">
        <v>950.54</v>
      </c>
    </row>
    <row r="1030" spans="1:12" x14ac:dyDescent="0.3">
      <c r="A1030" t="s">
        <v>1268</v>
      </c>
      <c r="B1030" s="3">
        <v>45765</v>
      </c>
      <c r="C1030" t="s">
        <v>321</v>
      </c>
      <c r="D1030" t="s">
        <v>43</v>
      </c>
      <c r="E1030" t="s">
        <v>44</v>
      </c>
      <c r="F1030" t="s">
        <v>16</v>
      </c>
      <c r="G1030" t="s">
        <v>104</v>
      </c>
      <c r="H1030">
        <v>4</v>
      </c>
      <c r="I1030">
        <v>418</v>
      </c>
      <c r="J1030">
        <v>0.05</v>
      </c>
      <c r="K1030">
        <v>1588.4</v>
      </c>
      <c r="L1030">
        <v>432.78</v>
      </c>
    </row>
    <row r="1031" spans="1:12" x14ac:dyDescent="0.3">
      <c r="A1031" t="s">
        <v>1269</v>
      </c>
      <c r="B1031" s="3">
        <v>45892</v>
      </c>
      <c r="C1031" t="s">
        <v>570</v>
      </c>
      <c r="D1031" t="s">
        <v>43</v>
      </c>
      <c r="E1031" t="s">
        <v>44</v>
      </c>
      <c r="F1031" t="s">
        <v>58</v>
      </c>
      <c r="G1031" t="s">
        <v>69</v>
      </c>
      <c r="H1031">
        <v>4</v>
      </c>
      <c r="I1031">
        <v>865</v>
      </c>
      <c r="J1031">
        <v>0.1</v>
      </c>
      <c r="K1031">
        <v>3114</v>
      </c>
      <c r="L1031">
        <v>871.74</v>
      </c>
    </row>
    <row r="1032" spans="1:12" x14ac:dyDescent="0.3">
      <c r="A1032" t="s">
        <v>1270</v>
      </c>
      <c r="B1032" s="3">
        <v>45870</v>
      </c>
      <c r="C1032" t="s">
        <v>719</v>
      </c>
      <c r="D1032" t="s">
        <v>120</v>
      </c>
      <c r="E1032" t="s">
        <v>51</v>
      </c>
      <c r="F1032" t="s">
        <v>21</v>
      </c>
      <c r="G1032" t="s">
        <v>55</v>
      </c>
      <c r="H1032">
        <v>3</v>
      </c>
      <c r="I1032">
        <v>1571</v>
      </c>
      <c r="J1032">
        <v>0.2</v>
      </c>
      <c r="K1032">
        <v>3770.4</v>
      </c>
      <c r="L1032">
        <v>952.38</v>
      </c>
    </row>
    <row r="1033" spans="1:12" x14ac:dyDescent="0.3">
      <c r="A1033" t="s">
        <v>1271</v>
      </c>
      <c r="B1033" s="3">
        <v>45943</v>
      </c>
      <c r="C1033" t="s">
        <v>398</v>
      </c>
      <c r="D1033" t="s">
        <v>80</v>
      </c>
      <c r="E1033" t="s">
        <v>51</v>
      </c>
      <c r="F1033" t="s">
        <v>58</v>
      </c>
      <c r="G1033" t="s">
        <v>59</v>
      </c>
      <c r="H1033">
        <v>2</v>
      </c>
      <c r="I1033">
        <v>66525</v>
      </c>
      <c r="J1033">
        <v>0.05</v>
      </c>
      <c r="K1033">
        <v>126397.5</v>
      </c>
      <c r="L1033">
        <v>17537.95</v>
      </c>
    </row>
    <row r="1034" spans="1:12" x14ac:dyDescent="0.3">
      <c r="A1034" t="s">
        <v>1272</v>
      </c>
      <c r="B1034" s="3">
        <v>45675</v>
      </c>
      <c r="C1034" t="s">
        <v>878</v>
      </c>
      <c r="D1034" t="s">
        <v>50</v>
      </c>
      <c r="E1034" t="s">
        <v>51</v>
      </c>
      <c r="F1034" t="s">
        <v>16</v>
      </c>
      <c r="G1034" t="s">
        <v>17</v>
      </c>
      <c r="H1034">
        <v>1</v>
      </c>
      <c r="I1034">
        <v>2385</v>
      </c>
      <c r="J1034">
        <v>0</v>
      </c>
      <c r="K1034">
        <v>2385</v>
      </c>
      <c r="L1034">
        <v>586.54999999999995</v>
      </c>
    </row>
    <row r="1035" spans="1:12" x14ac:dyDescent="0.3">
      <c r="A1035" t="s">
        <v>1273</v>
      </c>
      <c r="B1035" s="3">
        <v>45938</v>
      </c>
      <c r="C1035" t="s">
        <v>391</v>
      </c>
      <c r="D1035" t="s">
        <v>65</v>
      </c>
      <c r="E1035" t="s">
        <v>26</v>
      </c>
      <c r="F1035" t="s">
        <v>21</v>
      </c>
      <c r="G1035" t="s">
        <v>35</v>
      </c>
      <c r="H1035">
        <v>2</v>
      </c>
      <c r="I1035">
        <v>4356</v>
      </c>
      <c r="J1035">
        <v>0.15</v>
      </c>
      <c r="K1035">
        <v>7405.2</v>
      </c>
      <c r="L1035">
        <v>2028.37</v>
      </c>
    </row>
    <row r="1036" spans="1:12" x14ac:dyDescent="0.3">
      <c r="A1036" t="s">
        <v>1274</v>
      </c>
      <c r="B1036" s="3">
        <v>45821</v>
      </c>
      <c r="C1036" t="s">
        <v>278</v>
      </c>
      <c r="D1036" t="s">
        <v>83</v>
      </c>
      <c r="E1036" t="s">
        <v>73</v>
      </c>
      <c r="F1036" t="s">
        <v>21</v>
      </c>
      <c r="G1036" t="s">
        <v>22</v>
      </c>
      <c r="H1036">
        <v>2</v>
      </c>
      <c r="I1036">
        <v>542</v>
      </c>
      <c r="J1036">
        <v>0.15</v>
      </c>
      <c r="K1036">
        <v>921.4</v>
      </c>
      <c r="L1036">
        <v>250.04</v>
      </c>
    </row>
    <row r="1037" spans="1:12" x14ac:dyDescent="0.3">
      <c r="A1037" t="s">
        <v>1275</v>
      </c>
      <c r="B1037" s="3">
        <v>45888</v>
      </c>
      <c r="C1037" t="s">
        <v>346</v>
      </c>
      <c r="D1037" t="s">
        <v>97</v>
      </c>
      <c r="E1037" t="s">
        <v>44</v>
      </c>
      <c r="F1037" t="s">
        <v>27</v>
      </c>
      <c r="G1037" t="s">
        <v>40</v>
      </c>
      <c r="H1037">
        <v>3</v>
      </c>
      <c r="I1037">
        <v>1058</v>
      </c>
      <c r="J1037">
        <v>0.05</v>
      </c>
      <c r="K1037">
        <v>3015.3</v>
      </c>
      <c r="L1037">
        <v>281.31</v>
      </c>
    </row>
    <row r="1038" spans="1:12" x14ac:dyDescent="0.3">
      <c r="A1038" t="s">
        <v>1276</v>
      </c>
      <c r="B1038" s="3">
        <v>45692</v>
      </c>
      <c r="C1038" t="s">
        <v>187</v>
      </c>
      <c r="D1038" t="s">
        <v>65</v>
      </c>
      <c r="E1038" t="s">
        <v>26</v>
      </c>
      <c r="F1038" t="s">
        <v>16</v>
      </c>
      <c r="G1038" t="s">
        <v>17</v>
      </c>
      <c r="H1038">
        <v>2</v>
      </c>
      <c r="I1038">
        <v>1641</v>
      </c>
      <c r="J1038">
        <v>0</v>
      </c>
      <c r="K1038">
        <v>3282</v>
      </c>
      <c r="L1038">
        <v>771.54</v>
      </c>
    </row>
    <row r="1039" spans="1:12" x14ac:dyDescent="0.3">
      <c r="A1039" t="s">
        <v>1277</v>
      </c>
      <c r="B1039" s="3">
        <v>45799</v>
      </c>
      <c r="C1039" t="s">
        <v>339</v>
      </c>
      <c r="D1039" t="s">
        <v>88</v>
      </c>
      <c r="E1039" t="s">
        <v>73</v>
      </c>
      <c r="F1039" t="s">
        <v>21</v>
      </c>
      <c r="G1039" t="s">
        <v>35</v>
      </c>
      <c r="H1039">
        <v>2</v>
      </c>
      <c r="I1039">
        <v>554</v>
      </c>
      <c r="J1039">
        <v>0.05</v>
      </c>
      <c r="K1039">
        <v>1052.5999999999999</v>
      </c>
      <c r="L1039">
        <v>249.11</v>
      </c>
    </row>
    <row r="1040" spans="1:12" x14ac:dyDescent="0.3">
      <c r="A1040" t="s">
        <v>1278</v>
      </c>
      <c r="B1040" s="3">
        <v>45862</v>
      </c>
      <c r="C1040" t="s">
        <v>49</v>
      </c>
      <c r="D1040" t="s">
        <v>103</v>
      </c>
      <c r="E1040" t="s">
        <v>51</v>
      </c>
      <c r="F1040" t="s">
        <v>58</v>
      </c>
      <c r="G1040" t="s">
        <v>126</v>
      </c>
      <c r="H1040">
        <v>1</v>
      </c>
      <c r="I1040">
        <v>5784</v>
      </c>
      <c r="J1040">
        <v>0</v>
      </c>
      <c r="K1040">
        <v>5784</v>
      </c>
      <c r="L1040">
        <v>1460.38</v>
      </c>
    </row>
    <row r="1041" spans="1:12" x14ac:dyDescent="0.3">
      <c r="A1041" t="s">
        <v>1279</v>
      </c>
      <c r="B1041" s="3">
        <v>45869</v>
      </c>
      <c r="C1041" t="s">
        <v>194</v>
      </c>
      <c r="D1041" t="s">
        <v>50</v>
      </c>
      <c r="E1041" t="s">
        <v>51</v>
      </c>
      <c r="F1041" t="s">
        <v>21</v>
      </c>
      <c r="G1041" t="s">
        <v>22</v>
      </c>
      <c r="H1041">
        <v>1</v>
      </c>
      <c r="I1041">
        <v>1529</v>
      </c>
      <c r="J1041">
        <v>0</v>
      </c>
      <c r="K1041">
        <v>1529</v>
      </c>
      <c r="L1041">
        <v>322.32</v>
      </c>
    </row>
    <row r="1042" spans="1:12" x14ac:dyDescent="0.3">
      <c r="A1042" t="s">
        <v>1280</v>
      </c>
      <c r="B1042" s="3">
        <v>45799</v>
      </c>
      <c r="C1042" t="s">
        <v>13</v>
      </c>
      <c r="D1042" t="s">
        <v>120</v>
      </c>
      <c r="E1042" t="s">
        <v>51</v>
      </c>
      <c r="F1042" t="s">
        <v>27</v>
      </c>
      <c r="G1042" t="s">
        <v>28</v>
      </c>
      <c r="H1042">
        <v>3</v>
      </c>
      <c r="I1042">
        <v>611</v>
      </c>
      <c r="J1042">
        <v>0.15</v>
      </c>
      <c r="K1042">
        <v>1558.05</v>
      </c>
      <c r="L1042">
        <v>334.52</v>
      </c>
    </row>
    <row r="1043" spans="1:12" x14ac:dyDescent="0.3">
      <c r="A1043" t="s">
        <v>1281</v>
      </c>
      <c r="B1043" s="3">
        <v>45713</v>
      </c>
      <c r="C1043" t="s">
        <v>636</v>
      </c>
      <c r="D1043" t="s">
        <v>153</v>
      </c>
      <c r="E1043" t="s">
        <v>26</v>
      </c>
      <c r="F1043" t="s">
        <v>16</v>
      </c>
      <c r="G1043" t="s">
        <v>52</v>
      </c>
      <c r="H1043">
        <v>3</v>
      </c>
      <c r="I1043">
        <v>3984</v>
      </c>
      <c r="J1043">
        <v>0.15</v>
      </c>
      <c r="K1043">
        <v>10159.200000000001</v>
      </c>
      <c r="L1043">
        <v>1226.78</v>
      </c>
    </row>
    <row r="1044" spans="1:12" x14ac:dyDescent="0.3">
      <c r="A1044" t="s">
        <v>1282</v>
      </c>
      <c r="B1044" s="3">
        <v>45927</v>
      </c>
      <c r="C1044" t="s">
        <v>156</v>
      </c>
      <c r="D1044" t="s">
        <v>97</v>
      </c>
      <c r="E1044" t="s">
        <v>44</v>
      </c>
      <c r="F1044" t="s">
        <v>27</v>
      </c>
      <c r="G1044" t="s">
        <v>31</v>
      </c>
      <c r="H1044">
        <v>5</v>
      </c>
      <c r="I1044">
        <v>490</v>
      </c>
      <c r="J1044">
        <v>0.05</v>
      </c>
      <c r="K1044">
        <v>2327.5</v>
      </c>
      <c r="L1044">
        <v>428.34</v>
      </c>
    </row>
    <row r="1045" spans="1:12" x14ac:dyDescent="0.3">
      <c r="A1045" t="s">
        <v>1283</v>
      </c>
      <c r="B1045" s="3">
        <v>45929</v>
      </c>
      <c r="C1045" t="s">
        <v>300</v>
      </c>
      <c r="D1045" t="s">
        <v>202</v>
      </c>
      <c r="E1045" t="s">
        <v>44</v>
      </c>
      <c r="F1045" t="s">
        <v>58</v>
      </c>
      <c r="G1045" t="s">
        <v>69</v>
      </c>
      <c r="H1045">
        <v>2</v>
      </c>
      <c r="I1045">
        <v>1345</v>
      </c>
      <c r="J1045">
        <v>0.15</v>
      </c>
      <c r="K1045">
        <v>2286.5</v>
      </c>
      <c r="L1045">
        <v>505.28</v>
      </c>
    </row>
    <row r="1046" spans="1:12" x14ac:dyDescent="0.3">
      <c r="A1046" t="s">
        <v>1284</v>
      </c>
      <c r="B1046" s="3">
        <v>45686</v>
      </c>
      <c r="C1046" t="s">
        <v>141</v>
      </c>
      <c r="D1046" t="s">
        <v>47</v>
      </c>
      <c r="E1046" t="s">
        <v>26</v>
      </c>
      <c r="F1046" t="s">
        <v>16</v>
      </c>
      <c r="G1046" t="s">
        <v>17</v>
      </c>
      <c r="H1046">
        <v>1</v>
      </c>
      <c r="I1046">
        <v>10719</v>
      </c>
      <c r="J1046">
        <v>0.2</v>
      </c>
      <c r="K1046">
        <v>8575.2000000000007</v>
      </c>
      <c r="L1046">
        <v>2284.66</v>
      </c>
    </row>
    <row r="1047" spans="1:12" x14ac:dyDescent="0.3">
      <c r="A1047" t="s">
        <v>1285</v>
      </c>
      <c r="B1047" s="3">
        <v>45733</v>
      </c>
      <c r="C1047" t="s">
        <v>542</v>
      </c>
      <c r="D1047" t="s">
        <v>103</v>
      </c>
      <c r="E1047" t="s">
        <v>51</v>
      </c>
      <c r="F1047" t="s">
        <v>16</v>
      </c>
      <c r="G1047" t="s">
        <v>52</v>
      </c>
      <c r="H1047">
        <v>1</v>
      </c>
      <c r="I1047">
        <v>7434</v>
      </c>
      <c r="J1047">
        <v>0.2</v>
      </c>
      <c r="K1047">
        <v>5947.2</v>
      </c>
      <c r="L1047">
        <v>1595.2</v>
      </c>
    </row>
    <row r="1048" spans="1:12" x14ac:dyDescent="0.3">
      <c r="A1048" t="s">
        <v>1286</v>
      </c>
      <c r="B1048" s="3">
        <v>45818</v>
      </c>
      <c r="C1048" t="s">
        <v>805</v>
      </c>
      <c r="D1048" t="s">
        <v>120</v>
      </c>
      <c r="E1048" t="s">
        <v>51</v>
      </c>
      <c r="F1048" t="s">
        <v>27</v>
      </c>
      <c r="G1048" t="s">
        <v>28</v>
      </c>
      <c r="H1048">
        <v>1</v>
      </c>
      <c r="I1048">
        <v>969</v>
      </c>
      <c r="J1048">
        <v>0.05</v>
      </c>
      <c r="K1048">
        <v>920.55</v>
      </c>
      <c r="L1048">
        <v>130.59</v>
      </c>
    </row>
    <row r="1049" spans="1:12" x14ac:dyDescent="0.3">
      <c r="A1049" t="s">
        <v>1287</v>
      </c>
      <c r="B1049" s="3">
        <v>45717</v>
      </c>
      <c r="C1049" t="s">
        <v>719</v>
      </c>
      <c r="D1049" t="s">
        <v>83</v>
      </c>
      <c r="E1049" t="s">
        <v>73</v>
      </c>
      <c r="F1049" t="s">
        <v>58</v>
      </c>
      <c r="G1049" t="s">
        <v>126</v>
      </c>
      <c r="H1049">
        <v>4</v>
      </c>
      <c r="I1049">
        <v>437</v>
      </c>
      <c r="J1049">
        <v>0</v>
      </c>
      <c r="K1049">
        <v>1748</v>
      </c>
      <c r="L1049">
        <v>367.67</v>
      </c>
    </row>
    <row r="1050" spans="1:12" x14ac:dyDescent="0.3">
      <c r="A1050" t="s">
        <v>1288</v>
      </c>
      <c r="B1050" s="3">
        <v>45714</v>
      </c>
      <c r="C1050" t="s">
        <v>665</v>
      </c>
      <c r="D1050" t="s">
        <v>83</v>
      </c>
      <c r="E1050" t="s">
        <v>73</v>
      </c>
      <c r="F1050" t="s">
        <v>21</v>
      </c>
      <c r="G1050" t="s">
        <v>35</v>
      </c>
      <c r="H1050">
        <v>2</v>
      </c>
      <c r="I1050">
        <v>421</v>
      </c>
      <c r="J1050">
        <v>0.05</v>
      </c>
      <c r="K1050">
        <v>799.9</v>
      </c>
      <c r="L1050">
        <v>90.03</v>
      </c>
    </row>
    <row r="1051" spans="1:12" x14ac:dyDescent="0.3">
      <c r="A1051" t="s">
        <v>1289</v>
      </c>
      <c r="B1051" s="3">
        <v>45683</v>
      </c>
      <c r="C1051" t="s">
        <v>415</v>
      </c>
      <c r="D1051" t="s">
        <v>14</v>
      </c>
      <c r="E1051" t="s">
        <v>15</v>
      </c>
      <c r="F1051" t="s">
        <v>58</v>
      </c>
      <c r="G1051" t="s">
        <v>69</v>
      </c>
      <c r="H1051">
        <v>2</v>
      </c>
      <c r="I1051">
        <v>14372</v>
      </c>
      <c r="J1051">
        <v>0.1</v>
      </c>
      <c r="K1051">
        <v>25869.599999999999</v>
      </c>
      <c r="L1051">
        <v>4096.07</v>
      </c>
    </row>
    <row r="1052" spans="1:12" x14ac:dyDescent="0.3">
      <c r="A1052" t="s">
        <v>1290</v>
      </c>
      <c r="B1052" s="3">
        <v>45700</v>
      </c>
      <c r="C1052" t="s">
        <v>503</v>
      </c>
      <c r="D1052" t="s">
        <v>153</v>
      </c>
      <c r="E1052" t="s">
        <v>26</v>
      </c>
      <c r="F1052" t="s">
        <v>16</v>
      </c>
      <c r="G1052" t="s">
        <v>52</v>
      </c>
      <c r="H1052">
        <v>3</v>
      </c>
      <c r="I1052">
        <v>6560</v>
      </c>
      <c r="J1052">
        <v>0.05</v>
      </c>
      <c r="K1052">
        <v>18696</v>
      </c>
      <c r="L1052">
        <v>2005.15</v>
      </c>
    </row>
    <row r="1053" spans="1:12" x14ac:dyDescent="0.3">
      <c r="A1053" t="s">
        <v>1291</v>
      </c>
      <c r="B1053" s="3">
        <v>45854</v>
      </c>
      <c r="C1053" t="s">
        <v>61</v>
      </c>
      <c r="D1053" t="s">
        <v>68</v>
      </c>
      <c r="E1053" t="s">
        <v>44</v>
      </c>
      <c r="F1053" t="s">
        <v>21</v>
      </c>
      <c r="G1053" t="s">
        <v>35</v>
      </c>
      <c r="H1053">
        <v>1</v>
      </c>
      <c r="I1053">
        <v>7128</v>
      </c>
      <c r="J1053">
        <v>0.1</v>
      </c>
      <c r="K1053">
        <v>6415.2</v>
      </c>
      <c r="L1053">
        <v>943.46</v>
      </c>
    </row>
    <row r="1054" spans="1:12" x14ac:dyDescent="0.3">
      <c r="A1054" t="s">
        <v>1292</v>
      </c>
      <c r="B1054" s="3">
        <v>45897</v>
      </c>
      <c r="C1054" t="s">
        <v>159</v>
      </c>
      <c r="D1054" t="s">
        <v>88</v>
      </c>
      <c r="E1054" t="s">
        <v>73</v>
      </c>
      <c r="F1054" t="s">
        <v>21</v>
      </c>
      <c r="G1054" t="s">
        <v>35</v>
      </c>
      <c r="H1054">
        <v>4</v>
      </c>
      <c r="I1054">
        <v>146</v>
      </c>
      <c r="J1054">
        <v>0.1</v>
      </c>
      <c r="K1054">
        <v>525.6</v>
      </c>
      <c r="L1054">
        <v>85.48</v>
      </c>
    </row>
    <row r="1055" spans="1:12" x14ac:dyDescent="0.3">
      <c r="A1055" t="s">
        <v>1293</v>
      </c>
      <c r="B1055" s="3">
        <v>45720</v>
      </c>
      <c r="C1055" t="s">
        <v>231</v>
      </c>
      <c r="D1055" t="s">
        <v>43</v>
      </c>
      <c r="E1055" t="s">
        <v>44</v>
      </c>
      <c r="F1055" t="s">
        <v>16</v>
      </c>
      <c r="G1055" t="s">
        <v>104</v>
      </c>
      <c r="H1055">
        <v>1</v>
      </c>
      <c r="I1055">
        <v>608</v>
      </c>
      <c r="J1055">
        <v>0.1</v>
      </c>
      <c r="K1055">
        <v>547.20000000000005</v>
      </c>
      <c r="L1055">
        <v>89.67</v>
      </c>
    </row>
    <row r="1056" spans="1:12" x14ac:dyDescent="0.3">
      <c r="A1056" t="s">
        <v>1294</v>
      </c>
      <c r="B1056" s="3">
        <v>45917</v>
      </c>
      <c r="C1056" t="s">
        <v>326</v>
      </c>
      <c r="D1056" t="s">
        <v>202</v>
      </c>
      <c r="E1056" t="s">
        <v>44</v>
      </c>
      <c r="F1056" t="s">
        <v>16</v>
      </c>
      <c r="G1056" t="s">
        <v>17</v>
      </c>
      <c r="H1056">
        <v>4</v>
      </c>
      <c r="I1056">
        <v>2065</v>
      </c>
      <c r="J1056">
        <v>0.05</v>
      </c>
      <c r="K1056">
        <v>7847</v>
      </c>
      <c r="L1056">
        <v>1244.8</v>
      </c>
    </row>
    <row r="1057" spans="1:12" x14ac:dyDescent="0.3">
      <c r="A1057" t="s">
        <v>1295</v>
      </c>
      <c r="B1057" s="3">
        <v>45855</v>
      </c>
      <c r="C1057" t="s">
        <v>448</v>
      </c>
      <c r="D1057" t="s">
        <v>50</v>
      </c>
      <c r="E1057" t="s">
        <v>51</v>
      </c>
      <c r="F1057" t="s">
        <v>27</v>
      </c>
      <c r="G1057" t="s">
        <v>28</v>
      </c>
      <c r="H1057">
        <v>2</v>
      </c>
      <c r="I1057">
        <v>1267</v>
      </c>
      <c r="J1057">
        <v>0.05</v>
      </c>
      <c r="K1057">
        <v>2407.3000000000002</v>
      </c>
      <c r="L1057">
        <v>222.21</v>
      </c>
    </row>
    <row r="1058" spans="1:12" x14ac:dyDescent="0.3">
      <c r="A1058" t="s">
        <v>1296</v>
      </c>
      <c r="B1058" s="3">
        <v>45706</v>
      </c>
      <c r="C1058" t="s">
        <v>24</v>
      </c>
      <c r="D1058" t="s">
        <v>50</v>
      </c>
      <c r="E1058" t="s">
        <v>51</v>
      </c>
      <c r="F1058" t="s">
        <v>58</v>
      </c>
      <c r="G1058" t="s">
        <v>59</v>
      </c>
      <c r="H1058">
        <v>3</v>
      </c>
      <c r="I1058">
        <v>1172</v>
      </c>
      <c r="J1058">
        <v>0.15</v>
      </c>
      <c r="K1058">
        <v>2988.6</v>
      </c>
      <c r="L1058">
        <v>715.8</v>
      </c>
    </row>
    <row r="1059" spans="1:12" x14ac:dyDescent="0.3">
      <c r="A1059" t="s">
        <v>1297</v>
      </c>
      <c r="B1059" s="3">
        <v>45759</v>
      </c>
      <c r="C1059" t="s">
        <v>246</v>
      </c>
      <c r="D1059" t="s">
        <v>88</v>
      </c>
      <c r="E1059" t="s">
        <v>73</v>
      </c>
      <c r="F1059" t="s">
        <v>21</v>
      </c>
      <c r="G1059" t="s">
        <v>22</v>
      </c>
      <c r="H1059">
        <v>1</v>
      </c>
      <c r="I1059">
        <v>554</v>
      </c>
      <c r="J1059">
        <v>0.15</v>
      </c>
      <c r="K1059">
        <v>470.9</v>
      </c>
      <c r="L1059">
        <v>88.8</v>
      </c>
    </row>
    <row r="1060" spans="1:12" x14ac:dyDescent="0.3">
      <c r="A1060" t="s">
        <v>1298</v>
      </c>
      <c r="B1060" s="3">
        <v>45939</v>
      </c>
      <c r="C1060" t="s">
        <v>315</v>
      </c>
      <c r="D1060" t="s">
        <v>80</v>
      </c>
      <c r="E1060" t="s">
        <v>51</v>
      </c>
      <c r="F1060" t="s">
        <v>27</v>
      </c>
      <c r="G1060" t="s">
        <v>28</v>
      </c>
      <c r="H1060">
        <v>2</v>
      </c>
      <c r="I1060">
        <v>75112</v>
      </c>
      <c r="J1060">
        <v>0.15</v>
      </c>
      <c r="K1060">
        <v>127690.4</v>
      </c>
      <c r="L1060">
        <v>32673.34</v>
      </c>
    </row>
    <row r="1061" spans="1:12" x14ac:dyDescent="0.3">
      <c r="A1061" t="s">
        <v>1299</v>
      </c>
      <c r="B1061" s="3">
        <v>45987</v>
      </c>
      <c r="C1061" t="s">
        <v>116</v>
      </c>
      <c r="D1061" t="s">
        <v>153</v>
      </c>
      <c r="E1061" t="s">
        <v>26</v>
      </c>
      <c r="F1061" t="s">
        <v>58</v>
      </c>
      <c r="G1061" t="s">
        <v>126</v>
      </c>
      <c r="H1061">
        <v>4</v>
      </c>
      <c r="I1061">
        <v>5636</v>
      </c>
      <c r="J1061">
        <v>0.2</v>
      </c>
      <c r="K1061">
        <v>18035.2</v>
      </c>
      <c r="L1061">
        <v>5025.2</v>
      </c>
    </row>
    <row r="1062" spans="1:12" x14ac:dyDescent="0.3">
      <c r="A1062" t="s">
        <v>1300</v>
      </c>
      <c r="B1062" s="3">
        <v>45797</v>
      </c>
      <c r="C1062" t="s">
        <v>401</v>
      </c>
      <c r="D1062" t="s">
        <v>68</v>
      </c>
      <c r="E1062" t="s">
        <v>44</v>
      </c>
      <c r="F1062" t="s">
        <v>21</v>
      </c>
      <c r="G1062" t="s">
        <v>55</v>
      </c>
      <c r="H1062">
        <v>3</v>
      </c>
      <c r="I1062">
        <v>4971</v>
      </c>
      <c r="J1062">
        <v>0.1</v>
      </c>
      <c r="K1062">
        <v>13421.7</v>
      </c>
      <c r="L1062">
        <v>1348.14</v>
      </c>
    </row>
    <row r="1063" spans="1:12" x14ac:dyDescent="0.3">
      <c r="A1063" t="s">
        <v>1301</v>
      </c>
      <c r="B1063" s="3">
        <v>45803</v>
      </c>
      <c r="C1063" t="s">
        <v>143</v>
      </c>
      <c r="D1063" t="s">
        <v>80</v>
      </c>
      <c r="E1063" t="s">
        <v>51</v>
      </c>
      <c r="F1063" t="s">
        <v>16</v>
      </c>
      <c r="G1063" t="s">
        <v>17</v>
      </c>
      <c r="H1063">
        <v>1</v>
      </c>
      <c r="I1063">
        <v>69180</v>
      </c>
      <c r="J1063">
        <v>0.05</v>
      </c>
      <c r="K1063">
        <v>65721</v>
      </c>
      <c r="L1063">
        <v>16592.38</v>
      </c>
    </row>
    <row r="1064" spans="1:12" x14ac:dyDescent="0.3">
      <c r="A1064" t="s">
        <v>1302</v>
      </c>
      <c r="B1064" s="3">
        <v>45823</v>
      </c>
      <c r="C1064" t="s">
        <v>295</v>
      </c>
      <c r="D1064" t="s">
        <v>25</v>
      </c>
      <c r="E1064" t="s">
        <v>26</v>
      </c>
      <c r="F1064" t="s">
        <v>27</v>
      </c>
      <c r="G1064" t="s">
        <v>28</v>
      </c>
      <c r="H1064">
        <v>1</v>
      </c>
      <c r="I1064">
        <v>9470</v>
      </c>
      <c r="J1064">
        <v>0.15</v>
      </c>
      <c r="K1064">
        <v>8049.5</v>
      </c>
      <c r="L1064">
        <v>1932.47</v>
      </c>
    </row>
    <row r="1065" spans="1:12" x14ac:dyDescent="0.3">
      <c r="A1065" t="s">
        <v>1303</v>
      </c>
      <c r="B1065" s="3">
        <v>45908</v>
      </c>
      <c r="C1065" t="s">
        <v>255</v>
      </c>
      <c r="D1065" t="s">
        <v>153</v>
      </c>
      <c r="E1065" t="s">
        <v>26</v>
      </c>
      <c r="F1065" t="s">
        <v>16</v>
      </c>
      <c r="G1065" t="s">
        <v>104</v>
      </c>
      <c r="H1065">
        <v>1</v>
      </c>
      <c r="I1065">
        <v>5636</v>
      </c>
      <c r="J1065">
        <v>0.1</v>
      </c>
      <c r="K1065">
        <v>5072.3999999999996</v>
      </c>
      <c r="L1065">
        <v>967.3</v>
      </c>
    </row>
    <row r="1066" spans="1:12" x14ac:dyDescent="0.3">
      <c r="A1066" t="s">
        <v>1304</v>
      </c>
      <c r="B1066" s="3">
        <v>45717</v>
      </c>
      <c r="C1066" t="s">
        <v>358</v>
      </c>
      <c r="D1066" t="s">
        <v>20</v>
      </c>
      <c r="E1066" t="s">
        <v>15</v>
      </c>
      <c r="F1066" t="s">
        <v>16</v>
      </c>
      <c r="G1066" t="s">
        <v>52</v>
      </c>
      <c r="H1066">
        <v>1</v>
      </c>
      <c r="I1066">
        <v>12163</v>
      </c>
      <c r="J1066">
        <v>0.15</v>
      </c>
      <c r="K1066">
        <v>10338.549999999999</v>
      </c>
      <c r="L1066">
        <v>2813.59</v>
      </c>
    </row>
    <row r="1067" spans="1:12" x14ac:dyDescent="0.3">
      <c r="A1067" t="s">
        <v>1305</v>
      </c>
      <c r="B1067" s="3">
        <v>45789</v>
      </c>
      <c r="C1067" t="s">
        <v>136</v>
      </c>
      <c r="D1067" t="s">
        <v>25</v>
      </c>
      <c r="E1067" t="s">
        <v>26</v>
      </c>
      <c r="F1067" t="s">
        <v>58</v>
      </c>
      <c r="G1067" t="s">
        <v>126</v>
      </c>
      <c r="H1067">
        <v>2</v>
      </c>
      <c r="I1067">
        <v>8442</v>
      </c>
      <c r="J1067">
        <v>0</v>
      </c>
      <c r="K1067">
        <v>16884</v>
      </c>
      <c r="L1067">
        <v>4323.7299999999996</v>
      </c>
    </row>
    <row r="1068" spans="1:12" x14ac:dyDescent="0.3">
      <c r="A1068" t="s">
        <v>1306</v>
      </c>
      <c r="B1068" s="3">
        <v>45900</v>
      </c>
      <c r="C1068" t="s">
        <v>123</v>
      </c>
      <c r="D1068" t="s">
        <v>202</v>
      </c>
      <c r="E1068" t="s">
        <v>44</v>
      </c>
      <c r="F1068" t="s">
        <v>16</v>
      </c>
      <c r="G1068" t="s">
        <v>52</v>
      </c>
      <c r="H1068">
        <v>2</v>
      </c>
      <c r="I1068">
        <v>2353</v>
      </c>
      <c r="J1068">
        <v>0.1</v>
      </c>
      <c r="K1068">
        <v>4235.3999999999996</v>
      </c>
      <c r="L1068">
        <v>489.17</v>
      </c>
    </row>
    <row r="1069" spans="1:12" x14ac:dyDescent="0.3">
      <c r="A1069" t="s">
        <v>1307</v>
      </c>
      <c r="B1069" s="3">
        <v>45923</v>
      </c>
      <c r="C1069" t="s">
        <v>436</v>
      </c>
      <c r="D1069" t="s">
        <v>50</v>
      </c>
      <c r="E1069" t="s">
        <v>51</v>
      </c>
      <c r="F1069" t="s">
        <v>21</v>
      </c>
      <c r="G1069" t="s">
        <v>55</v>
      </c>
      <c r="H1069">
        <v>2</v>
      </c>
      <c r="I1069">
        <v>2274</v>
      </c>
      <c r="J1069">
        <v>0</v>
      </c>
      <c r="K1069">
        <v>4548</v>
      </c>
      <c r="L1069">
        <v>518.80999999999995</v>
      </c>
    </row>
    <row r="1070" spans="1:12" x14ac:dyDescent="0.3">
      <c r="A1070" t="s">
        <v>1308</v>
      </c>
      <c r="B1070" s="3">
        <v>45744</v>
      </c>
      <c r="C1070" t="s">
        <v>176</v>
      </c>
      <c r="D1070" t="s">
        <v>120</v>
      </c>
      <c r="E1070" t="s">
        <v>51</v>
      </c>
      <c r="F1070" t="s">
        <v>58</v>
      </c>
      <c r="G1070" t="s">
        <v>59</v>
      </c>
      <c r="H1070">
        <v>1</v>
      </c>
      <c r="I1070">
        <v>1855</v>
      </c>
      <c r="J1070">
        <v>0</v>
      </c>
      <c r="K1070">
        <v>1855</v>
      </c>
      <c r="L1070">
        <v>373.31</v>
      </c>
    </row>
    <row r="1071" spans="1:12" x14ac:dyDescent="0.3">
      <c r="A1071" t="s">
        <v>1309</v>
      </c>
      <c r="B1071" s="3">
        <v>45758</v>
      </c>
      <c r="C1071" t="s">
        <v>260</v>
      </c>
      <c r="D1071" t="s">
        <v>65</v>
      </c>
      <c r="E1071" t="s">
        <v>26</v>
      </c>
      <c r="F1071" t="s">
        <v>27</v>
      </c>
      <c r="G1071" t="s">
        <v>40</v>
      </c>
      <c r="H1071">
        <v>2</v>
      </c>
      <c r="I1071">
        <v>2928</v>
      </c>
      <c r="J1071">
        <v>0</v>
      </c>
      <c r="K1071">
        <v>5856</v>
      </c>
      <c r="L1071">
        <v>1394.55</v>
      </c>
    </row>
    <row r="1072" spans="1:12" x14ac:dyDescent="0.3">
      <c r="A1072" t="s">
        <v>1310</v>
      </c>
      <c r="B1072" s="3">
        <v>45747</v>
      </c>
      <c r="C1072" t="s">
        <v>33</v>
      </c>
      <c r="D1072" t="s">
        <v>92</v>
      </c>
      <c r="E1072" t="s">
        <v>51</v>
      </c>
      <c r="F1072" t="s">
        <v>27</v>
      </c>
      <c r="G1072" t="s">
        <v>28</v>
      </c>
      <c r="H1072">
        <v>5</v>
      </c>
      <c r="I1072">
        <v>18432</v>
      </c>
      <c r="J1072">
        <v>0.1</v>
      </c>
      <c r="K1072">
        <v>82944</v>
      </c>
      <c r="L1072">
        <v>16147.56</v>
      </c>
    </row>
    <row r="1073" spans="1:12" x14ac:dyDescent="0.3">
      <c r="A1073" t="s">
        <v>1311</v>
      </c>
      <c r="B1073" s="3">
        <v>45871</v>
      </c>
      <c r="C1073" t="s">
        <v>187</v>
      </c>
      <c r="D1073" t="s">
        <v>34</v>
      </c>
      <c r="E1073" t="s">
        <v>15</v>
      </c>
      <c r="F1073" t="s">
        <v>21</v>
      </c>
      <c r="G1073" t="s">
        <v>55</v>
      </c>
      <c r="H1073">
        <v>3</v>
      </c>
      <c r="I1073">
        <v>23308</v>
      </c>
      <c r="J1073">
        <v>0.15</v>
      </c>
      <c r="K1073">
        <v>59435.4</v>
      </c>
      <c r="L1073">
        <v>12767.42</v>
      </c>
    </row>
    <row r="1074" spans="1:12" x14ac:dyDescent="0.3">
      <c r="A1074" t="s">
        <v>1312</v>
      </c>
      <c r="B1074" s="3">
        <v>45907</v>
      </c>
      <c r="C1074" t="s">
        <v>358</v>
      </c>
      <c r="D1074" t="s">
        <v>307</v>
      </c>
      <c r="E1074" t="s">
        <v>73</v>
      </c>
      <c r="F1074" t="s">
        <v>21</v>
      </c>
      <c r="G1074" t="s">
        <v>55</v>
      </c>
      <c r="H1074">
        <v>3</v>
      </c>
      <c r="I1074">
        <v>355</v>
      </c>
      <c r="J1074">
        <v>0.15</v>
      </c>
      <c r="K1074">
        <v>905.25</v>
      </c>
      <c r="L1074">
        <v>83.98</v>
      </c>
    </row>
    <row r="1075" spans="1:12" x14ac:dyDescent="0.3">
      <c r="A1075" t="s">
        <v>1313</v>
      </c>
      <c r="B1075" s="3">
        <v>45949</v>
      </c>
      <c r="C1075" t="s">
        <v>323</v>
      </c>
      <c r="D1075" t="s">
        <v>83</v>
      </c>
      <c r="E1075" t="s">
        <v>73</v>
      </c>
      <c r="F1075" t="s">
        <v>21</v>
      </c>
      <c r="G1075" t="s">
        <v>35</v>
      </c>
      <c r="H1075">
        <v>1</v>
      </c>
      <c r="I1075">
        <v>740</v>
      </c>
      <c r="J1075">
        <v>0.05</v>
      </c>
      <c r="K1075">
        <v>703</v>
      </c>
      <c r="L1075">
        <v>110.87</v>
      </c>
    </row>
    <row r="1076" spans="1:12" x14ac:dyDescent="0.3">
      <c r="A1076" t="s">
        <v>1314</v>
      </c>
      <c r="B1076" s="3">
        <v>45845</v>
      </c>
      <c r="C1076" t="s">
        <v>287</v>
      </c>
      <c r="D1076" t="s">
        <v>83</v>
      </c>
      <c r="E1076" t="s">
        <v>73</v>
      </c>
      <c r="F1076" t="s">
        <v>58</v>
      </c>
      <c r="G1076" t="s">
        <v>69</v>
      </c>
      <c r="H1076">
        <v>2</v>
      </c>
      <c r="I1076">
        <v>349</v>
      </c>
      <c r="J1076">
        <v>0.15</v>
      </c>
      <c r="K1076">
        <v>593.29999999999995</v>
      </c>
      <c r="L1076">
        <v>108.01</v>
      </c>
    </row>
    <row r="1077" spans="1:12" x14ac:dyDescent="0.3">
      <c r="A1077" t="s">
        <v>1315</v>
      </c>
      <c r="B1077" s="3">
        <v>45700</v>
      </c>
      <c r="C1077" t="s">
        <v>24</v>
      </c>
      <c r="D1077" t="s">
        <v>30</v>
      </c>
      <c r="E1077" t="s">
        <v>15</v>
      </c>
      <c r="F1077" t="s">
        <v>27</v>
      </c>
      <c r="G1077" t="s">
        <v>40</v>
      </c>
      <c r="H1077">
        <v>1</v>
      </c>
      <c r="I1077">
        <v>10112</v>
      </c>
      <c r="J1077">
        <v>0.1</v>
      </c>
      <c r="K1077">
        <v>9100.7999999999993</v>
      </c>
      <c r="L1077">
        <v>1490.27</v>
      </c>
    </row>
    <row r="1078" spans="1:12" x14ac:dyDescent="0.3">
      <c r="A1078" t="s">
        <v>1316</v>
      </c>
      <c r="B1078" s="3">
        <v>45965</v>
      </c>
      <c r="C1078" t="s">
        <v>323</v>
      </c>
      <c r="D1078" t="s">
        <v>50</v>
      </c>
      <c r="E1078" t="s">
        <v>51</v>
      </c>
      <c r="F1078" t="s">
        <v>21</v>
      </c>
      <c r="G1078" t="s">
        <v>35</v>
      </c>
      <c r="H1078">
        <v>3</v>
      </c>
      <c r="I1078">
        <v>2098</v>
      </c>
      <c r="J1078">
        <v>0.2</v>
      </c>
      <c r="K1078">
        <v>5035.2</v>
      </c>
      <c r="L1078">
        <v>1115.68</v>
      </c>
    </row>
    <row r="1079" spans="1:12" x14ac:dyDescent="0.3">
      <c r="A1079" t="s">
        <v>1317</v>
      </c>
      <c r="B1079" s="3">
        <v>45711</v>
      </c>
      <c r="C1079" t="s">
        <v>555</v>
      </c>
      <c r="D1079" t="s">
        <v>80</v>
      </c>
      <c r="E1079" t="s">
        <v>51</v>
      </c>
      <c r="F1079" t="s">
        <v>27</v>
      </c>
      <c r="G1079" t="s">
        <v>31</v>
      </c>
      <c r="H1079">
        <v>3</v>
      </c>
      <c r="I1079">
        <v>54220</v>
      </c>
      <c r="J1079">
        <v>0.05</v>
      </c>
      <c r="K1079">
        <v>154527</v>
      </c>
      <c r="L1079">
        <v>18848.98</v>
      </c>
    </row>
    <row r="1080" spans="1:12" x14ac:dyDescent="0.3">
      <c r="A1080" t="s">
        <v>1318</v>
      </c>
      <c r="B1080" s="3">
        <v>46005</v>
      </c>
      <c r="C1080" t="s">
        <v>246</v>
      </c>
      <c r="D1080" t="s">
        <v>307</v>
      </c>
      <c r="E1080" t="s">
        <v>73</v>
      </c>
      <c r="F1080" t="s">
        <v>58</v>
      </c>
      <c r="G1080" t="s">
        <v>69</v>
      </c>
      <c r="H1080">
        <v>1</v>
      </c>
      <c r="I1080">
        <v>172</v>
      </c>
      <c r="J1080">
        <v>0.1</v>
      </c>
      <c r="K1080">
        <v>154.80000000000001</v>
      </c>
      <c r="L1080">
        <v>14.55</v>
      </c>
    </row>
    <row r="1081" spans="1:12" x14ac:dyDescent="0.3">
      <c r="A1081" t="s">
        <v>1319</v>
      </c>
      <c r="B1081" s="3">
        <v>45870</v>
      </c>
      <c r="C1081" t="s">
        <v>180</v>
      </c>
      <c r="D1081" t="s">
        <v>80</v>
      </c>
      <c r="E1081" t="s">
        <v>51</v>
      </c>
      <c r="F1081" t="s">
        <v>58</v>
      </c>
      <c r="G1081" t="s">
        <v>59</v>
      </c>
      <c r="H1081">
        <v>3</v>
      </c>
      <c r="I1081">
        <v>64618</v>
      </c>
      <c r="J1081">
        <v>0</v>
      </c>
      <c r="K1081">
        <v>193854</v>
      </c>
      <c r="L1081">
        <v>36260.5</v>
      </c>
    </row>
    <row r="1082" spans="1:12" x14ac:dyDescent="0.3">
      <c r="A1082" t="s">
        <v>1320</v>
      </c>
      <c r="B1082" s="3">
        <v>45831</v>
      </c>
      <c r="C1082" t="s">
        <v>448</v>
      </c>
      <c r="D1082" t="s">
        <v>92</v>
      </c>
      <c r="E1082" t="s">
        <v>51</v>
      </c>
      <c r="F1082" t="s">
        <v>58</v>
      </c>
      <c r="G1082" t="s">
        <v>126</v>
      </c>
      <c r="H1082">
        <v>3</v>
      </c>
      <c r="I1082">
        <v>14424</v>
      </c>
      <c r="J1082">
        <v>0</v>
      </c>
      <c r="K1082">
        <v>43272</v>
      </c>
      <c r="L1082">
        <v>10886.28</v>
      </c>
    </row>
    <row r="1083" spans="1:12" x14ac:dyDescent="0.3">
      <c r="A1083" t="s">
        <v>1321</v>
      </c>
      <c r="B1083" s="3">
        <v>45936</v>
      </c>
      <c r="C1083" t="s">
        <v>1262</v>
      </c>
      <c r="D1083" t="s">
        <v>103</v>
      </c>
      <c r="E1083" t="s">
        <v>51</v>
      </c>
      <c r="F1083" t="s">
        <v>16</v>
      </c>
      <c r="G1083" t="s">
        <v>17</v>
      </c>
      <c r="H1083">
        <v>2</v>
      </c>
      <c r="I1083">
        <v>6911</v>
      </c>
      <c r="J1083">
        <v>0</v>
      </c>
      <c r="K1083">
        <v>13822</v>
      </c>
      <c r="L1083">
        <v>2952.88</v>
      </c>
    </row>
    <row r="1084" spans="1:12" x14ac:dyDescent="0.3">
      <c r="A1084" t="s">
        <v>1322</v>
      </c>
      <c r="B1084" s="3">
        <v>45881</v>
      </c>
      <c r="C1084" t="s">
        <v>240</v>
      </c>
      <c r="D1084" t="s">
        <v>43</v>
      </c>
      <c r="E1084" t="s">
        <v>44</v>
      </c>
      <c r="F1084" t="s">
        <v>27</v>
      </c>
      <c r="G1084" t="s">
        <v>40</v>
      </c>
      <c r="H1084">
        <v>1</v>
      </c>
      <c r="I1084">
        <v>688</v>
      </c>
      <c r="J1084">
        <v>0</v>
      </c>
      <c r="K1084">
        <v>688</v>
      </c>
      <c r="L1084">
        <v>123.89</v>
      </c>
    </row>
    <row r="1085" spans="1:12" x14ac:dyDescent="0.3">
      <c r="A1085" t="s">
        <v>1323</v>
      </c>
      <c r="B1085" s="3">
        <v>46021</v>
      </c>
      <c r="C1085" t="s">
        <v>159</v>
      </c>
      <c r="D1085" t="s">
        <v>103</v>
      </c>
      <c r="E1085" t="s">
        <v>51</v>
      </c>
      <c r="F1085" t="s">
        <v>16</v>
      </c>
      <c r="G1085" t="s">
        <v>104</v>
      </c>
      <c r="H1085">
        <v>1</v>
      </c>
      <c r="I1085">
        <v>5507</v>
      </c>
      <c r="J1085">
        <v>0.15</v>
      </c>
      <c r="K1085">
        <v>4680.95</v>
      </c>
      <c r="L1085">
        <v>638.48</v>
      </c>
    </row>
    <row r="1086" spans="1:12" x14ac:dyDescent="0.3">
      <c r="A1086" t="s">
        <v>1324</v>
      </c>
      <c r="B1086" s="3">
        <v>45856</v>
      </c>
      <c r="C1086" t="s">
        <v>358</v>
      </c>
      <c r="D1086" t="s">
        <v>72</v>
      </c>
      <c r="E1086" t="s">
        <v>73</v>
      </c>
      <c r="F1086" t="s">
        <v>27</v>
      </c>
      <c r="G1086" t="s">
        <v>28</v>
      </c>
      <c r="H1086">
        <v>1</v>
      </c>
      <c r="I1086">
        <v>1053</v>
      </c>
      <c r="J1086">
        <v>0.05</v>
      </c>
      <c r="K1086">
        <v>1000.35</v>
      </c>
      <c r="L1086">
        <v>211</v>
      </c>
    </row>
    <row r="1087" spans="1:12" x14ac:dyDescent="0.3">
      <c r="A1087" t="s">
        <v>1325</v>
      </c>
      <c r="B1087" s="3">
        <v>45681</v>
      </c>
      <c r="C1087" t="s">
        <v>363</v>
      </c>
      <c r="D1087" t="s">
        <v>120</v>
      </c>
      <c r="E1087" t="s">
        <v>51</v>
      </c>
      <c r="F1087" t="s">
        <v>16</v>
      </c>
      <c r="G1087" t="s">
        <v>17</v>
      </c>
      <c r="H1087">
        <v>5</v>
      </c>
      <c r="I1087">
        <v>629</v>
      </c>
      <c r="J1087">
        <v>0</v>
      </c>
      <c r="K1087">
        <v>3145</v>
      </c>
      <c r="L1087">
        <v>804.2</v>
      </c>
    </row>
    <row r="1088" spans="1:12" x14ac:dyDescent="0.3">
      <c r="A1088" t="s">
        <v>1326</v>
      </c>
      <c r="B1088" s="3">
        <v>45855</v>
      </c>
      <c r="C1088" t="s">
        <v>551</v>
      </c>
      <c r="D1088" t="s">
        <v>20</v>
      </c>
      <c r="E1088" t="s">
        <v>15</v>
      </c>
      <c r="F1088" t="s">
        <v>58</v>
      </c>
      <c r="G1088" t="s">
        <v>126</v>
      </c>
      <c r="H1088">
        <v>3</v>
      </c>
      <c r="I1088">
        <v>11418</v>
      </c>
      <c r="J1088">
        <v>0</v>
      </c>
      <c r="K1088">
        <v>34254</v>
      </c>
      <c r="L1088">
        <v>7230.44</v>
      </c>
    </row>
    <row r="1089" spans="1:12" x14ac:dyDescent="0.3">
      <c r="A1089" t="s">
        <v>1327</v>
      </c>
      <c r="B1089" s="3">
        <v>45990</v>
      </c>
      <c r="C1089" t="s">
        <v>458</v>
      </c>
      <c r="D1089" t="s">
        <v>153</v>
      </c>
      <c r="E1089" t="s">
        <v>26</v>
      </c>
      <c r="F1089" t="s">
        <v>58</v>
      </c>
      <c r="G1089" t="s">
        <v>59</v>
      </c>
      <c r="H1089">
        <v>2</v>
      </c>
      <c r="I1089">
        <v>9401</v>
      </c>
      <c r="J1089">
        <v>0</v>
      </c>
      <c r="K1089">
        <v>18802</v>
      </c>
      <c r="L1089">
        <v>3660.75</v>
      </c>
    </row>
    <row r="1090" spans="1:12" x14ac:dyDescent="0.3">
      <c r="A1090" t="s">
        <v>1328</v>
      </c>
      <c r="B1090" s="3">
        <v>45757</v>
      </c>
      <c r="C1090" t="s">
        <v>415</v>
      </c>
      <c r="D1090" t="s">
        <v>47</v>
      </c>
      <c r="E1090" t="s">
        <v>26</v>
      </c>
      <c r="F1090" t="s">
        <v>58</v>
      </c>
      <c r="G1090" t="s">
        <v>69</v>
      </c>
      <c r="H1090">
        <v>3</v>
      </c>
      <c r="I1090">
        <v>20997</v>
      </c>
      <c r="J1090">
        <v>0.1</v>
      </c>
      <c r="K1090">
        <v>56691.9</v>
      </c>
      <c r="L1090">
        <v>9513.23</v>
      </c>
    </row>
    <row r="1091" spans="1:12" x14ac:dyDescent="0.3">
      <c r="A1091" t="s">
        <v>1329</v>
      </c>
      <c r="B1091" s="3">
        <v>45840</v>
      </c>
      <c r="C1091" t="s">
        <v>246</v>
      </c>
      <c r="D1091" t="s">
        <v>80</v>
      </c>
      <c r="E1091" t="s">
        <v>51</v>
      </c>
      <c r="F1091" t="s">
        <v>27</v>
      </c>
      <c r="G1091" t="s">
        <v>28</v>
      </c>
      <c r="H1091">
        <v>1</v>
      </c>
      <c r="I1091">
        <v>81811</v>
      </c>
      <c r="J1091">
        <v>0.05</v>
      </c>
      <c r="K1091">
        <v>77720.45</v>
      </c>
      <c r="L1091">
        <v>21677.15</v>
      </c>
    </row>
    <row r="1092" spans="1:12" x14ac:dyDescent="0.3">
      <c r="A1092" t="s">
        <v>1330</v>
      </c>
      <c r="B1092" s="3">
        <v>45751</v>
      </c>
      <c r="C1092" t="s">
        <v>185</v>
      </c>
      <c r="D1092" t="s">
        <v>120</v>
      </c>
      <c r="E1092" t="s">
        <v>51</v>
      </c>
      <c r="F1092" t="s">
        <v>27</v>
      </c>
      <c r="G1092" t="s">
        <v>28</v>
      </c>
      <c r="H1092">
        <v>2</v>
      </c>
      <c r="I1092">
        <v>1871</v>
      </c>
      <c r="J1092">
        <v>0.15</v>
      </c>
      <c r="K1092">
        <v>3180.7</v>
      </c>
      <c r="L1092">
        <v>646.08000000000004</v>
      </c>
    </row>
    <row r="1093" spans="1:12" x14ac:dyDescent="0.3">
      <c r="A1093" t="s">
        <v>1331</v>
      </c>
      <c r="B1093" s="3">
        <v>45685</v>
      </c>
      <c r="C1093" t="s">
        <v>305</v>
      </c>
      <c r="D1093" t="s">
        <v>83</v>
      </c>
      <c r="E1093" t="s">
        <v>73</v>
      </c>
      <c r="F1093" t="s">
        <v>16</v>
      </c>
      <c r="G1093" t="s">
        <v>17</v>
      </c>
      <c r="H1093">
        <v>2</v>
      </c>
      <c r="I1093">
        <v>478</v>
      </c>
      <c r="J1093">
        <v>0.2</v>
      </c>
      <c r="K1093">
        <v>764.8</v>
      </c>
      <c r="L1093">
        <v>81.680000000000007</v>
      </c>
    </row>
    <row r="1094" spans="1:12" x14ac:dyDescent="0.3">
      <c r="A1094" t="s">
        <v>1332</v>
      </c>
      <c r="B1094" s="3">
        <v>45860</v>
      </c>
      <c r="C1094" t="s">
        <v>77</v>
      </c>
      <c r="D1094" t="s">
        <v>50</v>
      </c>
      <c r="E1094" t="s">
        <v>51</v>
      </c>
      <c r="F1094" t="s">
        <v>27</v>
      </c>
      <c r="G1094" t="s">
        <v>31</v>
      </c>
      <c r="H1094">
        <v>1</v>
      </c>
      <c r="I1094">
        <v>1699</v>
      </c>
      <c r="J1094">
        <v>0.05</v>
      </c>
      <c r="K1094">
        <v>1614.05</v>
      </c>
      <c r="L1094">
        <v>198.3</v>
      </c>
    </row>
    <row r="1095" spans="1:12" x14ac:dyDescent="0.3">
      <c r="A1095" t="s">
        <v>1333</v>
      </c>
      <c r="B1095" s="3">
        <v>45992</v>
      </c>
      <c r="C1095" t="s">
        <v>440</v>
      </c>
      <c r="D1095" t="s">
        <v>97</v>
      </c>
      <c r="E1095" t="s">
        <v>44</v>
      </c>
      <c r="F1095" t="s">
        <v>58</v>
      </c>
      <c r="G1095" t="s">
        <v>126</v>
      </c>
      <c r="H1095">
        <v>3</v>
      </c>
      <c r="I1095">
        <v>905</v>
      </c>
      <c r="J1095">
        <v>0.15</v>
      </c>
      <c r="K1095">
        <v>2307.75</v>
      </c>
      <c r="L1095">
        <v>506.84</v>
      </c>
    </row>
    <row r="1096" spans="1:12" x14ac:dyDescent="0.3">
      <c r="A1096" t="s">
        <v>1334</v>
      </c>
      <c r="B1096" s="3">
        <v>45752</v>
      </c>
      <c r="C1096" t="s">
        <v>468</v>
      </c>
      <c r="D1096" t="s">
        <v>20</v>
      </c>
      <c r="E1096" t="s">
        <v>15</v>
      </c>
      <c r="F1096" t="s">
        <v>21</v>
      </c>
      <c r="G1096" t="s">
        <v>55</v>
      </c>
      <c r="H1096">
        <v>3</v>
      </c>
      <c r="I1096">
        <v>8280</v>
      </c>
      <c r="J1096">
        <v>0.1</v>
      </c>
      <c r="K1096">
        <v>22356</v>
      </c>
      <c r="L1096">
        <v>4036.79</v>
      </c>
    </row>
    <row r="1097" spans="1:12" x14ac:dyDescent="0.3">
      <c r="A1097" t="s">
        <v>1335</v>
      </c>
      <c r="B1097" s="3">
        <v>45798</v>
      </c>
      <c r="C1097" t="s">
        <v>468</v>
      </c>
      <c r="D1097" t="s">
        <v>97</v>
      </c>
      <c r="E1097" t="s">
        <v>44</v>
      </c>
      <c r="F1097" t="s">
        <v>16</v>
      </c>
      <c r="G1097" t="s">
        <v>52</v>
      </c>
      <c r="H1097">
        <v>1</v>
      </c>
      <c r="I1097">
        <v>269</v>
      </c>
      <c r="J1097">
        <v>0.05</v>
      </c>
      <c r="K1097">
        <v>255.55</v>
      </c>
      <c r="L1097">
        <v>47.61</v>
      </c>
    </row>
    <row r="1098" spans="1:12" x14ac:dyDescent="0.3">
      <c r="A1098" t="s">
        <v>1336</v>
      </c>
      <c r="B1098" s="3">
        <v>45939</v>
      </c>
      <c r="C1098" t="s">
        <v>67</v>
      </c>
      <c r="D1098" t="s">
        <v>65</v>
      </c>
      <c r="E1098" t="s">
        <v>26</v>
      </c>
      <c r="F1098" t="s">
        <v>21</v>
      </c>
      <c r="G1098" t="s">
        <v>35</v>
      </c>
      <c r="H1098">
        <v>2</v>
      </c>
      <c r="I1098">
        <v>1846</v>
      </c>
      <c r="J1098">
        <v>0</v>
      </c>
      <c r="K1098">
        <v>3692</v>
      </c>
      <c r="L1098">
        <v>889.78</v>
      </c>
    </row>
    <row r="1099" spans="1:12" x14ac:dyDescent="0.3">
      <c r="A1099" t="s">
        <v>1337</v>
      </c>
      <c r="B1099" s="3">
        <v>45925</v>
      </c>
      <c r="C1099" t="s">
        <v>282</v>
      </c>
      <c r="D1099" t="s">
        <v>80</v>
      </c>
      <c r="E1099" t="s">
        <v>51</v>
      </c>
      <c r="F1099" t="s">
        <v>58</v>
      </c>
      <c r="G1099" t="s">
        <v>126</v>
      </c>
      <c r="H1099">
        <v>2</v>
      </c>
      <c r="I1099">
        <v>67834</v>
      </c>
      <c r="J1099">
        <v>0.1</v>
      </c>
      <c r="K1099">
        <v>122101.2</v>
      </c>
      <c r="L1099">
        <v>10701.02</v>
      </c>
    </row>
    <row r="1100" spans="1:12" x14ac:dyDescent="0.3">
      <c r="A1100" t="s">
        <v>1338</v>
      </c>
      <c r="B1100" s="3">
        <v>45907</v>
      </c>
      <c r="C1100" t="s">
        <v>206</v>
      </c>
      <c r="D1100" t="s">
        <v>47</v>
      </c>
      <c r="E1100" t="s">
        <v>26</v>
      </c>
      <c r="F1100" t="s">
        <v>27</v>
      </c>
      <c r="G1100" t="s">
        <v>31</v>
      </c>
      <c r="H1100">
        <v>2</v>
      </c>
      <c r="I1100">
        <v>9463</v>
      </c>
      <c r="J1100">
        <v>0</v>
      </c>
      <c r="K1100">
        <v>18926</v>
      </c>
      <c r="L1100">
        <v>5223.7700000000004</v>
      </c>
    </row>
    <row r="1101" spans="1:12" x14ac:dyDescent="0.3">
      <c r="A1101" t="s">
        <v>1339</v>
      </c>
      <c r="B1101" s="3">
        <v>45720</v>
      </c>
      <c r="C1101" t="s">
        <v>403</v>
      </c>
      <c r="D1101" t="s">
        <v>30</v>
      </c>
      <c r="E1101" t="s">
        <v>15</v>
      </c>
      <c r="F1101" t="s">
        <v>27</v>
      </c>
      <c r="G1101" t="s">
        <v>40</v>
      </c>
      <c r="H1101">
        <v>1</v>
      </c>
      <c r="I1101">
        <v>5902</v>
      </c>
      <c r="J1101">
        <v>0.15</v>
      </c>
      <c r="K1101">
        <v>5016.7</v>
      </c>
      <c r="L1101">
        <v>464.44</v>
      </c>
    </row>
    <row r="1102" spans="1:12" x14ac:dyDescent="0.3">
      <c r="A1102" t="s">
        <v>1340</v>
      </c>
      <c r="B1102" s="3">
        <v>45885</v>
      </c>
      <c r="C1102" t="s">
        <v>238</v>
      </c>
      <c r="D1102" t="s">
        <v>34</v>
      </c>
      <c r="E1102" t="s">
        <v>15</v>
      </c>
      <c r="F1102" t="s">
        <v>21</v>
      </c>
      <c r="G1102" t="s">
        <v>22</v>
      </c>
      <c r="H1102">
        <v>1</v>
      </c>
      <c r="I1102">
        <v>22544</v>
      </c>
      <c r="J1102">
        <v>0.2</v>
      </c>
      <c r="K1102">
        <v>18035.2</v>
      </c>
      <c r="L1102">
        <v>2537.38</v>
      </c>
    </row>
    <row r="1103" spans="1:12" x14ac:dyDescent="0.3">
      <c r="A1103" t="s">
        <v>1341</v>
      </c>
      <c r="B1103" s="3">
        <v>45741</v>
      </c>
      <c r="C1103" t="s">
        <v>551</v>
      </c>
      <c r="D1103" t="s">
        <v>88</v>
      </c>
      <c r="E1103" t="s">
        <v>73</v>
      </c>
      <c r="F1103" t="s">
        <v>58</v>
      </c>
      <c r="G1103" t="s">
        <v>69</v>
      </c>
      <c r="H1103">
        <v>1</v>
      </c>
      <c r="I1103">
        <v>299</v>
      </c>
      <c r="J1103">
        <v>0</v>
      </c>
      <c r="K1103">
        <v>299</v>
      </c>
      <c r="L1103">
        <v>69.48</v>
      </c>
    </row>
    <row r="1104" spans="1:12" x14ac:dyDescent="0.3">
      <c r="A1104" t="s">
        <v>1342</v>
      </c>
      <c r="B1104" s="3">
        <v>45743</v>
      </c>
      <c r="C1104" t="s">
        <v>805</v>
      </c>
      <c r="D1104" t="s">
        <v>20</v>
      </c>
      <c r="E1104" t="s">
        <v>15</v>
      </c>
      <c r="F1104" t="s">
        <v>27</v>
      </c>
      <c r="G1104" t="s">
        <v>40</v>
      </c>
      <c r="H1104">
        <v>3</v>
      </c>
      <c r="I1104">
        <v>11701</v>
      </c>
      <c r="J1104">
        <v>0.15</v>
      </c>
      <c r="K1104">
        <v>29837.55</v>
      </c>
      <c r="L1104">
        <v>3965.99</v>
      </c>
    </row>
    <row r="1105" spans="1:12" x14ac:dyDescent="0.3">
      <c r="A1105" t="s">
        <v>1343</v>
      </c>
      <c r="B1105" s="3">
        <v>45746</v>
      </c>
      <c r="C1105" t="s">
        <v>187</v>
      </c>
      <c r="D1105" t="s">
        <v>34</v>
      </c>
      <c r="E1105" t="s">
        <v>15</v>
      </c>
      <c r="F1105" t="s">
        <v>58</v>
      </c>
      <c r="G1105" t="s">
        <v>126</v>
      </c>
      <c r="H1105">
        <v>2</v>
      </c>
      <c r="I1105">
        <v>17654</v>
      </c>
      <c r="J1105">
        <v>0.15</v>
      </c>
      <c r="K1105">
        <v>30011.8</v>
      </c>
      <c r="L1105">
        <v>5830.33</v>
      </c>
    </row>
    <row r="1106" spans="1:12" x14ac:dyDescent="0.3">
      <c r="A1106" t="s">
        <v>1344</v>
      </c>
      <c r="B1106" s="3">
        <v>45978</v>
      </c>
      <c r="C1106" t="s">
        <v>485</v>
      </c>
      <c r="D1106" t="s">
        <v>65</v>
      </c>
      <c r="E1106" t="s">
        <v>26</v>
      </c>
      <c r="F1106" t="s">
        <v>58</v>
      </c>
      <c r="G1106" t="s">
        <v>59</v>
      </c>
      <c r="H1106">
        <v>1</v>
      </c>
      <c r="I1106">
        <v>2076</v>
      </c>
      <c r="J1106">
        <v>0</v>
      </c>
      <c r="K1106">
        <v>2076</v>
      </c>
      <c r="L1106">
        <v>454.16</v>
      </c>
    </row>
    <row r="1107" spans="1:12" x14ac:dyDescent="0.3">
      <c r="A1107" t="s">
        <v>1345</v>
      </c>
      <c r="B1107" s="3">
        <v>45858</v>
      </c>
      <c r="C1107" t="s">
        <v>106</v>
      </c>
      <c r="D1107" t="s">
        <v>65</v>
      </c>
      <c r="E1107" t="s">
        <v>26</v>
      </c>
      <c r="F1107" t="s">
        <v>58</v>
      </c>
      <c r="G1107" t="s">
        <v>59</v>
      </c>
      <c r="H1107">
        <v>2</v>
      </c>
      <c r="I1107">
        <v>3304</v>
      </c>
      <c r="J1107">
        <v>0.1</v>
      </c>
      <c r="K1107">
        <v>5947.2</v>
      </c>
      <c r="L1107">
        <v>489.32</v>
      </c>
    </row>
    <row r="1108" spans="1:12" x14ac:dyDescent="0.3">
      <c r="A1108" t="s">
        <v>1346</v>
      </c>
      <c r="B1108" s="3">
        <v>45930</v>
      </c>
      <c r="C1108" t="s">
        <v>456</v>
      </c>
      <c r="D1108" t="s">
        <v>88</v>
      </c>
      <c r="E1108" t="s">
        <v>73</v>
      </c>
      <c r="F1108" t="s">
        <v>21</v>
      </c>
      <c r="G1108" t="s">
        <v>55</v>
      </c>
      <c r="H1108">
        <v>2</v>
      </c>
      <c r="I1108">
        <v>421</v>
      </c>
      <c r="J1108">
        <v>0.1</v>
      </c>
      <c r="K1108">
        <v>757.8</v>
      </c>
      <c r="L1108">
        <v>145.31</v>
      </c>
    </row>
    <row r="1109" spans="1:12" x14ac:dyDescent="0.3">
      <c r="A1109" t="s">
        <v>1347</v>
      </c>
      <c r="B1109" s="3">
        <v>45766</v>
      </c>
      <c r="C1109" t="s">
        <v>597</v>
      </c>
      <c r="D1109" t="s">
        <v>20</v>
      </c>
      <c r="E1109" t="s">
        <v>15</v>
      </c>
      <c r="F1109" t="s">
        <v>58</v>
      </c>
      <c r="G1109" t="s">
        <v>126</v>
      </c>
      <c r="H1109">
        <v>5</v>
      </c>
      <c r="I1109">
        <v>6187</v>
      </c>
      <c r="J1109">
        <v>0.2</v>
      </c>
      <c r="K1109">
        <v>24748</v>
      </c>
      <c r="L1109">
        <v>6501.69</v>
      </c>
    </row>
    <row r="1110" spans="1:12" x14ac:dyDescent="0.3">
      <c r="A1110" t="s">
        <v>1348</v>
      </c>
      <c r="B1110" s="3">
        <v>45691</v>
      </c>
      <c r="C1110" t="s">
        <v>368</v>
      </c>
      <c r="D1110" t="s">
        <v>80</v>
      </c>
      <c r="E1110" t="s">
        <v>51</v>
      </c>
      <c r="F1110" t="s">
        <v>58</v>
      </c>
      <c r="G1110" t="s">
        <v>59</v>
      </c>
      <c r="H1110">
        <v>2</v>
      </c>
      <c r="I1110">
        <v>66285</v>
      </c>
      <c r="J1110">
        <v>0.05</v>
      </c>
      <c r="K1110">
        <v>125941.5</v>
      </c>
      <c r="L1110">
        <v>14145.7</v>
      </c>
    </row>
    <row r="1111" spans="1:12" x14ac:dyDescent="0.3">
      <c r="A1111" t="s">
        <v>1349</v>
      </c>
      <c r="B1111" s="3">
        <v>45802</v>
      </c>
      <c r="C1111" t="s">
        <v>180</v>
      </c>
      <c r="D1111" t="s">
        <v>25</v>
      </c>
      <c r="E1111" t="s">
        <v>26</v>
      </c>
      <c r="F1111" t="s">
        <v>21</v>
      </c>
      <c r="G1111" t="s">
        <v>55</v>
      </c>
      <c r="H1111">
        <v>1</v>
      </c>
      <c r="I1111">
        <v>6627</v>
      </c>
      <c r="J1111">
        <v>0.05</v>
      </c>
      <c r="K1111">
        <v>6295.65</v>
      </c>
      <c r="L1111">
        <v>597.14</v>
      </c>
    </row>
    <row r="1112" spans="1:12" x14ac:dyDescent="0.3">
      <c r="A1112" t="s">
        <v>1350</v>
      </c>
      <c r="B1112" s="3">
        <v>45795</v>
      </c>
      <c r="C1112" t="s">
        <v>371</v>
      </c>
      <c r="D1112" t="s">
        <v>307</v>
      </c>
      <c r="E1112" t="s">
        <v>73</v>
      </c>
      <c r="F1112" t="s">
        <v>16</v>
      </c>
      <c r="G1112" t="s">
        <v>17</v>
      </c>
      <c r="H1112">
        <v>1</v>
      </c>
      <c r="I1112">
        <v>402</v>
      </c>
      <c r="J1112">
        <v>0.1</v>
      </c>
      <c r="K1112">
        <v>361.8</v>
      </c>
      <c r="L1112">
        <v>51.06</v>
      </c>
    </row>
    <row r="1113" spans="1:12" x14ac:dyDescent="0.3">
      <c r="A1113" t="s">
        <v>1351</v>
      </c>
      <c r="B1113" s="3">
        <v>45719</v>
      </c>
      <c r="C1113" t="s">
        <v>143</v>
      </c>
      <c r="D1113" t="s">
        <v>68</v>
      </c>
      <c r="E1113" t="s">
        <v>44</v>
      </c>
      <c r="F1113" t="s">
        <v>21</v>
      </c>
      <c r="G1113" t="s">
        <v>55</v>
      </c>
      <c r="H1113">
        <v>5</v>
      </c>
      <c r="I1113">
        <v>4438</v>
      </c>
      <c r="J1113">
        <v>0.05</v>
      </c>
      <c r="K1113">
        <v>21080.5</v>
      </c>
      <c r="L1113">
        <v>4680.76</v>
      </c>
    </row>
    <row r="1114" spans="1:12" x14ac:dyDescent="0.3">
      <c r="A1114" t="s">
        <v>1352</v>
      </c>
      <c r="B1114" s="3">
        <v>45963</v>
      </c>
      <c r="C1114" t="s">
        <v>900</v>
      </c>
      <c r="D1114" t="s">
        <v>43</v>
      </c>
      <c r="E1114" t="s">
        <v>44</v>
      </c>
      <c r="F1114" t="s">
        <v>27</v>
      </c>
      <c r="G1114" t="s">
        <v>28</v>
      </c>
      <c r="H1114">
        <v>1</v>
      </c>
      <c r="I1114">
        <v>1315</v>
      </c>
      <c r="J1114">
        <v>0.15</v>
      </c>
      <c r="K1114">
        <v>1117.75</v>
      </c>
      <c r="L1114">
        <v>136.75</v>
      </c>
    </row>
    <row r="1115" spans="1:12" x14ac:dyDescent="0.3">
      <c r="A1115" t="s">
        <v>1353</v>
      </c>
      <c r="B1115" s="3">
        <v>45829</v>
      </c>
      <c r="C1115" t="s">
        <v>448</v>
      </c>
      <c r="D1115" t="s">
        <v>34</v>
      </c>
      <c r="E1115" t="s">
        <v>15</v>
      </c>
      <c r="F1115" t="s">
        <v>27</v>
      </c>
      <c r="G1115" t="s">
        <v>40</v>
      </c>
      <c r="H1115">
        <v>2</v>
      </c>
      <c r="I1115">
        <v>15817</v>
      </c>
      <c r="J1115">
        <v>0.1</v>
      </c>
      <c r="K1115">
        <v>28470.6</v>
      </c>
      <c r="L1115">
        <v>4739.53</v>
      </c>
    </row>
    <row r="1116" spans="1:12" x14ac:dyDescent="0.3">
      <c r="A1116" t="s">
        <v>1354</v>
      </c>
      <c r="B1116" s="3">
        <v>46020</v>
      </c>
      <c r="C1116" t="s">
        <v>705</v>
      </c>
      <c r="D1116" t="s">
        <v>25</v>
      </c>
      <c r="E1116" t="s">
        <v>26</v>
      </c>
      <c r="F1116" t="s">
        <v>21</v>
      </c>
      <c r="G1116" t="s">
        <v>22</v>
      </c>
      <c r="H1116">
        <v>1</v>
      </c>
      <c r="I1116">
        <v>9780</v>
      </c>
      <c r="J1116">
        <v>0.1</v>
      </c>
      <c r="K1116">
        <v>8802</v>
      </c>
      <c r="L1116">
        <v>2377.59</v>
      </c>
    </row>
    <row r="1117" spans="1:12" x14ac:dyDescent="0.3">
      <c r="A1117" t="s">
        <v>1355</v>
      </c>
      <c r="B1117" s="3">
        <v>45744</v>
      </c>
      <c r="C1117" t="s">
        <v>156</v>
      </c>
      <c r="D1117" t="s">
        <v>202</v>
      </c>
      <c r="E1117" t="s">
        <v>44</v>
      </c>
      <c r="F1117" t="s">
        <v>27</v>
      </c>
      <c r="G1117" t="s">
        <v>40</v>
      </c>
      <c r="H1117">
        <v>2</v>
      </c>
      <c r="I1117">
        <v>3355</v>
      </c>
      <c r="J1117">
        <v>0.15</v>
      </c>
      <c r="K1117">
        <v>5703.5</v>
      </c>
      <c r="L1117">
        <v>1302.49</v>
      </c>
    </row>
    <row r="1118" spans="1:12" x14ac:dyDescent="0.3">
      <c r="A1118" t="s">
        <v>1356</v>
      </c>
      <c r="B1118" s="3">
        <v>45798</v>
      </c>
      <c r="C1118" t="s">
        <v>220</v>
      </c>
      <c r="D1118" t="s">
        <v>153</v>
      </c>
      <c r="E1118" t="s">
        <v>26</v>
      </c>
      <c r="F1118" t="s">
        <v>27</v>
      </c>
      <c r="G1118" t="s">
        <v>40</v>
      </c>
      <c r="H1118">
        <v>4</v>
      </c>
      <c r="I1118">
        <v>5235</v>
      </c>
      <c r="J1118">
        <v>0.15</v>
      </c>
      <c r="K1118">
        <v>17799</v>
      </c>
      <c r="L1118">
        <v>2371.66</v>
      </c>
    </row>
    <row r="1119" spans="1:12" x14ac:dyDescent="0.3">
      <c r="A1119" t="s">
        <v>1357</v>
      </c>
      <c r="B1119" s="3">
        <v>45947</v>
      </c>
      <c r="C1119" t="s">
        <v>535</v>
      </c>
      <c r="D1119" t="s">
        <v>34</v>
      </c>
      <c r="E1119" t="s">
        <v>15</v>
      </c>
      <c r="F1119" t="s">
        <v>16</v>
      </c>
      <c r="G1119" t="s">
        <v>17</v>
      </c>
      <c r="H1119">
        <v>3</v>
      </c>
      <c r="I1119">
        <v>20739</v>
      </c>
      <c r="J1119">
        <v>0.15</v>
      </c>
      <c r="K1119">
        <v>52884.45</v>
      </c>
      <c r="L1119">
        <v>6393.78</v>
      </c>
    </row>
    <row r="1120" spans="1:12" x14ac:dyDescent="0.3">
      <c r="A1120" t="s">
        <v>1358</v>
      </c>
      <c r="B1120" s="3">
        <v>45850</v>
      </c>
      <c r="C1120" t="s">
        <v>595</v>
      </c>
      <c r="D1120" t="s">
        <v>83</v>
      </c>
      <c r="E1120" t="s">
        <v>73</v>
      </c>
      <c r="F1120" t="s">
        <v>27</v>
      </c>
      <c r="G1120" t="s">
        <v>31</v>
      </c>
      <c r="H1120">
        <v>2</v>
      </c>
      <c r="I1120">
        <v>727</v>
      </c>
      <c r="J1120">
        <v>0.1</v>
      </c>
      <c r="K1120">
        <v>1308.5999999999999</v>
      </c>
      <c r="L1120">
        <v>328.2</v>
      </c>
    </row>
    <row r="1121" spans="1:12" x14ac:dyDescent="0.3">
      <c r="A1121" t="s">
        <v>1359</v>
      </c>
      <c r="B1121" s="3">
        <v>45967</v>
      </c>
      <c r="C1121" t="s">
        <v>231</v>
      </c>
      <c r="D1121" t="s">
        <v>120</v>
      </c>
      <c r="E1121" t="s">
        <v>51</v>
      </c>
      <c r="F1121" t="s">
        <v>27</v>
      </c>
      <c r="G1121" t="s">
        <v>28</v>
      </c>
      <c r="H1121">
        <v>2</v>
      </c>
      <c r="I1121">
        <v>1973</v>
      </c>
      <c r="J1121">
        <v>0</v>
      </c>
      <c r="K1121">
        <v>3946</v>
      </c>
      <c r="L1121">
        <v>671.68</v>
      </c>
    </row>
    <row r="1122" spans="1:12" x14ac:dyDescent="0.3">
      <c r="A1122" t="s">
        <v>1360</v>
      </c>
      <c r="B1122" s="3">
        <v>46008</v>
      </c>
      <c r="C1122" t="s">
        <v>82</v>
      </c>
      <c r="D1122" t="s">
        <v>120</v>
      </c>
      <c r="E1122" t="s">
        <v>51</v>
      </c>
      <c r="F1122" t="s">
        <v>27</v>
      </c>
      <c r="G1122" t="s">
        <v>40</v>
      </c>
      <c r="H1122">
        <v>1</v>
      </c>
      <c r="I1122">
        <v>1689</v>
      </c>
      <c r="J1122">
        <v>0</v>
      </c>
      <c r="K1122">
        <v>1689</v>
      </c>
      <c r="L1122">
        <v>233.52</v>
      </c>
    </row>
    <row r="1123" spans="1:12" x14ac:dyDescent="0.3">
      <c r="A1123" t="s">
        <v>1361</v>
      </c>
      <c r="B1123" s="3">
        <v>45766</v>
      </c>
      <c r="C1123" t="s">
        <v>897</v>
      </c>
      <c r="D1123" t="s">
        <v>307</v>
      </c>
      <c r="E1123" t="s">
        <v>73</v>
      </c>
      <c r="F1123" t="s">
        <v>58</v>
      </c>
      <c r="G1123" t="s">
        <v>126</v>
      </c>
      <c r="H1123">
        <v>1</v>
      </c>
      <c r="I1123">
        <v>341</v>
      </c>
      <c r="J1123">
        <v>0.15</v>
      </c>
      <c r="K1123">
        <v>289.85000000000002</v>
      </c>
      <c r="L1123">
        <v>37.04</v>
      </c>
    </row>
    <row r="1124" spans="1:12" x14ac:dyDescent="0.3">
      <c r="A1124" t="s">
        <v>1362</v>
      </c>
      <c r="B1124" s="3">
        <v>45957</v>
      </c>
      <c r="C1124" t="s">
        <v>77</v>
      </c>
      <c r="D1124" t="s">
        <v>20</v>
      </c>
      <c r="E1124" t="s">
        <v>15</v>
      </c>
      <c r="F1124" t="s">
        <v>21</v>
      </c>
      <c r="G1124" t="s">
        <v>55</v>
      </c>
      <c r="H1124">
        <v>5</v>
      </c>
      <c r="I1124">
        <v>15315</v>
      </c>
      <c r="J1124">
        <v>0.15</v>
      </c>
      <c r="K1124">
        <v>65088.75</v>
      </c>
      <c r="L1124">
        <v>16781.580000000002</v>
      </c>
    </row>
    <row r="1125" spans="1:12" x14ac:dyDescent="0.3">
      <c r="A1125" t="s">
        <v>1363</v>
      </c>
      <c r="B1125" s="3">
        <v>45862</v>
      </c>
      <c r="C1125" t="s">
        <v>234</v>
      </c>
      <c r="D1125" t="s">
        <v>43</v>
      </c>
      <c r="E1125" t="s">
        <v>44</v>
      </c>
      <c r="F1125" t="s">
        <v>58</v>
      </c>
      <c r="G1125" t="s">
        <v>69</v>
      </c>
      <c r="H1125">
        <v>3</v>
      </c>
      <c r="I1125">
        <v>1002</v>
      </c>
      <c r="J1125">
        <v>0.1</v>
      </c>
      <c r="K1125">
        <v>2705.4</v>
      </c>
      <c r="L1125">
        <v>724.57</v>
      </c>
    </row>
    <row r="1126" spans="1:12" x14ac:dyDescent="0.3">
      <c r="A1126" t="s">
        <v>1364</v>
      </c>
      <c r="B1126" s="3">
        <v>45965</v>
      </c>
      <c r="C1126" t="s">
        <v>555</v>
      </c>
      <c r="D1126" t="s">
        <v>65</v>
      </c>
      <c r="E1126" t="s">
        <v>26</v>
      </c>
      <c r="F1126" t="s">
        <v>16</v>
      </c>
      <c r="G1126" t="s">
        <v>104</v>
      </c>
      <c r="H1126">
        <v>1</v>
      </c>
      <c r="I1126">
        <v>3136</v>
      </c>
      <c r="J1126">
        <v>0.15</v>
      </c>
      <c r="K1126">
        <v>2665.6</v>
      </c>
      <c r="L1126">
        <v>466.52</v>
      </c>
    </row>
    <row r="1127" spans="1:12" x14ac:dyDescent="0.3">
      <c r="A1127" t="s">
        <v>1365</v>
      </c>
      <c r="B1127" s="3">
        <v>45907</v>
      </c>
      <c r="C1127" t="s">
        <v>39</v>
      </c>
      <c r="D1127" t="s">
        <v>25</v>
      </c>
      <c r="E1127" t="s">
        <v>26</v>
      </c>
      <c r="F1127" t="s">
        <v>21</v>
      </c>
      <c r="G1127" t="s">
        <v>55</v>
      </c>
      <c r="H1127">
        <v>2</v>
      </c>
      <c r="I1127">
        <v>6376</v>
      </c>
      <c r="J1127">
        <v>0</v>
      </c>
      <c r="K1127">
        <v>12752</v>
      </c>
      <c r="L1127">
        <v>2634.39</v>
      </c>
    </row>
    <row r="1128" spans="1:12" x14ac:dyDescent="0.3">
      <c r="A1128" t="s">
        <v>1366</v>
      </c>
      <c r="B1128" s="3">
        <v>45979</v>
      </c>
      <c r="C1128" t="s">
        <v>503</v>
      </c>
      <c r="D1128" t="s">
        <v>47</v>
      </c>
      <c r="E1128" t="s">
        <v>26</v>
      </c>
      <c r="F1128" t="s">
        <v>58</v>
      </c>
      <c r="G1128" t="s">
        <v>69</v>
      </c>
      <c r="H1128">
        <v>3</v>
      </c>
      <c r="I1128">
        <v>9780</v>
      </c>
      <c r="J1128">
        <v>0.1</v>
      </c>
      <c r="K1128">
        <v>26406</v>
      </c>
      <c r="L1128">
        <v>6434.17</v>
      </c>
    </row>
    <row r="1129" spans="1:12" x14ac:dyDescent="0.3">
      <c r="A1129" t="s">
        <v>1367</v>
      </c>
      <c r="B1129" s="3">
        <v>45704</v>
      </c>
      <c r="C1129" t="s">
        <v>705</v>
      </c>
      <c r="D1129" t="s">
        <v>50</v>
      </c>
      <c r="E1129" t="s">
        <v>51</v>
      </c>
      <c r="F1129" t="s">
        <v>58</v>
      </c>
      <c r="G1129" t="s">
        <v>69</v>
      </c>
      <c r="H1129">
        <v>2</v>
      </c>
      <c r="I1129">
        <v>2581</v>
      </c>
      <c r="J1129">
        <v>0.05</v>
      </c>
      <c r="K1129">
        <v>4903.8999999999996</v>
      </c>
      <c r="L1129">
        <v>1283.82</v>
      </c>
    </row>
    <row r="1130" spans="1:12" x14ac:dyDescent="0.3">
      <c r="A1130" t="s">
        <v>1368</v>
      </c>
      <c r="B1130" s="3">
        <v>45845</v>
      </c>
      <c r="C1130" t="s">
        <v>150</v>
      </c>
      <c r="D1130" t="s">
        <v>68</v>
      </c>
      <c r="E1130" t="s">
        <v>44</v>
      </c>
      <c r="F1130" t="s">
        <v>21</v>
      </c>
      <c r="G1130" t="s">
        <v>35</v>
      </c>
      <c r="H1130">
        <v>2</v>
      </c>
      <c r="I1130">
        <v>3517</v>
      </c>
      <c r="J1130">
        <v>0.1</v>
      </c>
      <c r="K1130">
        <v>6330.6</v>
      </c>
      <c r="L1130">
        <v>947.7</v>
      </c>
    </row>
    <row r="1131" spans="1:12" x14ac:dyDescent="0.3">
      <c r="A1131" t="s">
        <v>1369</v>
      </c>
      <c r="B1131" s="3">
        <v>45681</v>
      </c>
      <c r="C1131" t="s">
        <v>440</v>
      </c>
      <c r="D1131" t="s">
        <v>30</v>
      </c>
      <c r="E1131" t="s">
        <v>15</v>
      </c>
      <c r="F1131" t="s">
        <v>27</v>
      </c>
      <c r="G1131" t="s">
        <v>28</v>
      </c>
      <c r="H1131">
        <v>1</v>
      </c>
      <c r="I1131">
        <v>5223</v>
      </c>
      <c r="J1131">
        <v>0.05</v>
      </c>
      <c r="K1131">
        <v>4961.8500000000004</v>
      </c>
      <c r="L1131">
        <v>595.29999999999995</v>
      </c>
    </row>
    <row r="1132" spans="1:12" x14ac:dyDescent="0.3">
      <c r="A1132" t="s">
        <v>1370</v>
      </c>
      <c r="B1132" s="3">
        <v>45850</v>
      </c>
      <c r="C1132" t="s">
        <v>272</v>
      </c>
      <c r="D1132" t="s">
        <v>72</v>
      </c>
      <c r="E1132" t="s">
        <v>73</v>
      </c>
      <c r="F1132" t="s">
        <v>58</v>
      </c>
      <c r="G1132" t="s">
        <v>59</v>
      </c>
      <c r="H1132">
        <v>1</v>
      </c>
      <c r="I1132">
        <v>409</v>
      </c>
      <c r="J1132">
        <v>0</v>
      </c>
      <c r="K1132">
        <v>409</v>
      </c>
      <c r="L1132">
        <v>87.69</v>
      </c>
    </row>
    <row r="1133" spans="1:12" x14ac:dyDescent="0.3">
      <c r="A1133" t="s">
        <v>1371</v>
      </c>
      <c r="B1133" s="3">
        <v>45990</v>
      </c>
      <c r="C1133" t="s">
        <v>731</v>
      </c>
      <c r="D1133" t="s">
        <v>88</v>
      </c>
      <c r="E1133" t="s">
        <v>73</v>
      </c>
      <c r="F1133" t="s">
        <v>58</v>
      </c>
      <c r="G1133" t="s">
        <v>126</v>
      </c>
      <c r="H1133">
        <v>5</v>
      </c>
      <c r="I1133">
        <v>516</v>
      </c>
      <c r="J1133">
        <v>0.05</v>
      </c>
      <c r="K1133">
        <v>2451</v>
      </c>
      <c r="L1133">
        <v>467.94</v>
      </c>
    </row>
    <row r="1134" spans="1:12" x14ac:dyDescent="0.3">
      <c r="A1134" t="s">
        <v>1372</v>
      </c>
      <c r="B1134" s="3">
        <v>45905</v>
      </c>
      <c r="C1134" t="s">
        <v>39</v>
      </c>
      <c r="D1134" t="s">
        <v>307</v>
      </c>
      <c r="E1134" t="s">
        <v>73</v>
      </c>
      <c r="F1134" t="s">
        <v>27</v>
      </c>
      <c r="G1134" t="s">
        <v>31</v>
      </c>
      <c r="H1134">
        <v>3</v>
      </c>
      <c r="I1134">
        <v>435</v>
      </c>
      <c r="J1134">
        <v>0.1</v>
      </c>
      <c r="K1134">
        <v>1174.5</v>
      </c>
      <c r="L1134">
        <v>227.98</v>
      </c>
    </row>
    <row r="1135" spans="1:12" x14ac:dyDescent="0.3">
      <c r="A1135" t="s">
        <v>1373</v>
      </c>
      <c r="B1135" s="3">
        <v>45788</v>
      </c>
      <c r="C1135" t="s">
        <v>368</v>
      </c>
      <c r="D1135" t="s">
        <v>43</v>
      </c>
      <c r="E1135" t="s">
        <v>44</v>
      </c>
      <c r="F1135" t="s">
        <v>27</v>
      </c>
      <c r="G1135" t="s">
        <v>40</v>
      </c>
      <c r="H1135">
        <v>1</v>
      </c>
      <c r="I1135">
        <v>494</v>
      </c>
      <c r="J1135">
        <v>0.1</v>
      </c>
      <c r="K1135">
        <v>444.6</v>
      </c>
      <c r="L1135">
        <v>117.98</v>
      </c>
    </row>
    <row r="1136" spans="1:12" x14ac:dyDescent="0.3">
      <c r="A1136" t="s">
        <v>1374</v>
      </c>
      <c r="B1136" s="3">
        <v>45945</v>
      </c>
      <c r="C1136" t="s">
        <v>150</v>
      </c>
      <c r="D1136" t="s">
        <v>47</v>
      </c>
      <c r="E1136" t="s">
        <v>26</v>
      </c>
      <c r="F1136" t="s">
        <v>58</v>
      </c>
      <c r="G1136" t="s">
        <v>59</v>
      </c>
      <c r="H1136">
        <v>2</v>
      </c>
      <c r="I1136">
        <v>11772</v>
      </c>
      <c r="J1136">
        <v>0.05</v>
      </c>
      <c r="K1136">
        <v>22366.799999999999</v>
      </c>
      <c r="L1136">
        <v>2894.1</v>
      </c>
    </row>
    <row r="1137" spans="1:12" x14ac:dyDescent="0.3">
      <c r="A1137" t="s">
        <v>1375</v>
      </c>
      <c r="B1137" s="3">
        <v>45862</v>
      </c>
      <c r="C1137" t="s">
        <v>85</v>
      </c>
      <c r="D1137" t="s">
        <v>25</v>
      </c>
      <c r="E1137" t="s">
        <v>26</v>
      </c>
      <c r="F1137" t="s">
        <v>16</v>
      </c>
      <c r="G1137" t="s">
        <v>52</v>
      </c>
      <c r="H1137">
        <v>1</v>
      </c>
      <c r="I1137">
        <v>16793</v>
      </c>
      <c r="J1137">
        <v>0.2</v>
      </c>
      <c r="K1137">
        <v>13434.4</v>
      </c>
      <c r="L1137">
        <v>2156.52</v>
      </c>
    </row>
    <row r="1138" spans="1:12" x14ac:dyDescent="0.3">
      <c r="A1138" t="s">
        <v>1376</v>
      </c>
      <c r="B1138" s="3">
        <v>46019</v>
      </c>
      <c r="C1138" t="s">
        <v>187</v>
      </c>
      <c r="D1138" t="s">
        <v>30</v>
      </c>
      <c r="E1138" t="s">
        <v>15</v>
      </c>
      <c r="F1138" t="s">
        <v>58</v>
      </c>
      <c r="G1138" t="s">
        <v>126</v>
      </c>
      <c r="H1138">
        <v>1</v>
      </c>
      <c r="I1138">
        <v>11696</v>
      </c>
      <c r="J1138">
        <v>0.05</v>
      </c>
      <c r="K1138">
        <v>11111.2</v>
      </c>
      <c r="L1138">
        <v>1012.61</v>
      </c>
    </row>
    <row r="1139" spans="1:12" x14ac:dyDescent="0.3">
      <c r="A1139" t="s">
        <v>1377</v>
      </c>
      <c r="B1139" s="3">
        <v>45934</v>
      </c>
      <c r="C1139" t="s">
        <v>456</v>
      </c>
      <c r="D1139" t="s">
        <v>120</v>
      </c>
      <c r="E1139" t="s">
        <v>51</v>
      </c>
      <c r="F1139" t="s">
        <v>16</v>
      </c>
      <c r="G1139" t="s">
        <v>17</v>
      </c>
      <c r="H1139">
        <v>1</v>
      </c>
      <c r="I1139">
        <v>427</v>
      </c>
      <c r="J1139">
        <v>0.15</v>
      </c>
      <c r="K1139">
        <v>362.95</v>
      </c>
      <c r="L1139">
        <v>66.31</v>
      </c>
    </row>
    <row r="1140" spans="1:12" x14ac:dyDescent="0.3">
      <c r="A1140" t="s">
        <v>1378</v>
      </c>
      <c r="B1140" s="3">
        <v>45767</v>
      </c>
      <c r="C1140" t="s">
        <v>123</v>
      </c>
      <c r="D1140" t="s">
        <v>25</v>
      </c>
      <c r="E1140" t="s">
        <v>26</v>
      </c>
      <c r="F1140" t="s">
        <v>16</v>
      </c>
      <c r="G1140" t="s">
        <v>52</v>
      </c>
      <c r="H1140">
        <v>1</v>
      </c>
      <c r="I1140">
        <v>12413</v>
      </c>
      <c r="J1140">
        <v>0.15</v>
      </c>
      <c r="K1140">
        <v>10551.05</v>
      </c>
      <c r="L1140">
        <v>1692.05</v>
      </c>
    </row>
    <row r="1141" spans="1:12" x14ac:dyDescent="0.3">
      <c r="A1141" t="s">
        <v>1379</v>
      </c>
      <c r="B1141" s="3">
        <v>45687</v>
      </c>
      <c r="C1141" t="s">
        <v>321</v>
      </c>
      <c r="D1141" t="s">
        <v>120</v>
      </c>
      <c r="E1141" t="s">
        <v>51</v>
      </c>
      <c r="F1141" t="s">
        <v>58</v>
      </c>
      <c r="G1141" t="s">
        <v>59</v>
      </c>
      <c r="H1141">
        <v>1</v>
      </c>
      <c r="I1141">
        <v>836</v>
      </c>
      <c r="J1141">
        <v>0</v>
      </c>
      <c r="K1141">
        <v>836</v>
      </c>
      <c r="L1141">
        <v>196.44</v>
      </c>
    </row>
    <row r="1142" spans="1:12" x14ac:dyDescent="0.3">
      <c r="A1142" t="s">
        <v>1380</v>
      </c>
      <c r="B1142" s="3">
        <v>45923</v>
      </c>
      <c r="C1142" t="s">
        <v>807</v>
      </c>
      <c r="D1142" t="s">
        <v>30</v>
      </c>
      <c r="E1142" t="s">
        <v>15</v>
      </c>
      <c r="F1142" t="s">
        <v>16</v>
      </c>
      <c r="G1142" t="s">
        <v>17</v>
      </c>
      <c r="H1142">
        <v>2</v>
      </c>
      <c r="I1142">
        <v>12202</v>
      </c>
      <c r="J1142">
        <v>0</v>
      </c>
      <c r="K1142">
        <v>24404</v>
      </c>
      <c r="L1142">
        <v>3399.19</v>
      </c>
    </row>
    <row r="1143" spans="1:12" x14ac:dyDescent="0.3">
      <c r="A1143" t="s">
        <v>1381</v>
      </c>
      <c r="B1143" s="3">
        <v>45729</v>
      </c>
      <c r="C1143" t="s">
        <v>473</v>
      </c>
      <c r="D1143" t="s">
        <v>68</v>
      </c>
      <c r="E1143" t="s">
        <v>44</v>
      </c>
      <c r="F1143" t="s">
        <v>27</v>
      </c>
      <c r="G1143" t="s">
        <v>40</v>
      </c>
      <c r="H1143">
        <v>2</v>
      </c>
      <c r="I1143">
        <v>5915</v>
      </c>
      <c r="J1143">
        <v>0.05</v>
      </c>
      <c r="K1143">
        <v>11238.5</v>
      </c>
      <c r="L1143">
        <v>2516.23</v>
      </c>
    </row>
    <row r="1144" spans="1:12" x14ac:dyDescent="0.3">
      <c r="A1144" t="s">
        <v>1382</v>
      </c>
      <c r="B1144" s="3">
        <v>45768</v>
      </c>
      <c r="C1144" t="s">
        <v>394</v>
      </c>
      <c r="D1144" t="s">
        <v>43</v>
      </c>
      <c r="E1144" t="s">
        <v>44</v>
      </c>
      <c r="F1144" t="s">
        <v>21</v>
      </c>
      <c r="G1144" t="s">
        <v>35</v>
      </c>
      <c r="H1144">
        <v>5</v>
      </c>
      <c r="I1144">
        <v>1372</v>
      </c>
      <c r="J1144">
        <v>0.1</v>
      </c>
      <c r="K1144">
        <v>6174</v>
      </c>
      <c r="L1144">
        <v>1513.03</v>
      </c>
    </row>
    <row r="1145" spans="1:12" x14ac:dyDescent="0.3">
      <c r="A1145" t="s">
        <v>1383</v>
      </c>
      <c r="B1145" s="3">
        <v>45661</v>
      </c>
      <c r="C1145" t="s">
        <v>303</v>
      </c>
      <c r="D1145" t="s">
        <v>92</v>
      </c>
      <c r="E1145" t="s">
        <v>51</v>
      </c>
      <c r="F1145" t="s">
        <v>58</v>
      </c>
      <c r="G1145" t="s">
        <v>126</v>
      </c>
      <c r="H1145">
        <v>3</v>
      </c>
      <c r="I1145">
        <v>15466</v>
      </c>
      <c r="J1145">
        <v>0.05</v>
      </c>
      <c r="K1145">
        <v>44078.1</v>
      </c>
      <c r="L1145">
        <v>8040.05</v>
      </c>
    </row>
    <row r="1146" spans="1:12" x14ac:dyDescent="0.3">
      <c r="A1146" t="s">
        <v>1384</v>
      </c>
      <c r="B1146" s="3">
        <v>45726</v>
      </c>
      <c r="C1146" t="s">
        <v>578</v>
      </c>
      <c r="D1146" t="s">
        <v>47</v>
      </c>
      <c r="E1146" t="s">
        <v>26</v>
      </c>
      <c r="F1146" t="s">
        <v>58</v>
      </c>
      <c r="G1146" t="s">
        <v>59</v>
      </c>
      <c r="H1146">
        <v>4</v>
      </c>
      <c r="I1146">
        <v>19021</v>
      </c>
      <c r="J1146">
        <v>0.2</v>
      </c>
      <c r="K1146">
        <v>60867.199999999997</v>
      </c>
      <c r="L1146">
        <v>6068.39</v>
      </c>
    </row>
    <row r="1147" spans="1:12" x14ac:dyDescent="0.3">
      <c r="A1147" t="s">
        <v>1385</v>
      </c>
      <c r="B1147" s="3">
        <v>45729</v>
      </c>
      <c r="C1147" t="s">
        <v>300</v>
      </c>
      <c r="D1147" t="s">
        <v>83</v>
      </c>
      <c r="E1147" t="s">
        <v>73</v>
      </c>
      <c r="F1147" t="s">
        <v>16</v>
      </c>
      <c r="G1147" t="s">
        <v>17</v>
      </c>
      <c r="H1147">
        <v>1</v>
      </c>
      <c r="I1147">
        <v>367</v>
      </c>
      <c r="J1147">
        <v>0.15</v>
      </c>
      <c r="K1147">
        <v>311.95</v>
      </c>
      <c r="L1147">
        <v>55.75</v>
      </c>
    </row>
    <row r="1148" spans="1:12" x14ac:dyDescent="0.3">
      <c r="A1148" t="s">
        <v>1386</v>
      </c>
      <c r="B1148" s="3">
        <v>45951</v>
      </c>
      <c r="C1148" t="s">
        <v>313</v>
      </c>
      <c r="D1148" t="s">
        <v>50</v>
      </c>
      <c r="E1148" t="s">
        <v>51</v>
      </c>
      <c r="F1148" t="s">
        <v>21</v>
      </c>
      <c r="G1148" t="s">
        <v>35</v>
      </c>
      <c r="H1148">
        <v>3</v>
      </c>
      <c r="I1148">
        <v>2299</v>
      </c>
      <c r="J1148">
        <v>0.2</v>
      </c>
      <c r="K1148">
        <v>5517.6</v>
      </c>
      <c r="L1148">
        <v>1105.9100000000001</v>
      </c>
    </row>
    <row r="1149" spans="1:12" x14ac:dyDescent="0.3">
      <c r="A1149" t="s">
        <v>1387</v>
      </c>
      <c r="B1149" s="3">
        <v>45965</v>
      </c>
      <c r="C1149" t="s">
        <v>172</v>
      </c>
      <c r="D1149" t="s">
        <v>30</v>
      </c>
      <c r="E1149" t="s">
        <v>15</v>
      </c>
      <c r="F1149" t="s">
        <v>58</v>
      </c>
      <c r="G1149" t="s">
        <v>59</v>
      </c>
      <c r="H1149">
        <v>1</v>
      </c>
      <c r="I1149">
        <v>12904</v>
      </c>
      <c r="J1149">
        <v>0.1</v>
      </c>
      <c r="K1149">
        <v>11613.6</v>
      </c>
      <c r="L1149">
        <v>1924.9</v>
      </c>
    </row>
    <row r="1150" spans="1:12" x14ac:dyDescent="0.3">
      <c r="A1150" t="s">
        <v>1388</v>
      </c>
      <c r="B1150" s="3">
        <v>45963</v>
      </c>
      <c r="C1150" t="s">
        <v>111</v>
      </c>
      <c r="D1150" t="s">
        <v>68</v>
      </c>
      <c r="E1150" t="s">
        <v>44</v>
      </c>
      <c r="F1150" t="s">
        <v>16</v>
      </c>
      <c r="G1150" t="s">
        <v>17</v>
      </c>
      <c r="H1150">
        <v>1</v>
      </c>
      <c r="I1150">
        <v>6820</v>
      </c>
      <c r="J1150">
        <v>0.1</v>
      </c>
      <c r="K1150">
        <v>6138</v>
      </c>
      <c r="L1150">
        <v>1431.12</v>
      </c>
    </row>
    <row r="1151" spans="1:12" x14ac:dyDescent="0.3">
      <c r="A1151" t="s">
        <v>1389</v>
      </c>
      <c r="B1151" s="3">
        <v>45878</v>
      </c>
      <c r="C1151" t="s">
        <v>326</v>
      </c>
      <c r="D1151" t="s">
        <v>65</v>
      </c>
      <c r="E1151" t="s">
        <v>26</v>
      </c>
      <c r="F1151" t="s">
        <v>58</v>
      </c>
      <c r="G1151" t="s">
        <v>126</v>
      </c>
      <c r="H1151">
        <v>2</v>
      </c>
      <c r="I1151">
        <v>4421</v>
      </c>
      <c r="J1151">
        <v>0.05</v>
      </c>
      <c r="K1151">
        <v>8399.9</v>
      </c>
      <c r="L1151">
        <v>1446.41</v>
      </c>
    </row>
    <row r="1152" spans="1:12" x14ac:dyDescent="0.3">
      <c r="A1152" t="s">
        <v>1390</v>
      </c>
      <c r="B1152" s="3">
        <v>45788</v>
      </c>
      <c r="C1152" t="s">
        <v>128</v>
      </c>
      <c r="D1152" t="s">
        <v>88</v>
      </c>
      <c r="E1152" t="s">
        <v>73</v>
      </c>
      <c r="F1152" t="s">
        <v>58</v>
      </c>
      <c r="G1152" t="s">
        <v>126</v>
      </c>
      <c r="H1152">
        <v>1</v>
      </c>
      <c r="I1152">
        <v>599</v>
      </c>
      <c r="J1152">
        <v>0.15</v>
      </c>
      <c r="K1152">
        <v>509.15</v>
      </c>
      <c r="L1152">
        <v>128.69999999999999</v>
      </c>
    </row>
    <row r="1153" spans="1:12" x14ac:dyDescent="0.3">
      <c r="A1153" t="s">
        <v>1391</v>
      </c>
      <c r="B1153" s="3">
        <v>45712</v>
      </c>
      <c r="C1153" t="s">
        <v>119</v>
      </c>
      <c r="D1153" t="s">
        <v>30</v>
      </c>
      <c r="E1153" t="s">
        <v>15</v>
      </c>
      <c r="F1153" t="s">
        <v>27</v>
      </c>
      <c r="G1153" t="s">
        <v>31</v>
      </c>
      <c r="H1153">
        <v>1</v>
      </c>
      <c r="I1153">
        <v>5243</v>
      </c>
      <c r="J1153">
        <v>0.15</v>
      </c>
      <c r="K1153">
        <v>4456.55</v>
      </c>
      <c r="L1153">
        <v>1101.2</v>
      </c>
    </row>
    <row r="1154" spans="1:12" x14ac:dyDescent="0.3">
      <c r="A1154" t="s">
        <v>1392</v>
      </c>
      <c r="B1154" s="3">
        <v>45868</v>
      </c>
      <c r="C1154" t="s">
        <v>211</v>
      </c>
      <c r="D1154" t="s">
        <v>92</v>
      </c>
      <c r="E1154" t="s">
        <v>51</v>
      </c>
      <c r="F1154" t="s">
        <v>58</v>
      </c>
      <c r="G1154" t="s">
        <v>69</v>
      </c>
      <c r="H1154">
        <v>2</v>
      </c>
      <c r="I1154">
        <v>20349</v>
      </c>
      <c r="J1154">
        <v>0</v>
      </c>
      <c r="K1154">
        <v>40698</v>
      </c>
      <c r="L1154">
        <v>3820.69</v>
      </c>
    </row>
    <row r="1155" spans="1:12" x14ac:dyDescent="0.3">
      <c r="A1155" t="s">
        <v>1393</v>
      </c>
      <c r="B1155" s="3">
        <v>45753</v>
      </c>
      <c r="C1155" t="s">
        <v>403</v>
      </c>
      <c r="D1155" t="s">
        <v>25</v>
      </c>
      <c r="E1155" t="s">
        <v>26</v>
      </c>
      <c r="F1155" t="s">
        <v>58</v>
      </c>
      <c r="G1155" t="s">
        <v>69</v>
      </c>
      <c r="H1155">
        <v>2</v>
      </c>
      <c r="I1155">
        <v>13592</v>
      </c>
      <c r="J1155">
        <v>0.15</v>
      </c>
      <c r="K1155">
        <v>23106.400000000001</v>
      </c>
      <c r="L1155">
        <v>2217.5500000000002</v>
      </c>
    </row>
    <row r="1156" spans="1:12" x14ac:dyDescent="0.3">
      <c r="A1156" t="s">
        <v>1394</v>
      </c>
      <c r="B1156" s="3">
        <v>45767</v>
      </c>
      <c r="C1156" t="s">
        <v>272</v>
      </c>
      <c r="D1156" t="s">
        <v>65</v>
      </c>
      <c r="E1156" t="s">
        <v>26</v>
      </c>
      <c r="F1156" t="s">
        <v>16</v>
      </c>
      <c r="G1156" t="s">
        <v>17</v>
      </c>
      <c r="H1156">
        <v>4</v>
      </c>
      <c r="I1156">
        <v>1387</v>
      </c>
      <c r="J1156">
        <v>0</v>
      </c>
      <c r="K1156">
        <v>5548</v>
      </c>
      <c r="L1156">
        <v>641.64</v>
      </c>
    </row>
    <row r="1157" spans="1:12" x14ac:dyDescent="0.3">
      <c r="A1157" t="s">
        <v>1395</v>
      </c>
      <c r="B1157" s="3">
        <v>45728</v>
      </c>
      <c r="C1157" t="s">
        <v>163</v>
      </c>
      <c r="D1157" t="s">
        <v>47</v>
      </c>
      <c r="E1157" t="s">
        <v>26</v>
      </c>
      <c r="F1157" t="s">
        <v>16</v>
      </c>
      <c r="G1157" t="s">
        <v>104</v>
      </c>
      <c r="H1157">
        <v>4</v>
      </c>
      <c r="I1157">
        <v>20687</v>
      </c>
      <c r="J1157">
        <v>0.05</v>
      </c>
      <c r="K1157">
        <v>78610.600000000006</v>
      </c>
      <c r="L1157">
        <v>13554.68</v>
      </c>
    </row>
    <row r="1158" spans="1:12" x14ac:dyDescent="0.3">
      <c r="A1158" t="s">
        <v>1396</v>
      </c>
      <c r="B1158" s="3">
        <v>46016</v>
      </c>
      <c r="C1158" t="s">
        <v>429</v>
      </c>
      <c r="D1158" t="s">
        <v>83</v>
      </c>
      <c r="E1158" t="s">
        <v>73</v>
      </c>
      <c r="F1158" t="s">
        <v>16</v>
      </c>
      <c r="G1158" t="s">
        <v>104</v>
      </c>
      <c r="H1158">
        <v>1</v>
      </c>
      <c r="I1158">
        <v>256</v>
      </c>
      <c r="J1158">
        <v>0.05</v>
      </c>
      <c r="K1158">
        <v>243.2</v>
      </c>
      <c r="L1158">
        <v>43.21</v>
      </c>
    </row>
    <row r="1159" spans="1:12" x14ac:dyDescent="0.3">
      <c r="A1159" t="s">
        <v>1397</v>
      </c>
      <c r="B1159" s="3">
        <v>45848</v>
      </c>
      <c r="C1159" t="s">
        <v>415</v>
      </c>
      <c r="D1159" t="s">
        <v>30</v>
      </c>
      <c r="E1159" t="s">
        <v>15</v>
      </c>
      <c r="F1159" t="s">
        <v>16</v>
      </c>
      <c r="G1159" t="s">
        <v>17</v>
      </c>
      <c r="H1159">
        <v>1</v>
      </c>
      <c r="I1159">
        <v>6088</v>
      </c>
      <c r="J1159">
        <v>0.05</v>
      </c>
      <c r="K1159">
        <v>5783.6</v>
      </c>
      <c r="L1159">
        <v>731.36</v>
      </c>
    </row>
    <row r="1160" spans="1:12" x14ac:dyDescent="0.3">
      <c r="A1160" t="s">
        <v>1398</v>
      </c>
      <c r="B1160" s="3">
        <v>45677</v>
      </c>
      <c r="C1160" t="s">
        <v>71</v>
      </c>
      <c r="D1160" t="s">
        <v>120</v>
      </c>
      <c r="E1160" t="s">
        <v>51</v>
      </c>
      <c r="F1160" t="s">
        <v>58</v>
      </c>
      <c r="G1160" t="s">
        <v>69</v>
      </c>
      <c r="H1160">
        <v>3</v>
      </c>
      <c r="I1160">
        <v>599</v>
      </c>
      <c r="J1160">
        <v>0.05</v>
      </c>
      <c r="K1160">
        <v>1707.15</v>
      </c>
      <c r="L1160">
        <v>160.77000000000001</v>
      </c>
    </row>
    <row r="1161" spans="1:12" x14ac:dyDescent="0.3">
      <c r="A1161" t="s">
        <v>1399</v>
      </c>
      <c r="B1161" s="3">
        <v>45958</v>
      </c>
      <c r="C1161" t="s">
        <v>141</v>
      </c>
      <c r="D1161" t="s">
        <v>307</v>
      </c>
      <c r="E1161" t="s">
        <v>73</v>
      </c>
      <c r="F1161" t="s">
        <v>27</v>
      </c>
      <c r="G1161" t="s">
        <v>40</v>
      </c>
      <c r="H1161">
        <v>1</v>
      </c>
      <c r="I1161">
        <v>159</v>
      </c>
      <c r="J1161">
        <v>0.1</v>
      </c>
      <c r="K1161">
        <v>143.1</v>
      </c>
      <c r="L1161">
        <v>22.19</v>
      </c>
    </row>
    <row r="1162" spans="1:12" x14ac:dyDescent="0.3">
      <c r="A1162" t="s">
        <v>1400</v>
      </c>
      <c r="B1162" s="3">
        <v>45870</v>
      </c>
      <c r="C1162" t="s">
        <v>228</v>
      </c>
      <c r="D1162" t="s">
        <v>97</v>
      </c>
      <c r="E1162" t="s">
        <v>44</v>
      </c>
      <c r="F1162" t="s">
        <v>21</v>
      </c>
      <c r="G1162" t="s">
        <v>22</v>
      </c>
      <c r="H1162">
        <v>3</v>
      </c>
      <c r="I1162">
        <v>661</v>
      </c>
      <c r="J1162">
        <v>0.15</v>
      </c>
      <c r="K1162">
        <v>1685.55</v>
      </c>
      <c r="L1162">
        <v>412.25</v>
      </c>
    </row>
    <row r="1163" spans="1:12" x14ac:dyDescent="0.3">
      <c r="A1163" t="s">
        <v>1401</v>
      </c>
      <c r="B1163" s="3">
        <v>45999</v>
      </c>
      <c r="C1163" t="s">
        <v>170</v>
      </c>
      <c r="D1163" t="s">
        <v>88</v>
      </c>
      <c r="E1163" t="s">
        <v>73</v>
      </c>
      <c r="F1163" t="s">
        <v>27</v>
      </c>
      <c r="G1163" t="s">
        <v>28</v>
      </c>
      <c r="H1163">
        <v>3</v>
      </c>
      <c r="I1163">
        <v>215</v>
      </c>
      <c r="J1163">
        <v>0</v>
      </c>
      <c r="K1163">
        <v>645</v>
      </c>
      <c r="L1163">
        <v>143.87</v>
      </c>
    </row>
    <row r="1164" spans="1:12" x14ac:dyDescent="0.3">
      <c r="A1164" t="s">
        <v>1402</v>
      </c>
      <c r="B1164" s="3">
        <v>45997</v>
      </c>
      <c r="C1164" t="s">
        <v>159</v>
      </c>
      <c r="D1164" t="s">
        <v>30</v>
      </c>
      <c r="E1164" t="s">
        <v>15</v>
      </c>
      <c r="F1164" t="s">
        <v>27</v>
      </c>
      <c r="G1164" t="s">
        <v>31</v>
      </c>
      <c r="H1164">
        <v>1</v>
      </c>
      <c r="I1164">
        <v>10213</v>
      </c>
      <c r="J1164">
        <v>0.1</v>
      </c>
      <c r="K1164">
        <v>9191.7000000000007</v>
      </c>
      <c r="L1164">
        <v>982.99</v>
      </c>
    </row>
    <row r="1165" spans="1:12" x14ac:dyDescent="0.3">
      <c r="A1165" t="s">
        <v>1403</v>
      </c>
      <c r="B1165" s="3">
        <v>45807</v>
      </c>
      <c r="C1165" t="s">
        <v>436</v>
      </c>
      <c r="D1165" t="s">
        <v>20</v>
      </c>
      <c r="E1165" t="s">
        <v>15</v>
      </c>
      <c r="F1165" t="s">
        <v>21</v>
      </c>
      <c r="G1165" t="s">
        <v>55</v>
      </c>
      <c r="H1165">
        <v>2</v>
      </c>
      <c r="I1165">
        <v>8905</v>
      </c>
      <c r="J1165">
        <v>0</v>
      </c>
      <c r="K1165">
        <v>17810</v>
      </c>
      <c r="L1165">
        <v>3822.75</v>
      </c>
    </row>
    <row r="1166" spans="1:12" x14ac:dyDescent="0.3">
      <c r="A1166" t="s">
        <v>1404</v>
      </c>
      <c r="B1166" s="3">
        <v>45891</v>
      </c>
      <c r="C1166" t="s">
        <v>792</v>
      </c>
      <c r="D1166" t="s">
        <v>97</v>
      </c>
      <c r="E1166" t="s">
        <v>44</v>
      </c>
      <c r="F1166" t="s">
        <v>58</v>
      </c>
      <c r="G1166" t="s">
        <v>59</v>
      </c>
      <c r="H1166">
        <v>2</v>
      </c>
      <c r="I1166">
        <v>676</v>
      </c>
      <c r="J1166">
        <v>0.05</v>
      </c>
      <c r="K1166">
        <v>1284.4000000000001</v>
      </c>
      <c r="L1166">
        <v>220.31</v>
      </c>
    </row>
    <row r="1167" spans="1:12" x14ac:dyDescent="0.3">
      <c r="A1167" t="s">
        <v>1405</v>
      </c>
      <c r="B1167" s="3">
        <v>45894</v>
      </c>
      <c r="C1167" t="s">
        <v>187</v>
      </c>
      <c r="D1167" t="s">
        <v>83</v>
      </c>
      <c r="E1167" t="s">
        <v>73</v>
      </c>
      <c r="F1167" t="s">
        <v>21</v>
      </c>
      <c r="G1167" t="s">
        <v>35</v>
      </c>
      <c r="H1167">
        <v>1</v>
      </c>
      <c r="I1167">
        <v>552</v>
      </c>
      <c r="J1167">
        <v>0.1</v>
      </c>
      <c r="K1167">
        <v>496.8</v>
      </c>
      <c r="L1167">
        <v>127.58</v>
      </c>
    </row>
    <row r="1168" spans="1:12" x14ac:dyDescent="0.3">
      <c r="A1168" t="s">
        <v>1406</v>
      </c>
      <c r="B1168" s="3">
        <v>45722</v>
      </c>
      <c r="C1168" t="s">
        <v>731</v>
      </c>
      <c r="D1168" t="s">
        <v>72</v>
      </c>
      <c r="E1168" t="s">
        <v>73</v>
      </c>
      <c r="F1168" t="s">
        <v>16</v>
      </c>
      <c r="G1168" t="s">
        <v>17</v>
      </c>
      <c r="H1168">
        <v>1</v>
      </c>
      <c r="I1168">
        <v>351</v>
      </c>
      <c r="J1168">
        <v>0</v>
      </c>
      <c r="K1168">
        <v>351</v>
      </c>
      <c r="L1168">
        <v>48.52</v>
      </c>
    </row>
    <row r="1169" spans="1:12" x14ac:dyDescent="0.3">
      <c r="A1169" t="s">
        <v>1407</v>
      </c>
      <c r="B1169" s="3">
        <v>45895</v>
      </c>
      <c r="C1169" t="s">
        <v>368</v>
      </c>
      <c r="D1169" t="s">
        <v>50</v>
      </c>
      <c r="E1169" t="s">
        <v>51</v>
      </c>
      <c r="F1169" t="s">
        <v>27</v>
      </c>
      <c r="G1169" t="s">
        <v>31</v>
      </c>
      <c r="H1169">
        <v>1</v>
      </c>
      <c r="I1169">
        <v>1069</v>
      </c>
      <c r="J1169">
        <v>0.05</v>
      </c>
      <c r="K1169">
        <v>1015.55</v>
      </c>
      <c r="L1169">
        <v>183.07</v>
      </c>
    </row>
    <row r="1170" spans="1:12" x14ac:dyDescent="0.3">
      <c r="A1170" t="s">
        <v>1408</v>
      </c>
      <c r="B1170" s="3">
        <v>45952</v>
      </c>
      <c r="C1170" t="s">
        <v>507</v>
      </c>
      <c r="D1170" t="s">
        <v>120</v>
      </c>
      <c r="E1170" t="s">
        <v>51</v>
      </c>
      <c r="F1170" t="s">
        <v>16</v>
      </c>
      <c r="G1170" t="s">
        <v>104</v>
      </c>
      <c r="H1170">
        <v>1</v>
      </c>
      <c r="I1170">
        <v>533</v>
      </c>
      <c r="J1170">
        <v>0.05</v>
      </c>
      <c r="K1170">
        <v>506.35</v>
      </c>
      <c r="L1170">
        <v>102.85</v>
      </c>
    </row>
    <row r="1171" spans="1:12" x14ac:dyDescent="0.3">
      <c r="A1171" t="s">
        <v>1409</v>
      </c>
      <c r="B1171" s="3">
        <v>45822</v>
      </c>
      <c r="C1171" t="s">
        <v>163</v>
      </c>
      <c r="D1171" t="s">
        <v>68</v>
      </c>
      <c r="E1171" t="s">
        <v>44</v>
      </c>
      <c r="F1171" t="s">
        <v>21</v>
      </c>
      <c r="G1171" t="s">
        <v>35</v>
      </c>
      <c r="H1171">
        <v>5</v>
      </c>
      <c r="I1171">
        <v>2913</v>
      </c>
      <c r="J1171">
        <v>0</v>
      </c>
      <c r="K1171">
        <v>14565</v>
      </c>
      <c r="L1171">
        <v>1280</v>
      </c>
    </row>
    <row r="1172" spans="1:12" x14ac:dyDescent="0.3">
      <c r="A1172" t="s">
        <v>1410</v>
      </c>
      <c r="B1172" s="3">
        <v>45739</v>
      </c>
      <c r="C1172" t="s">
        <v>555</v>
      </c>
      <c r="D1172" t="s">
        <v>50</v>
      </c>
      <c r="E1172" t="s">
        <v>51</v>
      </c>
      <c r="F1172" t="s">
        <v>58</v>
      </c>
      <c r="G1172" t="s">
        <v>59</v>
      </c>
      <c r="H1172">
        <v>2</v>
      </c>
      <c r="I1172">
        <v>2484</v>
      </c>
      <c r="J1172">
        <v>0</v>
      </c>
      <c r="K1172">
        <v>4968</v>
      </c>
      <c r="L1172">
        <v>863.87</v>
      </c>
    </row>
    <row r="1173" spans="1:12" x14ac:dyDescent="0.3">
      <c r="A1173" t="s">
        <v>1411</v>
      </c>
      <c r="B1173" s="3">
        <v>45704</v>
      </c>
      <c r="C1173" t="s">
        <v>358</v>
      </c>
      <c r="D1173" t="s">
        <v>120</v>
      </c>
      <c r="E1173" t="s">
        <v>51</v>
      </c>
      <c r="F1173" t="s">
        <v>27</v>
      </c>
      <c r="G1173" t="s">
        <v>28</v>
      </c>
      <c r="H1173">
        <v>4</v>
      </c>
      <c r="I1173">
        <v>1609</v>
      </c>
      <c r="J1173">
        <v>0</v>
      </c>
      <c r="K1173">
        <v>6436</v>
      </c>
      <c r="L1173">
        <v>1107.8699999999999</v>
      </c>
    </row>
    <row r="1174" spans="1:12" x14ac:dyDescent="0.3">
      <c r="A1174" t="s">
        <v>1412</v>
      </c>
      <c r="B1174" s="3">
        <v>45947</v>
      </c>
      <c r="C1174" t="s">
        <v>429</v>
      </c>
      <c r="D1174" t="s">
        <v>103</v>
      </c>
      <c r="E1174" t="s">
        <v>51</v>
      </c>
      <c r="F1174" t="s">
        <v>58</v>
      </c>
      <c r="G1174" t="s">
        <v>126</v>
      </c>
      <c r="H1174">
        <v>1</v>
      </c>
      <c r="I1174">
        <v>8481</v>
      </c>
      <c r="J1174">
        <v>0.05</v>
      </c>
      <c r="K1174">
        <v>8056.95</v>
      </c>
      <c r="L1174">
        <v>2005.71</v>
      </c>
    </row>
    <row r="1175" spans="1:12" x14ac:dyDescent="0.3">
      <c r="A1175" t="s">
        <v>1413</v>
      </c>
      <c r="B1175" s="3">
        <v>45912</v>
      </c>
      <c r="C1175" t="s">
        <v>100</v>
      </c>
      <c r="D1175" t="s">
        <v>50</v>
      </c>
      <c r="E1175" t="s">
        <v>51</v>
      </c>
      <c r="F1175" t="s">
        <v>58</v>
      </c>
      <c r="G1175" t="s">
        <v>69</v>
      </c>
      <c r="H1175">
        <v>2</v>
      </c>
      <c r="I1175">
        <v>993</v>
      </c>
      <c r="J1175">
        <v>0</v>
      </c>
      <c r="K1175">
        <v>1986</v>
      </c>
      <c r="L1175">
        <v>242.45</v>
      </c>
    </row>
    <row r="1176" spans="1:12" x14ac:dyDescent="0.3">
      <c r="A1176" t="s">
        <v>1414</v>
      </c>
      <c r="B1176" s="3">
        <v>45872</v>
      </c>
      <c r="C1176" t="s">
        <v>492</v>
      </c>
      <c r="D1176" t="s">
        <v>307</v>
      </c>
      <c r="E1176" t="s">
        <v>73</v>
      </c>
      <c r="F1176" t="s">
        <v>27</v>
      </c>
      <c r="G1176" t="s">
        <v>31</v>
      </c>
      <c r="H1176">
        <v>1</v>
      </c>
      <c r="I1176">
        <v>247</v>
      </c>
      <c r="J1176">
        <v>0.15</v>
      </c>
      <c r="K1176">
        <v>209.95</v>
      </c>
      <c r="L1176">
        <v>20.91</v>
      </c>
    </row>
    <row r="1177" spans="1:12" x14ac:dyDescent="0.3">
      <c r="A1177" t="s">
        <v>1415</v>
      </c>
      <c r="B1177" s="3">
        <v>45723</v>
      </c>
      <c r="C1177" t="s">
        <v>211</v>
      </c>
      <c r="D1177" t="s">
        <v>68</v>
      </c>
      <c r="E1177" t="s">
        <v>44</v>
      </c>
      <c r="F1177" t="s">
        <v>27</v>
      </c>
      <c r="G1177" t="s">
        <v>40</v>
      </c>
      <c r="H1177">
        <v>1</v>
      </c>
      <c r="I1177">
        <v>5784</v>
      </c>
      <c r="J1177">
        <v>0.05</v>
      </c>
      <c r="K1177">
        <v>5494.8</v>
      </c>
      <c r="L1177">
        <v>996.91</v>
      </c>
    </row>
    <row r="1178" spans="1:12" x14ac:dyDescent="0.3">
      <c r="A1178" t="s">
        <v>1416</v>
      </c>
      <c r="B1178" s="3">
        <v>45816</v>
      </c>
      <c r="C1178" t="s">
        <v>215</v>
      </c>
      <c r="D1178" t="s">
        <v>153</v>
      </c>
      <c r="E1178" t="s">
        <v>26</v>
      </c>
      <c r="F1178" t="s">
        <v>21</v>
      </c>
      <c r="G1178" t="s">
        <v>35</v>
      </c>
      <c r="H1178">
        <v>1</v>
      </c>
      <c r="I1178">
        <v>7459</v>
      </c>
      <c r="J1178">
        <v>0.1</v>
      </c>
      <c r="K1178">
        <v>6713.1</v>
      </c>
      <c r="L1178">
        <v>551.4</v>
      </c>
    </row>
    <row r="1179" spans="1:12" x14ac:dyDescent="0.3">
      <c r="A1179" t="s">
        <v>1417</v>
      </c>
      <c r="B1179" s="3">
        <v>45928</v>
      </c>
      <c r="C1179" t="s">
        <v>463</v>
      </c>
      <c r="D1179" t="s">
        <v>43</v>
      </c>
      <c r="E1179" t="s">
        <v>44</v>
      </c>
      <c r="F1179" t="s">
        <v>58</v>
      </c>
      <c r="G1179" t="s">
        <v>59</v>
      </c>
      <c r="H1179">
        <v>1</v>
      </c>
      <c r="I1179">
        <v>423</v>
      </c>
      <c r="J1179">
        <v>0</v>
      </c>
      <c r="K1179">
        <v>423</v>
      </c>
      <c r="L1179">
        <v>38.18</v>
      </c>
    </row>
    <row r="1180" spans="1:12" x14ac:dyDescent="0.3">
      <c r="A1180" t="s">
        <v>1418</v>
      </c>
      <c r="B1180" s="3">
        <v>45866</v>
      </c>
      <c r="C1180" t="s">
        <v>134</v>
      </c>
      <c r="D1180" t="s">
        <v>34</v>
      </c>
      <c r="E1180" t="s">
        <v>15</v>
      </c>
      <c r="F1180" t="s">
        <v>27</v>
      </c>
      <c r="G1180" t="s">
        <v>31</v>
      </c>
      <c r="H1180">
        <v>1</v>
      </c>
      <c r="I1180">
        <v>9820</v>
      </c>
      <c r="J1180">
        <v>0.2</v>
      </c>
      <c r="K1180">
        <v>7856</v>
      </c>
      <c r="L1180">
        <v>1265.45</v>
      </c>
    </row>
    <row r="1181" spans="1:12" x14ac:dyDescent="0.3">
      <c r="A1181" t="s">
        <v>1419</v>
      </c>
      <c r="B1181" s="3">
        <v>45971</v>
      </c>
      <c r="C1181" t="s">
        <v>253</v>
      </c>
      <c r="D1181" t="s">
        <v>103</v>
      </c>
      <c r="E1181" t="s">
        <v>51</v>
      </c>
      <c r="F1181" t="s">
        <v>58</v>
      </c>
      <c r="G1181" t="s">
        <v>69</v>
      </c>
      <c r="H1181">
        <v>3</v>
      </c>
      <c r="I1181">
        <v>2609</v>
      </c>
      <c r="J1181">
        <v>0.05</v>
      </c>
      <c r="K1181">
        <v>7435.65</v>
      </c>
      <c r="L1181">
        <v>1123.71</v>
      </c>
    </row>
    <row r="1182" spans="1:12" x14ac:dyDescent="0.3">
      <c r="A1182" t="s">
        <v>1420</v>
      </c>
      <c r="B1182" s="3">
        <v>45931</v>
      </c>
      <c r="C1182" t="s">
        <v>394</v>
      </c>
      <c r="D1182" t="s">
        <v>25</v>
      </c>
      <c r="E1182" t="s">
        <v>26</v>
      </c>
      <c r="F1182" t="s">
        <v>21</v>
      </c>
      <c r="G1182" t="s">
        <v>55</v>
      </c>
      <c r="H1182">
        <v>1</v>
      </c>
      <c r="I1182">
        <v>9155</v>
      </c>
      <c r="J1182">
        <v>0.05</v>
      </c>
      <c r="K1182">
        <v>8697.25</v>
      </c>
      <c r="L1182">
        <v>1561.6</v>
      </c>
    </row>
    <row r="1183" spans="1:12" x14ac:dyDescent="0.3">
      <c r="A1183" t="s">
        <v>1421</v>
      </c>
      <c r="B1183" s="3">
        <v>45853</v>
      </c>
      <c r="C1183" t="s">
        <v>807</v>
      </c>
      <c r="D1183" t="s">
        <v>50</v>
      </c>
      <c r="E1183" t="s">
        <v>51</v>
      </c>
      <c r="F1183" t="s">
        <v>58</v>
      </c>
      <c r="G1183" t="s">
        <v>126</v>
      </c>
      <c r="H1183">
        <v>3</v>
      </c>
      <c r="I1183">
        <v>1262</v>
      </c>
      <c r="J1183">
        <v>0</v>
      </c>
      <c r="K1183">
        <v>3786</v>
      </c>
      <c r="L1183">
        <v>797.86</v>
      </c>
    </row>
    <row r="1184" spans="1:12" x14ac:dyDescent="0.3">
      <c r="A1184" t="s">
        <v>1422</v>
      </c>
      <c r="B1184" s="3">
        <v>45824</v>
      </c>
      <c r="C1184" t="s">
        <v>187</v>
      </c>
      <c r="D1184" t="s">
        <v>43</v>
      </c>
      <c r="E1184" t="s">
        <v>44</v>
      </c>
      <c r="F1184" t="s">
        <v>16</v>
      </c>
      <c r="G1184" t="s">
        <v>104</v>
      </c>
      <c r="H1184">
        <v>3</v>
      </c>
      <c r="I1184">
        <v>1140</v>
      </c>
      <c r="J1184">
        <v>0.05</v>
      </c>
      <c r="K1184">
        <v>3249</v>
      </c>
      <c r="L1184">
        <v>846.95</v>
      </c>
    </row>
    <row r="1185" spans="1:12" x14ac:dyDescent="0.3">
      <c r="A1185" t="s">
        <v>1423</v>
      </c>
      <c r="B1185" s="3">
        <v>45719</v>
      </c>
      <c r="C1185" t="s">
        <v>407</v>
      </c>
      <c r="D1185" t="s">
        <v>68</v>
      </c>
      <c r="E1185" t="s">
        <v>44</v>
      </c>
      <c r="F1185" t="s">
        <v>58</v>
      </c>
      <c r="G1185" t="s">
        <v>126</v>
      </c>
      <c r="H1185">
        <v>1</v>
      </c>
      <c r="I1185">
        <v>2824</v>
      </c>
      <c r="J1185">
        <v>0.2</v>
      </c>
      <c r="K1185">
        <v>2259.1999999999998</v>
      </c>
      <c r="L1185">
        <v>371.9</v>
      </c>
    </row>
    <row r="1186" spans="1:12" x14ac:dyDescent="0.3">
      <c r="A1186" t="s">
        <v>1424</v>
      </c>
      <c r="B1186" s="3">
        <v>45820</v>
      </c>
      <c r="C1186" t="s">
        <v>143</v>
      </c>
      <c r="D1186" t="s">
        <v>80</v>
      </c>
      <c r="E1186" t="s">
        <v>51</v>
      </c>
      <c r="F1186" t="s">
        <v>58</v>
      </c>
      <c r="G1186" t="s">
        <v>126</v>
      </c>
      <c r="H1186">
        <v>3</v>
      </c>
      <c r="I1186">
        <v>62085</v>
      </c>
      <c r="J1186">
        <v>0.05</v>
      </c>
      <c r="K1186">
        <v>176942.25</v>
      </c>
      <c r="L1186">
        <v>49350.1</v>
      </c>
    </row>
    <row r="1187" spans="1:12" x14ac:dyDescent="0.3">
      <c r="A1187" t="s">
        <v>1425</v>
      </c>
      <c r="B1187" s="3">
        <v>45988</v>
      </c>
      <c r="C1187" t="s">
        <v>278</v>
      </c>
      <c r="D1187" t="s">
        <v>68</v>
      </c>
      <c r="E1187" t="s">
        <v>44</v>
      </c>
      <c r="F1187" t="s">
        <v>16</v>
      </c>
      <c r="G1187" t="s">
        <v>104</v>
      </c>
      <c r="H1187">
        <v>4</v>
      </c>
      <c r="I1187">
        <v>3508</v>
      </c>
      <c r="J1187">
        <v>0.15</v>
      </c>
      <c r="K1187">
        <v>11927.2</v>
      </c>
      <c r="L1187">
        <v>3144.63</v>
      </c>
    </row>
    <row r="1188" spans="1:12" x14ac:dyDescent="0.3">
      <c r="A1188" t="s">
        <v>1426</v>
      </c>
      <c r="B1188" s="3">
        <v>45953</v>
      </c>
      <c r="C1188" t="s">
        <v>965</v>
      </c>
      <c r="D1188" t="s">
        <v>34</v>
      </c>
      <c r="E1188" t="s">
        <v>15</v>
      </c>
      <c r="F1188" t="s">
        <v>16</v>
      </c>
      <c r="G1188" t="s">
        <v>52</v>
      </c>
      <c r="H1188">
        <v>1</v>
      </c>
      <c r="I1188">
        <v>9379</v>
      </c>
      <c r="J1188">
        <v>0.05</v>
      </c>
      <c r="K1188">
        <v>8910.0499999999993</v>
      </c>
      <c r="L1188">
        <v>1910.78</v>
      </c>
    </row>
    <row r="1189" spans="1:12" x14ac:dyDescent="0.3">
      <c r="A1189" t="s">
        <v>1427</v>
      </c>
      <c r="B1189" s="3">
        <v>45710</v>
      </c>
      <c r="C1189" t="s">
        <v>1109</v>
      </c>
      <c r="D1189" t="s">
        <v>97</v>
      </c>
      <c r="E1189" t="s">
        <v>44</v>
      </c>
      <c r="F1189" t="s">
        <v>16</v>
      </c>
      <c r="G1189" t="s">
        <v>52</v>
      </c>
      <c r="H1189">
        <v>2</v>
      </c>
      <c r="I1189">
        <v>736</v>
      </c>
      <c r="J1189">
        <v>0.2</v>
      </c>
      <c r="K1189">
        <v>1177.5999999999999</v>
      </c>
      <c r="L1189">
        <v>206.92</v>
      </c>
    </row>
    <row r="1190" spans="1:12" x14ac:dyDescent="0.3">
      <c r="A1190" t="s">
        <v>1428</v>
      </c>
      <c r="B1190" s="3">
        <v>45909</v>
      </c>
      <c r="C1190" t="s">
        <v>578</v>
      </c>
      <c r="D1190" t="s">
        <v>202</v>
      </c>
      <c r="E1190" t="s">
        <v>44</v>
      </c>
      <c r="F1190" t="s">
        <v>27</v>
      </c>
      <c r="G1190" t="s">
        <v>28</v>
      </c>
      <c r="H1190">
        <v>4</v>
      </c>
      <c r="I1190">
        <v>3320</v>
      </c>
      <c r="J1190">
        <v>0.05</v>
      </c>
      <c r="K1190">
        <v>12616</v>
      </c>
      <c r="L1190">
        <v>2019.46</v>
      </c>
    </row>
    <row r="1191" spans="1:12" x14ac:dyDescent="0.3">
      <c r="A1191" t="s">
        <v>1429</v>
      </c>
      <c r="B1191" s="3">
        <v>45863</v>
      </c>
      <c r="C1191" t="s">
        <v>391</v>
      </c>
      <c r="D1191" t="s">
        <v>80</v>
      </c>
      <c r="E1191" t="s">
        <v>51</v>
      </c>
      <c r="F1191" t="s">
        <v>21</v>
      </c>
      <c r="G1191" t="s">
        <v>55</v>
      </c>
      <c r="H1191">
        <v>1</v>
      </c>
      <c r="I1191">
        <v>61480</v>
      </c>
      <c r="J1191">
        <v>0.1</v>
      </c>
      <c r="K1191">
        <v>55332</v>
      </c>
      <c r="L1191">
        <v>8772.33</v>
      </c>
    </row>
    <row r="1192" spans="1:12" x14ac:dyDescent="0.3">
      <c r="A1192" t="s">
        <v>1430</v>
      </c>
      <c r="B1192" s="3">
        <v>45939</v>
      </c>
      <c r="C1192" t="s">
        <v>310</v>
      </c>
      <c r="D1192" t="s">
        <v>153</v>
      </c>
      <c r="E1192" t="s">
        <v>26</v>
      </c>
      <c r="F1192" t="s">
        <v>58</v>
      </c>
      <c r="G1192" t="s">
        <v>59</v>
      </c>
      <c r="H1192">
        <v>2</v>
      </c>
      <c r="I1192">
        <v>5687</v>
      </c>
      <c r="J1192">
        <v>0</v>
      </c>
      <c r="K1192">
        <v>11374</v>
      </c>
      <c r="L1192">
        <v>2077.44</v>
      </c>
    </row>
    <row r="1193" spans="1:12" x14ac:dyDescent="0.3">
      <c r="A1193" t="s">
        <v>1431</v>
      </c>
      <c r="B1193" s="3">
        <v>45994</v>
      </c>
      <c r="C1193" t="s">
        <v>305</v>
      </c>
      <c r="D1193" t="s">
        <v>25</v>
      </c>
      <c r="E1193" t="s">
        <v>26</v>
      </c>
      <c r="F1193" t="s">
        <v>16</v>
      </c>
      <c r="G1193" t="s">
        <v>17</v>
      </c>
      <c r="H1193">
        <v>1</v>
      </c>
      <c r="I1193">
        <v>16973</v>
      </c>
      <c r="J1193">
        <v>0</v>
      </c>
      <c r="K1193">
        <v>16973</v>
      </c>
      <c r="L1193">
        <v>4624.63</v>
      </c>
    </row>
    <row r="1194" spans="1:12" x14ac:dyDescent="0.3">
      <c r="A1194" t="s">
        <v>1432</v>
      </c>
      <c r="B1194" s="3">
        <v>45692</v>
      </c>
      <c r="C1194" t="s">
        <v>71</v>
      </c>
      <c r="D1194" t="s">
        <v>34</v>
      </c>
      <c r="E1194" t="s">
        <v>15</v>
      </c>
      <c r="F1194" t="s">
        <v>21</v>
      </c>
      <c r="G1194" t="s">
        <v>35</v>
      </c>
      <c r="H1194">
        <v>2</v>
      </c>
      <c r="I1194">
        <v>14080</v>
      </c>
      <c r="J1194">
        <v>0.15</v>
      </c>
      <c r="K1194">
        <v>23936</v>
      </c>
      <c r="L1194">
        <v>3958.56</v>
      </c>
    </row>
    <row r="1195" spans="1:12" x14ac:dyDescent="0.3">
      <c r="A1195" t="s">
        <v>1433</v>
      </c>
      <c r="B1195" s="3">
        <v>45892</v>
      </c>
      <c r="C1195" t="s">
        <v>965</v>
      </c>
      <c r="D1195" t="s">
        <v>43</v>
      </c>
      <c r="E1195" t="s">
        <v>44</v>
      </c>
      <c r="F1195" t="s">
        <v>21</v>
      </c>
      <c r="G1195" t="s">
        <v>22</v>
      </c>
      <c r="H1195">
        <v>1</v>
      </c>
      <c r="I1195">
        <v>548</v>
      </c>
      <c r="J1195">
        <v>0</v>
      </c>
      <c r="K1195">
        <v>548</v>
      </c>
      <c r="L1195">
        <v>99.34</v>
      </c>
    </row>
    <row r="1196" spans="1:12" x14ac:dyDescent="0.3">
      <c r="A1196" t="s">
        <v>1434</v>
      </c>
      <c r="B1196" s="3">
        <v>45703</v>
      </c>
      <c r="C1196" t="s">
        <v>64</v>
      </c>
      <c r="D1196" t="s">
        <v>83</v>
      </c>
      <c r="E1196" t="s">
        <v>73</v>
      </c>
      <c r="F1196" t="s">
        <v>27</v>
      </c>
      <c r="G1196" t="s">
        <v>40</v>
      </c>
      <c r="H1196">
        <v>4</v>
      </c>
      <c r="I1196">
        <v>812</v>
      </c>
      <c r="J1196">
        <v>0.1</v>
      </c>
      <c r="K1196">
        <v>2923.2</v>
      </c>
      <c r="L1196">
        <v>316.23</v>
      </c>
    </row>
    <row r="1197" spans="1:12" x14ac:dyDescent="0.3">
      <c r="A1197" t="s">
        <v>1435</v>
      </c>
      <c r="B1197" s="3">
        <v>45835</v>
      </c>
      <c r="C1197" t="s">
        <v>398</v>
      </c>
      <c r="D1197" t="s">
        <v>68</v>
      </c>
      <c r="E1197" t="s">
        <v>44</v>
      </c>
      <c r="F1197" t="s">
        <v>21</v>
      </c>
      <c r="G1197" t="s">
        <v>55</v>
      </c>
      <c r="H1197">
        <v>2</v>
      </c>
      <c r="I1197">
        <v>3134</v>
      </c>
      <c r="J1197">
        <v>0.05</v>
      </c>
      <c r="K1197">
        <v>5954.6</v>
      </c>
      <c r="L1197">
        <v>678.47</v>
      </c>
    </row>
    <row r="1198" spans="1:12" x14ac:dyDescent="0.3">
      <c r="A1198" t="s">
        <v>1436</v>
      </c>
      <c r="B1198" s="3">
        <v>45707</v>
      </c>
      <c r="C1198" t="s">
        <v>231</v>
      </c>
      <c r="D1198" t="s">
        <v>83</v>
      </c>
      <c r="E1198" t="s">
        <v>73</v>
      </c>
      <c r="F1198" t="s">
        <v>58</v>
      </c>
      <c r="G1198" t="s">
        <v>69</v>
      </c>
      <c r="H1198">
        <v>3</v>
      </c>
      <c r="I1198">
        <v>419</v>
      </c>
      <c r="J1198">
        <v>0</v>
      </c>
      <c r="K1198">
        <v>1257</v>
      </c>
      <c r="L1198">
        <v>185.24</v>
      </c>
    </row>
    <row r="1199" spans="1:12" x14ac:dyDescent="0.3">
      <c r="A1199" t="s">
        <v>1437</v>
      </c>
      <c r="B1199" s="3">
        <v>45660</v>
      </c>
      <c r="C1199" t="s">
        <v>156</v>
      </c>
      <c r="D1199" t="s">
        <v>65</v>
      </c>
      <c r="E1199" t="s">
        <v>26</v>
      </c>
      <c r="F1199" t="s">
        <v>21</v>
      </c>
      <c r="G1199" t="s">
        <v>22</v>
      </c>
      <c r="H1199">
        <v>3</v>
      </c>
      <c r="I1199">
        <v>2235</v>
      </c>
      <c r="J1199">
        <v>0.15</v>
      </c>
      <c r="K1199">
        <v>5699.25</v>
      </c>
      <c r="L1199">
        <v>944.44</v>
      </c>
    </row>
    <row r="1200" spans="1:12" x14ac:dyDescent="0.3">
      <c r="A1200" t="s">
        <v>1438</v>
      </c>
      <c r="B1200" s="3">
        <v>45783</v>
      </c>
      <c r="C1200" t="s">
        <v>156</v>
      </c>
      <c r="D1200" t="s">
        <v>83</v>
      </c>
      <c r="E1200" t="s">
        <v>73</v>
      </c>
      <c r="F1200" t="s">
        <v>58</v>
      </c>
      <c r="G1200" t="s">
        <v>59</v>
      </c>
      <c r="H1200">
        <v>3</v>
      </c>
      <c r="I1200">
        <v>526</v>
      </c>
      <c r="J1200">
        <v>0.05</v>
      </c>
      <c r="K1200">
        <v>1499.1</v>
      </c>
      <c r="L1200">
        <v>275.14</v>
      </c>
    </row>
    <row r="1201" spans="1:12" x14ac:dyDescent="0.3">
      <c r="A1201" t="s">
        <v>1439</v>
      </c>
      <c r="B1201" s="3">
        <v>45862</v>
      </c>
      <c r="C1201" t="s">
        <v>580</v>
      </c>
      <c r="D1201" t="s">
        <v>65</v>
      </c>
      <c r="E1201" t="s">
        <v>26</v>
      </c>
      <c r="F1201" t="s">
        <v>27</v>
      </c>
      <c r="G1201" t="s">
        <v>40</v>
      </c>
      <c r="H1201">
        <v>4</v>
      </c>
      <c r="I1201">
        <v>3977</v>
      </c>
      <c r="J1201">
        <v>0.1</v>
      </c>
      <c r="K1201">
        <v>14317.2</v>
      </c>
      <c r="L1201">
        <v>2123.2600000000002</v>
      </c>
    </row>
    <row r="1202" spans="1:12" x14ac:dyDescent="0.3">
      <c r="A1202" t="s">
        <v>144</v>
      </c>
      <c r="B1202" s="3">
        <v>45733</v>
      </c>
      <c r="C1202" t="s">
        <v>145</v>
      </c>
      <c r="D1202" t="s">
        <v>20</v>
      </c>
      <c r="E1202" t="s">
        <v>15</v>
      </c>
      <c r="F1202" t="s">
        <v>58</v>
      </c>
      <c r="G1202" t="s">
        <v>126</v>
      </c>
      <c r="H1202">
        <v>1</v>
      </c>
      <c r="I1202">
        <v>15525</v>
      </c>
      <c r="J1202">
        <v>0.1</v>
      </c>
      <c r="K1202">
        <v>13972.5</v>
      </c>
      <c r="L1202">
        <v>2466.1999999999998</v>
      </c>
    </row>
    <row r="1203" spans="1:12" x14ac:dyDescent="0.3">
      <c r="A1203" t="s">
        <v>306</v>
      </c>
      <c r="B1203" s="3">
        <v>45852</v>
      </c>
      <c r="C1203" t="s">
        <v>163</v>
      </c>
      <c r="D1203" t="s">
        <v>307</v>
      </c>
      <c r="E1203" t="s">
        <v>73</v>
      </c>
      <c r="F1203" t="s">
        <v>16</v>
      </c>
      <c r="G1203" t="s">
        <v>17</v>
      </c>
      <c r="H1203">
        <v>5</v>
      </c>
      <c r="I1203">
        <v>136</v>
      </c>
      <c r="J1203">
        <v>0.05</v>
      </c>
      <c r="K1203">
        <v>646</v>
      </c>
      <c r="L1203">
        <v>173.6</v>
      </c>
    </row>
    <row r="1204" spans="1:12" x14ac:dyDescent="0.3">
      <c r="A1204" t="s">
        <v>442</v>
      </c>
      <c r="B1204" s="3">
        <v>45998</v>
      </c>
      <c r="C1204" t="s">
        <v>189</v>
      </c>
      <c r="D1204" t="s">
        <v>153</v>
      </c>
      <c r="E1204" t="s">
        <v>26</v>
      </c>
      <c r="F1204" t="s">
        <v>16</v>
      </c>
      <c r="G1204" t="s">
        <v>52</v>
      </c>
      <c r="H1204">
        <v>2</v>
      </c>
      <c r="I1204">
        <v>5121</v>
      </c>
      <c r="J1204">
        <v>0</v>
      </c>
      <c r="K1204">
        <v>10242</v>
      </c>
      <c r="L1204">
        <v>1129.17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392B3-62BE-4CD7-87AD-A5D873809E73}">
  <dimension ref="A1:U1210"/>
  <sheetViews>
    <sheetView zoomScale="130" zoomScaleNormal="130" workbookViewId="0">
      <selection activeCell="F14" sqref="F14"/>
    </sheetView>
  </sheetViews>
  <sheetFormatPr defaultRowHeight="14.4" x14ac:dyDescent="0.3"/>
  <cols>
    <col min="2" max="2" width="12.44140625" customWidth="1"/>
    <col min="5" max="5" width="18" customWidth="1"/>
    <col min="6" max="6" width="13.77734375" customWidth="1"/>
    <col min="7" max="7" width="13.33203125" customWidth="1"/>
    <col min="8" max="8" width="18.6640625" customWidth="1"/>
    <col min="9" max="9" width="14.21875" customWidth="1"/>
    <col min="10" max="10" width="14.6640625" customWidth="1"/>
    <col min="11" max="11" width="8.88671875" customWidth="1"/>
    <col min="13" max="13" width="16.5546875" customWidth="1"/>
    <col min="14" max="14" width="14" customWidth="1"/>
    <col min="15" max="15" width="16.33203125" customWidth="1"/>
    <col min="16" max="16" width="17.6640625" customWidth="1"/>
    <col min="17" max="17" width="15.5546875" customWidth="1"/>
    <col min="18" max="18" width="16" customWidth="1"/>
    <col min="19" max="19" width="12.44140625" customWidth="1"/>
    <col min="20" max="20" width="15.33203125" customWidth="1"/>
    <col min="21" max="21" width="18.33203125" customWidth="1"/>
  </cols>
  <sheetData>
    <row r="1" spans="1:21" x14ac:dyDescent="0.3">
      <c r="A1" s="1" t="s">
        <v>0</v>
      </c>
      <c r="B1" s="2" t="s">
        <v>1</v>
      </c>
      <c r="C1" s="1" t="s">
        <v>2</v>
      </c>
      <c r="D1" s="1" t="s">
        <v>3</v>
      </c>
      <c r="E1" s="1" t="s">
        <v>4</v>
      </c>
      <c r="F1" s="1" t="s">
        <v>5</v>
      </c>
      <c r="G1" s="1" t="s">
        <v>6</v>
      </c>
      <c r="H1" s="1" t="s">
        <v>7</v>
      </c>
      <c r="I1" s="1" t="s">
        <v>8</v>
      </c>
      <c r="J1" s="1" t="s">
        <v>9</v>
      </c>
      <c r="K1" s="1" t="s">
        <v>10</v>
      </c>
      <c r="L1" s="1" t="s">
        <v>11</v>
      </c>
      <c r="M1" s="8" t="s">
        <v>1451</v>
      </c>
      <c r="N1" s="7" t="s">
        <v>1449</v>
      </c>
      <c r="O1" s="8" t="s">
        <v>1452</v>
      </c>
      <c r="P1" s="7" t="s">
        <v>1450</v>
      </c>
      <c r="Q1" s="9" t="s">
        <v>1453</v>
      </c>
      <c r="R1" t="s">
        <v>1454</v>
      </c>
      <c r="S1" t="s">
        <v>1455</v>
      </c>
      <c r="T1" t="s">
        <v>1457</v>
      </c>
      <c r="U1" t="s">
        <v>1456</v>
      </c>
    </row>
    <row r="2" spans="1:21" x14ac:dyDescent="0.3">
      <c r="A2" t="s">
        <v>12</v>
      </c>
      <c r="B2" s="3">
        <v>45729</v>
      </c>
      <c r="C2" t="s">
        <v>13</v>
      </c>
      <c r="D2" t="s">
        <v>14</v>
      </c>
      <c r="E2" t="s">
        <v>15</v>
      </c>
      <c r="F2" t="s">
        <v>16</v>
      </c>
      <c r="G2" t="s">
        <v>17</v>
      </c>
      <c r="H2">
        <v>2</v>
      </c>
      <c r="I2">
        <v>7872</v>
      </c>
      <c r="J2">
        <v>0</v>
      </c>
      <c r="K2">
        <v>15744</v>
      </c>
      <c r="L2">
        <v>1442.41</v>
      </c>
      <c r="M2" t="str">
        <f>TRIM(D2)</f>
        <v>Office Chair</v>
      </c>
      <c r="N2" t="str">
        <f>TRIM(G2)</f>
        <v>Guwahati</v>
      </c>
      <c r="O2" t="str">
        <f>TRIM(F2)</f>
        <v>East</v>
      </c>
      <c r="P2" t="str">
        <f>TRIM(E2)</f>
        <v>Furniture</v>
      </c>
      <c r="Q2" t="str">
        <f>PROPER(E2)</f>
        <v>Furniture</v>
      </c>
      <c r="R2" t="str">
        <f>PROPER(F2)</f>
        <v>East</v>
      </c>
      <c r="S2" t="str">
        <f>PROPER(G2)</f>
        <v>Guwahati</v>
      </c>
      <c r="T2">
        <f>H2*I2*(1-J2)</f>
        <v>15744</v>
      </c>
      <c r="U2" t="str">
        <f>IF(ROUND(K2,2)=ROUND(T2,2),"OK","CHECK")</f>
        <v>OK</v>
      </c>
    </row>
    <row r="3" spans="1:21" x14ac:dyDescent="0.3">
      <c r="A3" t="s">
        <v>18</v>
      </c>
      <c r="B3" s="3">
        <v>45807</v>
      </c>
      <c r="C3" t="s">
        <v>19</v>
      </c>
      <c r="D3" t="s">
        <v>20</v>
      </c>
      <c r="E3" t="s">
        <v>15</v>
      </c>
      <c r="F3" t="s">
        <v>21</v>
      </c>
      <c r="G3" t="s">
        <v>22</v>
      </c>
      <c r="H3">
        <v>1</v>
      </c>
      <c r="I3">
        <v>12942</v>
      </c>
      <c r="J3">
        <v>0.2</v>
      </c>
      <c r="K3">
        <v>10353.6</v>
      </c>
      <c r="L3">
        <v>829.9</v>
      </c>
      <c r="M3" t="str">
        <f t="shared" ref="M3:M66" si="0">TRIM(D3)</f>
        <v>Filing Cabinet</v>
      </c>
      <c r="N3" t="str">
        <f t="shared" ref="N3:N66" si="1">TRIM(G3)</f>
        <v>Ahmedabad</v>
      </c>
      <c r="O3" t="str">
        <f t="shared" ref="O3:O66" si="2">TRIM(F:F)</f>
        <v>West</v>
      </c>
      <c r="P3" t="str">
        <f t="shared" ref="P3:P66" si="3">TRIM(E3)</f>
        <v>Furniture</v>
      </c>
      <c r="Q3" t="str">
        <f t="shared" ref="Q3:Q66" si="4">PROPER(E3)</f>
        <v>Furniture</v>
      </c>
      <c r="R3" t="str">
        <f t="shared" ref="R3:R66" si="5">PROPER(F3)</f>
        <v>West</v>
      </c>
      <c r="S3" t="str">
        <f t="shared" ref="S3:S66" si="6">PROPER(G3)</f>
        <v>Ahmedabad</v>
      </c>
      <c r="T3">
        <f t="shared" ref="T3:T66" si="7">H3*I3*(1-J3)</f>
        <v>10353.6</v>
      </c>
      <c r="U3" t="str">
        <f t="shared" ref="U3:U66" si="8">IF(ROUND(K3,2)=ROUND(T3,2),"OK","CHECK")</f>
        <v>OK</v>
      </c>
    </row>
    <row r="4" spans="1:21" x14ac:dyDescent="0.3">
      <c r="A4" t="s">
        <v>23</v>
      </c>
      <c r="B4" s="3">
        <v>45893</v>
      </c>
      <c r="C4" t="s">
        <v>24</v>
      </c>
      <c r="D4" t="s">
        <v>25</v>
      </c>
      <c r="E4" t="s">
        <v>26</v>
      </c>
      <c r="F4" t="s">
        <v>27</v>
      </c>
      <c r="G4" t="s">
        <v>28</v>
      </c>
      <c r="H4">
        <v>1</v>
      </c>
      <c r="I4">
        <v>12297</v>
      </c>
      <c r="J4">
        <v>0.05</v>
      </c>
      <c r="K4">
        <v>11682.15</v>
      </c>
      <c r="L4">
        <v>1043.5999999999999</v>
      </c>
      <c r="M4" t="str">
        <f t="shared" si="0"/>
        <v>Microwave</v>
      </c>
      <c r="N4" t="str">
        <f t="shared" si="1"/>
        <v>Bengaluru</v>
      </c>
      <c r="O4" t="str">
        <f t="shared" si="2"/>
        <v>South</v>
      </c>
      <c r="P4" t="str">
        <f t="shared" si="3"/>
        <v>Home Appliances</v>
      </c>
      <c r="Q4" t="str">
        <f t="shared" si="4"/>
        <v>Home Appliances</v>
      </c>
      <c r="R4" t="str">
        <f t="shared" si="5"/>
        <v>South</v>
      </c>
      <c r="S4" t="str">
        <f t="shared" si="6"/>
        <v>Bengaluru</v>
      </c>
      <c r="T4">
        <f t="shared" si="7"/>
        <v>11682.15</v>
      </c>
      <c r="U4" t="str">
        <f t="shared" si="8"/>
        <v>OK</v>
      </c>
    </row>
    <row r="5" spans="1:21" x14ac:dyDescent="0.3">
      <c r="A5" t="s">
        <v>29</v>
      </c>
      <c r="B5" s="3">
        <v>46021</v>
      </c>
      <c r="C5" t="s">
        <v>19</v>
      </c>
      <c r="D5" t="s">
        <v>30</v>
      </c>
      <c r="E5" t="s">
        <v>15</v>
      </c>
      <c r="F5" t="s">
        <v>27</v>
      </c>
      <c r="G5" t="s">
        <v>31</v>
      </c>
      <c r="H5">
        <v>2</v>
      </c>
      <c r="I5">
        <v>10128</v>
      </c>
      <c r="J5">
        <v>0</v>
      </c>
      <c r="K5">
        <v>20256</v>
      </c>
      <c r="L5">
        <v>4081.77</v>
      </c>
      <c r="M5" t="str">
        <f t="shared" si="0"/>
        <v>Bookshelf</v>
      </c>
      <c r="N5" t="str">
        <f t="shared" si="1"/>
        <v>Hyderabad</v>
      </c>
      <c r="O5" t="str">
        <f t="shared" si="2"/>
        <v>South</v>
      </c>
      <c r="P5" t="str">
        <f t="shared" si="3"/>
        <v>Furniture</v>
      </c>
      <c r="Q5" t="str">
        <f t="shared" si="4"/>
        <v>Furniture</v>
      </c>
      <c r="R5" t="str">
        <f t="shared" si="5"/>
        <v>South</v>
      </c>
      <c r="S5" t="str">
        <f t="shared" si="6"/>
        <v>Hyderabad</v>
      </c>
      <c r="T5">
        <f t="shared" si="7"/>
        <v>20256</v>
      </c>
      <c r="U5" t="str">
        <f t="shared" si="8"/>
        <v>OK</v>
      </c>
    </row>
    <row r="6" spans="1:21" x14ac:dyDescent="0.3">
      <c r="A6" t="s">
        <v>32</v>
      </c>
      <c r="B6" s="3">
        <v>45973</v>
      </c>
      <c r="C6" t="s">
        <v>33</v>
      </c>
      <c r="D6" t="s">
        <v>34</v>
      </c>
      <c r="E6" t="s">
        <v>15</v>
      </c>
      <c r="F6" t="s">
        <v>21</v>
      </c>
      <c r="G6" t="s">
        <v>35</v>
      </c>
      <c r="H6">
        <v>2</v>
      </c>
      <c r="I6">
        <v>13937</v>
      </c>
      <c r="J6">
        <v>0</v>
      </c>
      <c r="K6">
        <v>27874</v>
      </c>
      <c r="L6">
        <v>3517.11</v>
      </c>
      <c r="M6" t="str">
        <f t="shared" si="0"/>
        <v>Desk</v>
      </c>
      <c r="N6" t="str">
        <f t="shared" si="1"/>
        <v>Mumbai</v>
      </c>
      <c r="O6" t="str">
        <f t="shared" si="2"/>
        <v>West</v>
      </c>
      <c r="P6" t="str">
        <f t="shared" si="3"/>
        <v>Furniture</v>
      </c>
      <c r="Q6" t="str">
        <f t="shared" si="4"/>
        <v>Furniture</v>
      </c>
      <c r="R6" t="str">
        <f t="shared" si="5"/>
        <v>West</v>
      </c>
      <c r="S6" t="str">
        <f t="shared" si="6"/>
        <v>Mumbai</v>
      </c>
      <c r="T6">
        <f t="shared" si="7"/>
        <v>27874</v>
      </c>
      <c r="U6" t="str">
        <f t="shared" si="8"/>
        <v>OK</v>
      </c>
    </row>
    <row r="7" spans="1:21" x14ac:dyDescent="0.3">
      <c r="A7" t="s">
        <v>36</v>
      </c>
      <c r="B7" s="3">
        <v>45921</v>
      </c>
      <c r="C7" t="s">
        <v>37</v>
      </c>
      <c r="D7" t="s">
        <v>30</v>
      </c>
      <c r="E7" t="s">
        <v>15</v>
      </c>
      <c r="F7" t="s">
        <v>21</v>
      </c>
      <c r="G7" t="s">
        <v>35</v>
      </c>
      <c r="H7">
        <v>1</v>
      </c>
      <c r="I7">
        <v>13139</v>
      </c>
      <c r="J7">
        <v>0.05</v>
      </c>
      <c r="K7">
        <v>12482.05</v>
      </c>
      <c r="L7">
        <v>2652.49</v>
      </c>
      <c r="M7" t="str">
        <f t="shared" si="0"/>
        <v>Bookshelf</v>
      </c>
      <c r="N7" t="str">
        <f t="shared" si="1"/>
        <v>Mumbai</v>
      </c>
      <c r="O7" t="str">
        <f t="shared" si="2"/>
        <v>West</v>
      </c>
      <c r="P7" t="str">
        <f t="shared" si="3"/>
        <v>Furniture</v>
      </c>
      <c r="Q7" t="str">
        <f t="shared" si="4"/>
        <v>Furniture</v>
      </c>
      <c r="R7" t="str">
        <f t="shared" si="5"/>
        <v>West</v>
      </c>
      <c r="S7" t="str">
        <f t="shared" si="6"/>
        <v>Mumbai</v>
      </c>
      <c r="T7">
        <f t="shared" si="7"/>
        <v>12482.05</v>
      </c>
      <c r="U7" t="str">
        <f t="shared" si="8"/>
        <v>OK</v>
      </c>
    </row>
    <row r="8" spans="1:21" x14ac:dyDescent="0.3">
      <c r="A8" t="s">
        <v>38</v>
      </c>
      <c r="B8" s="3">
        <v>45848</v>
      </c>
      <c r="C8" t="s">
        <v>39</v>
      </c>
      <c r="D8" t="s">
        <v>34</v>
      </c>
      <c r="E8" t="s">
        <v>15</v>
      </c>
      <c r="F8" t="s">
        <v>27</v>
      </c>
      <c r="G8" t="s">
        <v>40</v>
      </c>
      <c r="H8">
        <v>3</v>
      </c>
      <c r="I8">
        <v>15096</v>
      </c>
      <c r="J8">
        <v>0.05</v>
      </c>
      <c r="K8">
        <v>43023.6</v>
      </c>
      <c r="L8">
        <v>11415.53</v>
      </c>
      <c r="M8" t="str">
        <f t="shared" si="0"/>
        <v>Desk</v>
      </c>
      <c r="N8" t="str">
        <f t="shared" si="1"/>
        <v>Chennai</v>
      </c>
      <c r="O8" t="str">
        <f t="shared" si="2"/>
        <v>South</v>
      </c>
      <c r="P8" t="str">
        <f t="shared" si="3"/>
        <v>Furniture</v>
      </c>
      <c r="Q8" t="str">
        <f t="shared" si="4"/>
        <v>Furniture</v>
      </c>
      <c r="R8" t="str">
        <f t="shared" si="5"/>
        <v>South</v>
      </c>
      <c r="S8" t="str">
        <f t="shared" si="6"/>
        <v>Chennai</v>
      </c>
      <c r="T8">
        <f t="shared" si="7"/>
        <v>43023.6</v>
      </c>
      <c r="U8" t="str">
        <f t="shared" si="8"/>
        <v>OK</v>
      </c>
    </row>
    <row r="9" spans="1:21" x14ac:dyDescent="0.3">
      <c r="A9" t="s">
        <v>41</v>
      </c>
      <c r="B9" s="3">
        <v>45909</v>
      </c>
      <c r="C9" t="s">
        <v>42</v>
      </c>
      <c r="D9" t="s">
        <v>43</v>
      </c>
      <c r="E9" t="s">
        <v>44</v>
      </c>
      <c r="F9" t="s">
        <v>27</v>
      </c>
      <c r="G9" t="s">
        <v>31</v>
      </c>
      <c r="H9">
        <v>1</v>
      </c>
      <c r="I9">
        <v>690</v>
      </c>
      <c r="J9">
        <v>0.05</v>
      </c>
      <c r="K9">
        <v>655.5</v>
      </c>
      <c r="L9">
        <v>88.01</v>
      </c>
      <c r="M9" t="str">
        <f t="shared" si="0"/>
        <v>Phone Holder</v>
      </c>
      <c r="N9" t="str">
        <f t="shared" si="1"/>
        <v>Hyderabad</v>
      </c>
      <c r="O9" t="str">
        <f t="shared" si="2"/>
        <v>South</v>
      </c>
      <c r="P9" t="str">
        <f t="shared" si="3"/>
        <v>Accessories</v>
      </c>
      <c r="Q9" t="str">
        <f t="shared" si="4"/>
        <v>Accessories</v>
      </c>
      <c r="R9" t="str">
        <f t="shared" si="5"/>
        <v>South</v>
      </c>
      <c r="S9" t="str">
        <f t="shared" si="6"/>
        <v>Hyderabad</v>
      </c>
      <c r="T9">
        <f t="shared" si="7"/>
        <v>655.5</v>
      </c>
      <c r="U9" t="str">
        <f t="shared" si="8"/>
        <v>OK</v>
      </c>
    </row>
    <row r="10" spans="1:21" x14ac:dyDescent="0.3">
      <c r="A10" t="s">
        <v>45</v>
      </c>
      <c r="B10" s="3">
        <v>45698</v>
      </c>
      <c r="C10" t="s">
        <v>46</v>
      </c>
      <c r="D10" t="s">
        <v>47</v>
      </c>
      <c r="E10" t="s">
        <v>26</v>
      </c>
      <c r="F10" t="s">
        <v>21</v>
      </c>
      <c r="G10" t="s">
        <v>35</v>
      </c>
      <c r="H10">
        <v>1</v>
      </c>
      <c r="I10">
        <v>9479</v>
      </c>
      <c r="J10">
        <v>0</v>
      </c>
      <c r="K10">
        <v>9479</v>
      </c>
      <c r="L10">
        <v>1561</v>
      </c>
      <c r="M10" t="str">
        <f t="shared" si="0"/>
        <v>Air Purifier</v>
      </c>
      <c r="N10" t="str">
        <f t="shared" si="1"/>
        <v>Mumbai</v>
      </c>
      <c r="O10" t="str">
        <f t="shared" si="2"/>
        <v>West</v>
      </c>
      <c r="P10" t="str">
        <f t="shared" si="3"/>
        <v>Home Appliances</v>
      </c>
      <c r="Q10" t="str">
        <f t="shared" si="4"/>
        <v>Home Appliances</v>
      </c>
      <c r="R10" t="str">
        <f t="shared" si="5"/>
        <v>West</v>
      </c>
      <c r="S10" t="str">
        <f t="shared" si="6"/>
        <v>Mumbai</v>
      </c>
      <c r="T10">
        <f t="shared" si="7"/>
        <v>9479</v>
      </c>
      <c r="U10" t="str">
        <f t="shared" si="8"/>
        <v>OK</v>
      </c>
    </row>
    <row r="11" spans="1:21" x14ac:dyDescent="0.3">
      <c r="A11" t="s">
        <v>48</v>
      </c>
      <c r="B11" s="3">
        <v>45820</v>
      </c>
      <c r="C11" t="s">
        <v>49</v>
      </c>
      <c r="D11" t="s">
        <v>50</v>
      </c>
      <c r="E11" t="s">
        <v>51</v>
      </c>
      <c r="F11" t="s">
        <v>16</v>
      </c>
      <c r="G11" t="s">
        <v>52</v>
      </c>
      <c r="H11">
        <v>3</v>
      </c>
      <c r="I11">
        <v>2436</v>
      </c>
      <c r="J11">
        <v>0.2</v>
      </c>
      <c r="K11">
        <v>5846.4</v>
      </c>
      <c r="L11">
        <v>1229</v>
      </c>
      <c r="M11" t="str">
        <f t="shared" si="0"/>
        <v>Keyboard</v>
      </c>
      <c r="N11" t="str">
        <f t="shared" si="1"/>
        <v>Kolkata</v>
      </c>
      <c r="O11" t="str">
        <f t="shared" si="2"/>
        <v>East</v>
      </c>
      <c r="P11" t="str">
        <f t="shared" si="3"/>
        <v>Electronics</v>
      </c>
      <c r="Q11" t="str">
        <f t="shared" si="4"/>
        <v>Electronics</v>
      </c>
      <c r="R11" t="str">
        <f t="shared" si="5"/>
        <v>East</v>
      </c>
      <c r="S11" t="str">
        <f t="shared" si="6"/>
        <v>Kolkata</v>
      </c>
      <c r="T11">
        <f t="shared" si="7"/>
        <v>5846.4000000000005</v>
      </c>
      <c r="U11" t="str">
        <f t="shared" si="8"/>
        <v>OK</v>
      </c>
    </row>
    <row r="12" spans="1:21" x14ac:dyDescent="0.3">
      <c r="A12" t="s">
        <v>53</v>
      </c>
      <c r="B12" s="3">
        <v>45690</v>
      </c>
      <c r="C12" t="s">
        <v>54</v>
      </c>
      <c r="D12" t="s">
        <v>43</v>
      </c>
      <c r="E12" t="s">
        <v>44</v>
      </c>
      <c r="F12" t="s">
        <v>21</v>
      </c>
      <c r="G12" t="s">
        <v>55</v>
      </c>
      <c r="H12">
        <v>1</v>
      </c>
      <c r="I12">
        <v>673</v>
      </c>
      <c r="J12">
        <v>0.05</v>
      </c>
      <c r="K12">
        <v>639.35</v>
      </c>
      <c r="L12">
        <v>144.44</v>
      </c>
      <c r="M12" t="str">
        <f t="shared" si="0"/>
        <v>Phone Holder</v>
      </c>
      <c r="N12" t="str">
        <f t="shared" si="1"/>
        <v>Pune</v>
      </c>
      <c r="O12" t="str">
        <f t="shared" si="2"/>
        <v>West</v>
      </c>
      <c r="P12" t="str">
        <f t="shared" si="3"/>
        <v>Accessories</v>
      </c>
      <c r="Q12" t="str">
        <f t="shared" si="4"/>
        <v>Accessories</v>
      </c>
      <c r="R12" t="str">
        <f t="shared" si="5"/>
        <v>West</v>
      </c>
      <c r="S12" t="str">
        <f t="shared" si="6"/>
        <v>Pune</v>
      </c>
      <c r="T12">
        <f t="shared" si="7"/>
        <v>639.35</v>
      </c>
      <c r="U12" t="str">
        <f t="shared" si="8"/>
        <v>OK</v>
      </c>
    </row>
    <row r="13" spans="1:21" x14ac:dyDescent="0.3">
      <c r="A13" t="s">
        <v>56</v>
      </c>
      <c r="B13" s="3">
        <v>45758</v>
      </c>
      <c r="C13" t="s">
        <v>57</v>
      </c>
      <c r="D13" t="s">
        <v>50</v>
      </c>
      <c r="E13" t="s">
        <v>51</v>
      </c>
      <c r="F13" t="s">
        <v>58</v>
      </c>
      <c r="G13" t="s">
        <v>59</v>
      </c>
      <c r="H13">
        <v>5</v>
      </c>
      <c r="I13">
        <v>3092</v>
      </c>
      <c r="J13">
        <v>0.15</v>
      </c>
      <c r="K13">
        <v>13141</v>
      </c>
      <c r="L13">
        <v>1671.5</v>
      </c>
      <c r="M13" t="str">
        <f t="shared" si="0"/>
        <v>Keyboard</v>
      </c>
      <c r="N13" t="str">
        <f t="shared" si="1"/>
        <v>Chandigarh</v>
      </c>
      <c r="O13" t="str">
        <f t="shared" si="2"/>
        <v>North</v>
      </c>
      <c r="P13" t="str">
        <f t="shared" si="3"/>
        <v>Electronics</v>
      </c>
      <c r="Q13" t="str">
        <f t="shared" si="4"/>
        <v>Electronics</v>
      </c>
      <c r="R13" t="str">
        <f t="shared" si="5"/>
        <v>North</v>
      </c>
      <c r="S13" t="str">
        <f t="shared" si="6"/>
        <v>Chandigarh</v>
      </c>
      <c r="T13">
        <f t="shared" si="7"/>
        <v>13141</v>
      </c>
      <c r="U13" t="str">
        <f t="shared" si="8"/>
        <v>OK</v>
      </c>
    </row>
    <row r="14" spans="1:21" x14ac:dyDescent="0.3">
      <c r="A14" t="s">
        <v>60</v>
      </c>
      <c r="B14" s="3">
        <v>46003</v>
      </c>
      <c r="C14" t="s">
        <v>61</v>
      </c>
      <c r="D14" t="s">
        <v>47</v>
      </c>
      <c r="E14" t="s">
        <v>26</v>
      </c>
      <c r="F14" t="s">
        <v>16</v>
      </c>
      <c r="G14" t="s">
        <v>62</v>
      </c>
      <c r="H14">
        <v>1</v>
      </c>
      <c r="I14">
        <v>8618</v>
      </c>
      <c r="J14">
        <v>0</v>
      </c>
      <c r="K14">
        <v>8618</v>
      </c>
      <c r="L14">
        <v>1786.36</v>
      </c>
      <c r="M14" t="str">
        <f t="shared" si="0"/>
        <v>Air Purifier</v>
      </c>
      <c r="N14" t="str">
        <f t="shared" si="1"/>
        <v>Pune</v>
      </c>
      <c r="O14" t="str">
        <f t="shared" si="2"/>
        <v>East</v>
      </c>
      <c r="P14" t="str">
        <f t="shared" si="3"/>
        <v>Home Appliances</v>
      </c>
      <c r="Q14" t="str">
        <f t="shared" si="4"/>
        <v>Home Appliances</v>
      </c>
      <c r="R14" t="str">
        <f t="shared" si="5"/>
        <v>East</v>
      </c>
      <c r="S14" t="str">
        <f t="shared" si="6"/>
        <v xml:space="preserve"> Pune </v>
      </c>
      <c r="T14">
        <f t="shared" si="7"/>
        <v>8618</v>
      </c>
      <c r="U14" t="str">
        <f t="shared" si="8"/>
        <v>OK</v>
      </c>
    </row>
    <row r="15" spans="1:21" x14ac:dyDescent="0.3">
      <c r="A15" t="s">
        <v>63</v>
      </c>
      <c r="B15" s="3">
        <v>45888</v>
      </c>
      <c r="C15" t="s">
        <v>64</v>
      </c>
      <c r="D15" t="s">
        <v>65</v>
      </c>
      <c r="E15" t="s">
        <v>26</v>
      </c>
      <c r="F15" t="s">
        <v>27</v>
      </c>
      <c r="G15" t="s">
        <v>28</v>
      </c>
      <c r="H15">
        <v>1</v>
      </c>
      <c r="I15">
        <v>3693</v>
      </c>
      <c r="J15">
        <v>0.05</v>
      </c>
      <c r="K15">
        <v>3508.35</v>
      </c>
      <c r="L15">
        <v>334.68</v>
      </c>
      <c r="M15" t="str">
        <f t="shared" si="0"/>
        <v>Electric Kettle</v>
      </c>
      <c r="N15" t="str">
        <f t="shared" si="1"/>
        <v>Bengaluru</v>
      </c>
      <c r="O15" t="str">
        <f t="shared" si="2"/>
        <v>South</v>
      </c>
      <c r="P15" t="str">
        <f t="shared" si="3"/>
        <v>Home Appliances</v>
      </c>
      <c r="Q15" t="str">
        <f t="shared" si="4"/>
        <v>Home Appliances</v>
      </c>
      <c r="R15" t="str">
        <f t="shared" si="5"/>
        <v>South</v>
      </c>
      <c r="S15" t="str">
        <f t="shared" si="6"/>
        <v>Bengaluru</v>
      </c>
      <c r="T15">
        <f t="shared" si="7"/>
        <v>3508.35</v>
      </c>
      <c r="U15" t="str">
        <f t="shared" si="8"/>
        <v>OK</v>
      </c>
    </row>
    <row r="16" spans="1:21" x14ac:dyDescent="0.3">
      <c r="A16" t="s">
        <v>66</v>
      </c>
      <c r="B16" s="3">
        <v>45791</v>
      </c>
      <c r="C16" t="s">
        <v>67</v>
      </c>
      <c r="D16" t="s">
        <v>68</v>
      </c>
      <c r="E16" t="s">
        <v>44</v>
      </c>
      <c r="F16" t="s">
        <v>58</v>
      </c>
      <c r="G16" t="s">
        <v>69</v>
      </c>
      <c r="H16">
        <v>2</v>
      </c>
      <c r="I16">
        <v>3154</v>
      </c>
      <c r="J16">
        <v>0.05</v>
      </c>
      <c r="K16">
        <v>5992.6</v>
      </c>
      <c r="L16">
        <v>1538.04</v>
      </c>
      <c r="M16" t="str">
        <f t="shared" si="0"/>
        <v>Webcam</v>
      </c>
      <c r="N16" t="str">
        <f t="shared" si="1"/>
        <v>Jaipur</v>
      </c>
      <c r="O16" t="str">
        <f t="shared" si="2"/>
        <v>North</v>
      </c>
      <c r="P16" t="str">
        <f t="shared" si="3"/>
        <v>Accessories</v>
      </c>
      <c r="Q16" t="str">
        <f t="shared" si="4"/>
        <v>Accessories</v>
      </c>
      <c r="R16" t="str">
        <f t="shared" si="5"/>
        <v>North</v>
      </c>
      <c r="S16" t="str">
        <f t="shared" si="6"/>
        <v>Jaipur</v>
      </c>
      <c r="T16">
        <f t="shared" si="7"/>
        <v>5992.5999999999995</v>
      </c>
      <c r="U16" t="str">
        <f t="shared" si="8"/>
        <v>OK</v>
      </c>
    </row>
    <row r="17" spans="1:21" x14ac:dyDescent="0.3">
      <c r="A17" t="s">
        <v>70</v>
      </c>
      <c r="B17" s="3">
        <v>45847</v>
      </c>
      <c r="C17" t="s">
        <v>71</v>
      </c>
      <c r="D17" t="s">
        <v>72</v>
      </c>
      <c r="E17" t="s">
        <v>73</v>
      </c>
      <c r="F17" t="s">
        <v>58</v>
      </c>
      <c r="G17" t="s">
        <v>59</v>
      </c>
      <c r="H17">
        <v>1</v>
      </c>
      <c r="I17">
        <v>467</v>
      </c>
      <c r="J17">
        <v>0.05</v>
      </c>
      <c r="K17">
        <v>443.65</v>
      </c>
      <c r="L17">
        <v>108.07</v>
      </c>
      <c r="M17" t="str">
        <f t="shared" si="0"/>
        <v>Desk Organizer</v>
      </c>
      <c r="N17" t="str">
        <f t="shared" si="1"/>
        <v>Chandigarh</v>
      </c>
      <c r="O17" t="str">
        <f t="shared" si="2"/>
        <v>North</v>
      </c>
      <c r="P17" t="str">
        <f t="shared" si="3"/>
        <v>Office Supplies</v>
      </c>
      <c r="Q17" t="str">
        <f t="shared" si="4"/>
        <v>Office Supplies</v>
      </c>
      <c r="R17" t="str">
        <f t="shared" si="5"/>
        <v>North</v>
      </c>
      <c r="S17" t="str">
        <f t="shared" si="6"/>
        <v>Chandigarh</v>
      </c>
      <c r="T17">
        <f t="shared" si="7"/>
        <v>443.65</v>
      </c>
      <c r="U17" t="str">
        <f t="shared" si="8"/>
        <v>OK</v>
      </c>
    </row>
    <row r="18" spans="1:21" x14ac:dyDescent="0.3">
      <c r="A18" t="s">
        <v>74</v>
      </c>
      <c r="B18" s="3">
        <v>45822</v>
      </c>
      <c r="C18" t="s">
        <v>75</v>
      </c>
      <c r="D18" t="s">
        <v>50</v>
      </c>
      <c r="E18" t="s">
        <v>51</v>
      </c>
      <c r="F18" t="s">
        <v>58</v>
      </c>
      <c r="G18" t="s">
        <v>69</v>
      </c>
      <c r="H18">
        <v>2</v>
      </c>
      <c r="I18">
        <v>1527</v>
      </c>
      <c r="J18">
        <v>0.05</v>
      </c>
      <c r="K18">
        <v>2901.3</v>
      </c>
      <c r="L18">
        <v>329.76</v>
      </c>
      <c r="M18" t="str">
        <f t="shared" si="0"/>
        <v>Keyboard</v>
      </c>
      <c r="N18" t="str">
        <f t="shared" si="1"/>
        <v>Jaipur</v>
      </c>
      <c r="O18" t="str">
        <f t="shared" si="2"/>
        <v>North</v>
      </c>
      <c r="P18" t="str">
        <f t="shared" si="3"/>
        <v>Electronics</v>
      </c>
      <c r="Q18" t="str">
        <f t="shared" si="4"/>
        <v>Electronics</v>
      </c>
      <c r="R18" t="str">
        <f t="shared" si="5"/>
        <v>North</v>
      </c>
      <c r="S18" t="str">
        <f t="shared" si="6"/>
        <v>Jaipur</v>
      </c>
      <c r="T18">
        <f t="shared" si="7"/>
        <v>2901.2999999999997</v>
      </c>
      <c r="U18" t="str">
        <f t="shared" si="8"/>
        <v>OK</v>
      </c>
    </row>
    <row r="19" spans="1:21" x14ac:dyDescent="0.3">
      <c r="A19" t="s">
        <v>76</v>
      </c>
      <c r="B19" s="3">
        <v>45975</v>
      </c>
      <c r="C19" t="s">
        <v>77</v>
      </c>
      <c r="D19" t="s">
        <v>47</v>
      </c>
      <c r="E19" t="s">
        <v>26</v>
      </c>
      <c r="F19" t="s">
        <v>21</v>
      </c>
      <c r="G19" t="s">
        <v>35</v>
      </c>
      <c r="H19">
        <v>5</v>
      </c>
      <c r="I19">
        <v>21437</v>
      </c>
      <c r="J19">
        <v>0.05</v>
      </c>
      <c r="K19">
        <v>101825.75</v>
      </c>
      <c r="L19">
        <v>18272.599999999999</v>
      </c>
      <c r="M19" t="str">
        <f t="shared" si="0"/>
        <v>Air Purifier</v>
      </c>
      <c r="N19" t="str">
        <f t="shared" si="1"/>
        <v>Mumbai</v>
      </c>
      <c r="O19" t="str">
        <f t="shared" si="2"/>
        <v>West</v>
      </c>
      <c r="P19" t="str">
        <f t="shared" si="3"/>
        <v>Home Appliances</v>
      </c>
      <c r="Q19" t="str">
        <f t="shared" si="4"/>
        <v>Home Appliances</v>
      </c>
      <c r="R19" t="str">
        <f t="shared" si="5"/>
        <v>West</v>
      </c>
      <c r="S19" t="str">
        <f t="shared" si="6"/>
        <v>Mumbai</v>
      </c>
      <c r="T19">
        <f t="shared" si="7"/>
        <v>101825.75</v>
      </c>
      <c r="U19" t="str">
        <f t="shared" si="8"/>
        <v>OK</v>
      </c>
    </row>
    <row r="20" spans="1:21" x14ac:dyDescent="0.3">
      <c r="A20" t="s">
        <v>78</v>
      </c>
      <c r="B20" s="3">
        <v>45659</v>
      </c>
      <c r="C20" t="s">
        <v>79</v>
      </c>
      <c r="D20" t="s">
        <v>80</v>
      </c>
      <c r="E20" t="s">
        <v>51</v>
      </c>
      <c r="F20" t="s">
        <v>16</v>
      </c>
      <c r="G20" t="s">
        <v>52</v>
      </c>
      <c r="H20">
        <v>2</v>
      </c>
      <c r="I20">
        <v>47059</v>
      </c>
      <c r="J20">
        <v>0.05</v>
      </c>
      <c r="K20">
        <v>89412.1</v>
      </c>
      <c r="L20">
        <v>23394.959999999999</v>
      </c>
      <c r="M20" t="str">
        <f t="shared" si="0"/>
        <v>Laptop</v>
      </c>
      <c r="N20" t="str">
        <f t="shared" si="1"/>
        <v>Kolkata</v>
      </c>
      <c r="O20" t="str">
        <f t="shared" si="2"/>
        <v>East</v>
      </c>
      <c r="P20" t="str">
        <f t="shared" si="3"/>
        <v>Electronics</v>
      </c>
      <c r="Q20" t="str">
        <f t="shared" si="4"/>
        <v>Electronics</v>
      </c>
      <c r="R20" t="str">
        <f t="shared" si="5"/>
        <v>East</v>
      </c>
      <c r="S20" t="str">
        <f t="shared" si="6"/>
        <v>Kolkata</v>
      </c>
      <c r="T20">
        <f t="shared" si="7"/>
        <v>89412.099999999991</v>
      </c>
      <c r="U20" t="str">
        <f t="shared" si="8"/>
        <v>OK</v>
      </c>
    </row>
    <row r="21" spans="1:21" x14ac:dyDescent="0.3">
      <c r="A21" t="s">
        <v>81</v>
      </c>
      <c r="B21" s="3">
        <v>45817</v>
      </c>
      <c r="C21" t="s">
        <v>82</v>
      </c>
      <c r="D21" t="s">
        <v>83</v>
      </c>
      <c r="E21" t="s">
        <v>73</v>
      </c>
      <c r="F21" t="s">
        <v>21</v>
      </c>
      <c r="G21" t="s">
        <v>55</v>
      </c>
      <c r="H21">
        <v>2</v>
      </c>
      <c r="I21">
        <v>635</v>
      </c>
      <c r="J21">
        <v>0</v>
      </c>
      <c r="K21">
        <v>1270</v>
      </c>
      <c r="L21">
        <v>195.49</v>
      </c>
      <c r="M21" t="str">
        <f t="shared" si="0"/>
        <v>Printer Paper</v>
      </c>
      <c r="N21" t="str">
        <f t="shared" si="1"/>
        <v>Pune</v>
      </c>
      <c r="O21" t="str">
        <f t="shared" si="2"/>
        <v>West</v>
      </c>
      <c r="P21" t="str">
        <f t="shared" si="3"/>
        <v>Office Supplies</v>
      </c>
      <c r="Q21" t="str">
        <f t="shared" si="4"/>
        <v>Office Supplies</v>
      </c>
      <c r="R21" t="str">
        <f t="shared" si="5"/>
        <v>West</v>
      </c>
      <c r="S21" t="str">
        <f t="shared" si="6"/>
        <v>Pune</v>
      </c>
      <c r="T21">
        <f t="shared" si="7"/>
        <v>1270</v>
      </c>
      <c r="U21" t="str">
        <f t="shared" si="8"/>
        <v>OK</v>
      </c>
    </row>
    <row r="22" spans="1:21" x14ac:dyDescent="0.3">
      <c r="A22" t="s">
        <v>84</v>
      </c>
      <c r="B22" s="3">
        <v>45855</v>
      </c>
      <c r="C22" t="s">
        <v>85</v>
      </c>
      <c r="D22" t="s">
        <v>72</v>
      </c>
      <c r="E22" t="s">
        <v>73</v>
      </c>
      <c r="F22" t="s">
        <v>58</v>
      </c>
      <c r="G22" t="s">
        <v>69</v>
      </c>
      <c r="H22">
        <v>1</v>
      </c>
      <c r="I22">
        <v>1026</v>
      </c>
      <c r="J22">
        <v>0.15</v>
      </c>
      <c r="K22">
        <v>872.1</v>
      </c>
      <c r="L22">
        <v>96.06</v>
      </c>
      <c r="M22" t="str">
        <f t="shared" si="0"/>
        <v>Desk Organizer</v>
      </c>
      <c r="N22" t="str">
        <f t="shared" si="1"/>
        <v>Jaipur</v>
      </c>
      <c r="O22" t="str">
        <f t="shared" si="2"/>
        <v>North</v>
      </c>
      <c r="P22" t="str">
        <f t="shared" si="3"/>
        <v>Office Supplies</v>
      </c>
      <c r="Q22" t="str">
        <f t="shared" si="4"/>
        <v>Office Supplies</v>
      </c>
      <c r="R22" t="str">
        <f t="shared" si="5"/>
        <v>North</v>
      </c>
      <c r="S22" t="str">
        <f t="shared" si="6"/>
        <v>Jaipur</v>
      </c>
      <c r="T22">
        <f t="shared" si="7"/>
        <v>872.1</v>
      </c>
      <c r="U22" t="str">
        <f t="shared" si="8"/>
        <v>OK</v>
      </c>
    </row>
    <row r="23" spans="1:21" x14ac:dyDescent="0.3">
      <c r="A23" t="s">
        <v>86</v>
      </c>
      <c r="B23" s="3">
        <v>46003</v>
      </c>
      <c r="C23" t="s">
        <v>87</v>
      </c>
      <c r="D23" t="s">
        <v>88</v>
      </c>
      <c r="E23" t="s">
        <v>73</v>
      </c>
      <c r="F23" t="s">
        <v>21</v>
      </c>
      <c r="G23" t="s">
        <v>22</v>
      </c>
      <c r="H23">
        <v>2</v>
      </c>
      <c r="I23">
        <v>213</v>
      </c>
      <c r="J23">
        <v>0.1</v>
      </c>
      <c r="K23">
        <v>383.4</v>
      </c>
      <c r="L23">
        <v>44.04</v>
      </c>
      <c r="M23" t="str">
        <f t="shared" si="0"/>
        <v>Stapler</v>
      </c>
      <c r="N23" t="str">
        <f t="shared" si="1"/>
        <v>Ahmedabad</v>
      </c>
      <c r="O23" t="str">
        <f t="shared" si="2"/>
        <v>West</v>
      </c>
      <c r="P23" t="str">
        <f t="shared" si="3"/>
        <v>Office Supplies</v>
      </c>
      <c r="Q23" t="str">
        <f t="shared" si="4"/>
        <v>Office Supplies</v>
      </c>
      <c r="R23" t="str">
        <f t="shared" si="5"/>
        <v>West</v>
      </c>
      <c r="S23" t="str">
        <f t="shared" si="6"/>
        <v>Ahmedabad</v>
      </c>
      <c r="T23">
        <f t="shared" si="7"/>
        <v>383.40000000000003</v>
      </c>
      <c r="U23" t="str">
        <f t="shared" si="8"/>
        <v>OK</v>
      </c>
    </row>
    <row r="24" spans="1:21" x14ac:dyDescent="0.3">
      <c r="A24" t="s">
        <v>89</v>
      </c>
      <c r="B24" s="3">
        <v>45924</v>
      </c>
      <c r="C24" t="s">
        <v>90</v>
      </c>
      <c r="D24" t="s">
        <v>30</v>
      </c>
      <c r="E24" t="s">
        <v>15</v>
      </c>
      <c r="F24" t="s">
        <v>27</v>
      </c>
      <c r="G24" t="s">
        <v>28</v>
      </c>
      <c r="H24">
        <v>1</v>
      </c>
      <c r="I24">
        <v>5578</v>
      </c>
      <c r="J24">
        <v>0.2</v>
      </c>
      <c r="K24">
        <v>4462.3999999999996</v>
      </c>
      <c r="L24">
        <v>1140</v>
      </c>
      <c r="M24" t="str">
        <f t="shared" si="0"/>
        <v>Bookshelf</v>
      </c>
      <c r="N24" t="str">
        <f t="shared" si="1"/>
        <v>Bengaluru</v>
      </c>
      <c r="O24" t="str">
        <f t="shared" si="2"/>
        <v>South</v>
      </c>
      <c r="P24" t="str">
        <f t="shared" si="3"/>
        <v>Furniture</v>
      </c>
      <c r="Q24" t="str">
        <f t="shared" si="4"/>
        <v>Furniture</v>
      </c>
      <c r="R24" t="str">
        <f t="shared" si="5"/>
        <v>South</v>
      </c>
      <c r="S24" t="str">
        <f t="shared" si="6"/>
        <v>Bengaluru</v>
      </c>
      <c r="T24">
        <f t="shared" si="7"/>
        <v>4462.4000000000005</v>
      </c>
      <c r="U24" t="str">
        <f t="shared" si="8"/>
        <v>OK</v>
      </c>
    </row>
    <row r="25" spans="1:21" x14ac:dyDescent="0.3">
      <c r="A25" t="s">
        <v>91</v>
      </c>
      <c r="B25" s="3">
        <v>45717</v>
      </c>
      <c r="C25" t="s">
        <v>75</v>
      </c>
      <c r="D25" t="s">
        <v>92</v>
      </c>
      <c r="E25" t="s">
        <v>51</v>
      </c>
      <c r="F25" t="s">
        <v>21</v>
      </c>
      <c r="G25" t="s">
        <v>35</v>
      </c>
      <c r="H25">
        <v>1</v>
      </c>
      <c r="I25">
        <v>24940</v>
      </c>
      <c r="J25">
        <v>0.2</v>
      </c>
      <c r="K25">
        <v>19952</v>
      </c>
      <c r="L25">
        <v>3823.97</v>
      </c>
      <c r="M25" t="str">
        <f t="shared" si="0"/>
        <v>Monitor</v>
      </c>
      <c r="N25" t="str">
        <f t="shared" si="1"/>
        <v>Mumbai</v>
      </c>
      <c r="O25" t="str">
        <f t="shared" si="2"/>
        <v>West</v>
      </c>
      <c r="P25" t="str">
        <f t="shared" si="3"/>
        <v>Electronics</v>
      </c>
      <c r="Q25" t="str">
        <f t="shared" si="4"/>
        <v>Electronics</v>
      </c>
      <c r="R25" t="str">
        <f t="shared" si="5"/>
        <v>West</v>
      </c>
      <c r="S25" t="str">
        <f t="shared" si="6"/>
        <v>Mumbai</v>
      </c>
      <c r="T25">
        <f t="shared" si="7"/>
        <v>19952</v>
      </c>
      <c r="U25" t="str">
        <f t="shared" si="8"/>
        <v>OK</v>
      </c>
    </row>
    <row r="26" spans="1:21" x14ac:dyDescent="0.3">
      <c r="A26" t="s">
        <v>93</v>
      </c>
      <c r="B26" s="3">
        <v>45804</v>
      </c>
      <c r="C26" t="s">
        <v>94</v>
      </c>
      <c r="D26" t="s">
        <v>47</v>
      </c>
      <c r="E26" t="s">
        <v>26</v>
      </c>
      <c r="F26" t="s">
        <v>58</v>
      </c>
      <c r="G26" t="s">
        <v>59</v>
      </c>
      <c r="H26">
        <v>3</v>
      </c>
      <c r="I26">
        <v>20457</v>
      </c>
      <c r="J26">
        <v>0.2</v>
      </c>
      <c r="K26">
        <v>49096.800000000003</v>
      </c>
      <c r="L26">
        <v>11585.62</v>
      </c>
      <c r="M26" t="str">
        <f t="shared" si="0"/>
        <v>Air Purifier</v>
      </c>
      <c r="N26" t="str">
        <f t="shared" si="1"/>
        <v>Chandigarh</v>
      </c>
      <c r="O26" t="str">
        <f t="shared" si="2"/>
        <v>North</v>
      </c>
      <c r="P26" t="str">
        <f t="shared" si="3"/>
        <v>Home Appliances</v>
      </c>
      <c r="Q26" t="str">
        <f t="shared" si="4"/>
        <v>Home Appliances</v>
      </c>
      <c r="R26" t="str">
        <f t="shared" si="5"/>
        <v>North</v>
      </c>
      <c r="S26" t="str">
        <f t="shared" si="6"/>
        <v>Chandigarh</v>
      </c>
      <c r="T26">
        <f t="shared" si="7"/>
        <v>49096.800000000003</v>
      </c>
      <c r="U26" t="str">
        <f t="shared" si="8"/>
        <v>OK</v>
      </c>
    </row>
    <row r="27" spans="1:21" x14ac:dyDescent="0.3">
      <c r="A27" t="s">
        <v>95</v>
      </c>
      <c r="B27" s="3">
        <v>45761</v>
      </c>
      <c r="C27" t="s">
        <v>96</v>
      </c>
      <c r="D27" t="s">
        <v>97</v>
      </c>
      <c r="E27" t="s">
        <v>44</v>
      </c>
      <c r="F27" t="s">
        <v>21</v>
      </c>
      <c r="G27" t="s">
        <v>55</v>
      </c>
      <c r="H27">
        <v>2</v>
      </c>
      <c r="I27">
        <v>259</v>
      </c>
      <c r="J27">
        <v>0</v>
      </c>
      <c r="K27">
        <v>518</v>
      </c>
      <c r="L27">
        <v>110.18</v>
      </c>
      <c r="M27" t="str">
        <f t="shared" si="0"/>
        <v>USB Cable</v>
      </c>
      <c r="N27" t="str">
        <f t="shared" si="1"/>
        <v>Pune</v>
      </c>
      <c r="O27" t="str">
        <f t="shared" si="2"/>
        <v>West</v>
      </c>
      <c r="P27" t="str">
        <f t="shared" si="3"/>
        <v>Accessories</v>
      </c>
      <c r="Q27" t="str">
        <f t="shared" si="4"/>
        <v>Accessories</v>
      </c>
      <c r="R27" t="str">
        <f t="shared" si="5"/>
        <v>West</v>
      </c>
      <c r="S27" t="str">
        <f t="shared" si="6"/>
        <v>Pune</v>
      </c>
      <c r="T27">
        <f t="shared" si="7"/>
        <v>518</v>
      </c>
      <c r="U27" t="str">
        <f t="shared" si="8"/>
        <v>OK</v>
      </c>
    </row>
    <row r="28" spans="1:21" x14ac:dyDescent="0.3">
      <c r="A28" t="s">
        <v>98</v>
      </c>
      <c r="B28" s="3">
        <v>45967</v>
      </c>
      <c r="C28" t="s">
        <v>57</v>
      </c>
      <c r="D28" t="s">
        <v>34</v>
      </c>
      <c r="E28" t="s">
        <v>15</v>
      </c>
      <c r="F28" t="s">
        <v>27</v>
      </c>
      <c r="G28" t="s">
        <v>40</v>
      </c>
      <c r="H28">
        <v>2</v>
      </c>
      <c r="I28">
        <v>24900</v>
      </c>
      <c r="J28">
        <v>0</v>
      </c>
      <c r="K28">
        <v>49800</v>
      </c>
      <c r="L28">
        <v>4164.03</v>
      </c>
      <c r="M28" t="str">
        <f t="shared" si="0"/>
        <v>Desk</v>
      </c>
      <c r="N28" t="str">
        <f t="shared" si="1"/>
        <v>Chennai</v>
      </c>
      <c r="O28" t="str">
        <f t="shared" si="2"/>
        <v>South</v>
      </c>
      <c r="P28" t="str">
        <f t="shared" si="3"/>
        <v>Furniture</v>
      </c>
      <c r="Q28" t="str">
        <f t="shared" si="4"/>
        <v>Furniture</v>
      </c>
      <c r="R28" t="str">
        <f t="shared" si="5"/>
        <v>South</v>
      </c>
      <c r="S28" t="str">
        <f t="shared" si="6"/>
        <v>Chennai</v>
      </c>
      <c r="T28">
        <f t="shared" si="7"/>
        <v>49800</v>
      </c>
      <c r="U28" t="str">
        <f t="shared" si="8"/>
        <v>OK</v>
      </c>
    </row>
    <row r="29" spans="1:21" x14ac:dyDescent="0.3">
      <c r="A29" t="s">
        <v>99</v>
      </c>
      <c r="B29" s="3">
        <v>45852</v>
      </c>
      <c r="C29" t="s">
        <v>100</v>
      </c>
      <c r="D29" t="s">
        <v>20</v>
      </c>
      <c r="E29" t="s">
        <v>15</v>
      </c>
      <c r="F29" t="s">
        <v>21</v>
      </c>
      <c r="G29" t="s">
        <v>22</v>
      </c>
      <c r="H29">
        <v>2</v>
      </c>
      <c r="I29">
        <v>11251</v>
      </c>
      <c r="J29">
        <v>0</v>
      </c>
      <c r="K29">
        <v>22502</v>
      </c>
      <c r="L29">
        <v>3455.03</v>
      </c>
      <c r="M29" t="str">
        <f t="shared" si="0"/>
        <v>Filing Cabinet</v>
      </c>
      <c r="N29" t="str">
        <f t="shared" si="1"/>
        <v>Ahmedabad</v>
      </c>
      <c r="O29" t="str">
        <f t="shared" si="2"/>
        <v>West</v>
      </c>
      <c r="P29" t="str">
        <f t="shared" si="3"/>
        <v>Furniture</v>
      </c>
      <c r="Q29" t="str">
        <f t="shared" si="4"/>
        <v>Furniture</v>
      </c>
      <c r="R29" t="str">
        <f t="shared" si="5"/>
        <v>West</v>
      </c>
      <c r="S29" t="str">
        <f t="shared" si="6"/>
        <v>Ahmedabad</v>
      </c>
      <c r="T29">
        <f t="shared" si="7"/>
        <v>22502</v>
      </c>
      <c r="U29" t="str">
        <f t="shared" si="8"/>
        <v>OK</v>
      </c>
    </row>
    <row r="30" spans="1:21" x14ac:dyDescent="0.3">
      <c r="A30" t="s">
        <v>101</v>
      </c>
      <c r="B30" s="3">
        <v>45921</v>
      </c>
      <c r="C30" t="s">
        <v>102</v>
      </c>
      <c r="D30" t="s">
        <v>103</v>
      </c>
      <c r="E30" t="s">
        <v>51</v>
      </c>
      <c r="F30" t="s">
        <v>16</v>
      </c>
      <c r="G30" t="s">
        <v>104</v>
      </c>
      <c r="H30">
        <v>2</v>
      </c>
      <c r="I30">
        <v>7400</v>
      </c>
      <c r="J30">
        <v>0.1</v>
      </c>
      <c r="K30">
        <v>13320</v>
      </c>
      <c r="L30">
        <v>2602.4699999999998</v>
      </c>
      <c r="M30" t="str">
        <f t="shared" si="0"/>
        <v>Headphones</v>
      </c>
      <c r="N30" t="str">
        <f t="shared" si="1"/>
        <v>Bhubaneswar</v>
      </c>
      <c r="O30" t="str">
        <f t="shared" si="2"/>
        <v>East</v>
      </c>
      <c r="P30" t="str">
        <f t="shared" si="3"/>
        <v>Electronics</v>
      </c>
      <c r="Q30" t="str">
        <f t="shared" si="4"/>
        <v>Electronics</v>
      </c>
      <c r="R30" t="str">
        <f t="shared" si="5"/>
        <v>East</v>
      </c>
      <c r="S30" t="str">
        <f t="shared" si="6"/>
        <v>Bhubaneswar</v>
      </c>
      <c r="T30">
        <f t="shared" si="7"/>
        <v>13320</v>
      </c>
      <c r="U30" t="str">
        <f t="shared" si="8"/>
        <v>OK</v>
      </c>
    </row>
    <row r="31" spans="1:21" x14ac:dyDescent="0.3">
      <c r="A31" t="s">
        <v>105</v>
      </c>
      <c r="B31" s="3">
        <v>45674</v>
      </c>
      <c r="C31" t="s">
        <v>106</v>
      </c>
      <c r="D31" t="s">
        <v>65</v>
      </c>
      <c r="E31" t="s">
        <v>26</v>
      </c>
      <c r="F31" t="s">
        <v>16</v>
      </c>
      <c r="G31" t="s">
        <v>52</v>
      </c>
      <c r="H31">
        <v>5</v>
      </c>
      <c r="I31">
        <v>2751</v>
      </c>
      <c r="J31">
        <v>0.05</v>
      </c>
      <c r="K31">
        <v>13067.25</v>
      </c>
      <c r="L31">
        <v>3354.35</v>
      </c>
      <c r="M31" t="str">
        <f t="shared" si="0"/>
        <v>Electric Kettle</v>
      </c>
      <c r="N31" t="str">
        <f t="shared" si="1"/>
        <v>Kolkata</v>
      </c>
      <c r="O31" t="str">
        <f t="shared" si="2"/>
        <v>East</v>
      </c>
      <c r="P31" t="str">
        <f t="shared" si="3"/>
        <v>Home Appliances</v>
      </c>
      <c r="Q31" t="str">
        <f t="shared" si="4"/>
        <v>Home Appliances</v>
      </c>
      <c r="R31" t="str">
        <f t="shared" si="5"/>
        <v>East</v>
      </c>
      <c r="S31" t="str">
        <f t="shared" si="6"/>
        <v>Kolkata</v>
      </c>
      <c r="T31">
        <f t="shared" si="7"/>
        <v>13067.25</v>
      </c>
      <c r="U31" t="str">
        <f t="shared" si="8"/>
        <v>OK</v>
      </c>
    </row>
    <row r="32" spans="1:21" x14ac:dyDescent="0.3">
      <c r="A32" t="s">
        <v>107</v>
      </c>
      <c r="B32" s="3">
        <v>45838</v>
      </c>
      <c r="C32" t="s">
        <v>75</v>
      </c>
      <c r="D32" t="s">
        <v>103</v>
      </c>
      <c r="E32" t="s">
        <v>51</v>
      </c>
      <c r="F32" t="s">
        <v>58</v>
      </c>
      <c r="G32" t="s">
        <v>69</v>
      </c>
      <c r="H32">
        <v>2</v>
      </c>
      <c r="I32">
        <v>8847</v>
      </c>
      <c r="J32">
        <v>0</v>
      </c>
      <c r="K32">
        <v>17694</v>
      </c>
      <c r="L32">
        <v>2497.3200000000002</v>
      </c>
      <c r="M32" t="str">
        <f t="shared" si="0"/>
        <v>Headphones</v>
      </c>
      <c r="N32" t="str">
        <f t="shared" si="1"/>
        <v>Jaipur</v>
      </c>
      <c r="O32" t="str">
        <f t="shared" si="2"/>
        <v>North</v>
      </c>
      <c r="P32" t="str">
        <f t="shared" si="3"/>
        <v>Electronics</v>
      </c>
      <c r="Q32" t="str">
        <f t="shared" si="4"/>
        <v>Electronics</v>
      </c>
      <c r="R32" t="str">
        <f t="shared" si="5"/>
        <v>North</v>
      </c>
      <c r="S32" t="str">
        <f t="shared" si="6"/>
        <v>Jaipur</v>
      </c>
      <c r="T32">
        <f t="shared" si="7"/>
        <v>17694</v>
      </c>
      <c r="U32" t="str">
        <f t="shared" si="8"/>
        <v>OK</v>
      </c>
    </row>
    <row r="33" spans="1:21" x14ac:dyDescent="0.3">
      <c r="A33" t="s">
        <v>108</v>
      </c>
      <c r="B33" s="3">
        <v>45938</v>
      </c>
      <c r="C33" t="s">
        <v>109</v>
      </c>
      <c r="D33" t="s">
        <v>43</v>
      </c>
      <c r="E33" t="s">
        <v>44</v>
      </c>
      <c r="F33" t="s">
        <v>16</v>
      </c>
      <c r="G33" t="s">
        <v>104</v>
      </c>
      <c r="H33">
        <v>1</v>
      </c>
      <c r="I33">
        <v>1313</v>
      </c>
      <c r="J33">
        <v>0.2</v>
      </c>
      <c r="K33">
        <v>1050.4000000000001</v>
      </c>
      <c r="L33">
        <v>98.83</v>
      </c>
      <c r="M33" t="str">
        <f t="shared" si="0"/>
        <v>Phone Holder</v>
      </c>
      <c r="N33" t="str">
        <f t="shared" si="1"/>
        <v>Bhubaneswar</v>
      </c>
      <c r="O33" t="str">
        <f t="shared" si="2"/>
        <v>East</v>
      </c>
      <c r="P33" t="str">
        <f t="shared" si="3"/>
        <v>Accessories</v>
      </c>
      <c r="Q33" t="str">
        <f t="shared" si="4"/>
        <v>Accessories</v>
      </c>
      <c r="R33" t="str">
        <f t="shared" si="5"/>
        <v>East</v>
      </c>
      <c r="S33" t="str">
        <f t="shared" si="6"/>
        <v>Bhubaneswar</v>
      </c>
      <c r="T33">
        <f t="shared" si="7"/>
        <v>1050.4000000000001</v>
      </c>
      <c r="U33" t="str">
        <f t="shared" si="8"/>
        <v>OK</v>
      </c>
    </row>
    <row r="34" spans="1:21" x14ac:dyDescent="0.3">
      <c r="A34" t="s">
        <v>110</v>
      </c>
      <c r="B34" s="3">
        <v>45784</v>
      </c>
      <c r="C34" t="s">
        <v>111</v>
      </c>
      <c r="D34" t="s">
        <v>25</v>
      </c>
      <c r="E34" t="s">
        <v>26</v>
      </c>
      <c r="F34" t="s">
        <v>16</v>
      </c>
      <c r="G34" t="s">
        <v>104</v>
      </c>
      <c r="H34">
        <v>2</v>
      </c>
      <c r="I34">
        <v>16528</v>
      </c>
      <c r="J34">
        <v>0.15</v>
      </c>
      <c r="K34">
        <v>28097.599999999999</v>
      </c>
      <c r="L34">
        <v>6164.7</v>
      </c>
      <c r="M34" t="str">
        <f t="shared" si="0"/>
        <v>Microwave</v>
      </c>
      <c r="N34" t="str">
        <f t="shared" si="1"/>
        <v>Bhubaneswar</v>
      </c>
      <c r="O34" t="str">
        <f t="shared" si="2"/>
        <v>East</v>
      </c>
      <c r="P34" t="str">
        <f t="shared" si="3"/>
        <v>Home Appliances</v>
      </c>
      <c r="Q34" t="str">
        <f t="shared" si="4"/>
        <v>Home Appliances</v>
      </c>
      <c r="R34" t="str">
        <f t="shared" si="5"/>
        <v>East</v>
      </c>
      <c r="S34" t="str">
        <f t="shared" si="6"/>
        <v>Bhubaneswar</v>
      </c>
      <c r="T34">
        <f t="shared" si="7"/>
        <v>28097.599999999999</v>
      </c>
      <c r="U34" t="str">
        <f t="shared" si="8"/>
        <v>OK</v>
      </c>
    </row>
    <row r="35" spans="1:21" x14ac:dyDescent="0.3">
      <c r="A35" t="s">
        <v>112</v>
      </c>
      <c r="B35" s="3">
        <v>45904</v>
      </c>
      <c r="C35" t="s">
        <v>113</v>
      </c>
      <c r="D35" t="s">
        <v>88</v>
      </c>
      <c r="E35" t="s">
        <v>73</v>
      </c>
      <c r="F35" t="s">
        <v>58</v>
      </c>
      <c r="G35" t="s">
        <v>69</v>
      </c>
      <c r="H35">
        <v>1</v>
      </c>
      <c r="I35">
        <v>228</v>
      </c>
      <c r="J35">
        <v>0.1</v>
      </c>
      <c r="K35">
        <v>205.2</v>
      </c>
      <c r="L35">
        <v>19.760000000000002</v>
      </c>
      <c r="M35" t="str">
        <f t="shared" si="0"/>
        <v>Stapler</v>
      </c>
      <c r="N35" t="str">
        <f t="shared" si="1"/>
        <v>Jaipur</v>
      </c>
      <c r="O35" t="str">
        <f t="shared" si="2"/>
        <v>North</v>
      </c>
      <c r="P35" t="str">
        <f t="shared" si="3"/>
        <v>Office Supplies</v>
      </c>
      <c r="Q35" t="str">
        <f t="shared" si="4"/>
        <v>Office Supplies</v>
      </c>
      <c r="R35" t="str">
        <f t="shared" si="5"/>
        <v>North</v>
      </c>
      <c r="S35" t="str">
        <f t="shared" si="6"/>
        <v>Jaipur</v>
      </c>
      <c r="T35">
        <f t="shared" si="7"/>
        <v>205.20000000000002</v>
      </c>
      <c r="U35" t="str">
        <f t="shared" si="8"/>
        <v>OK</v>
      </c>
    </row>
    <row r="36" spans="1:21" x14ac:dyDescent="0.3">
      <c r="A36" t="s">
        <v>114</v>
      </c>
      <c r="B36" s="3">
        <v>45921</v>
      </c>
      <c r="C36" t="s">
        <v>33</v>
      </c>
      <c r="D36" t="s">
        <v>47</v>
      </c>
      <c r="E36" t="s">
        <v>26</v>
      </c>
      <c r="F36" t="s">
        <v>21</v>
      </c>
      <c r="G36" t="s">
        <v>35</v>
      </c>
      <c r="H36">
        <v>3</v>
      </c>
      <c r="I36">
        <v>18937</v>
      </c>
      <c r="J36">
        <v>0.2</v>
      </c>
      <c r="K36">
        <v>45448.800000000003</v>
      </c>
      <c r="L36">
        <v>6708.2</v>
      </c>
      <c r="M36" t="str">
        <f t="shared" si="0"/>
        <v>Air Purifier</v>
      </c>
      <c r="N36" t="str">
        <f t="shared" si="1"/>
        <v>Mumbai</v>
      </c>
      <c r="O36" t="str">
        <f t="shared" si="2"/>
        <v>West</v>
      </c>
      <c r="P36" t="str">
        <f t="shared" si="3"/>
        <v>Home Appliances</v>
      </c>
      <c r="Q36" t="str">
        <f t="shared" si="4"/>
        <v>Home Appliances</v>
      </c>
      <c r="R36" t="str">
        <f t="shared" si="5"/>
        <v>West</v>
      </c>
      <c r="S36" t="str">
        <f t="shared" si="6"/>
        <v>Mumbai</v>
      </c>
      <c r="T36">
        <f t="shared" si="7"/>
        <v>45448.800000000003</v>
      </c>
      <c r="U36" t="str">
        <f t="shared" si="8"/>
        <v>OK</v>
      </c>
    </row>
    <row r="37" spans="1:21" x14ac:dyDescent="0.3">
      <c r="A37" t="s">
        <v>115</v>
      </c>
      <c r="B37" s="3">
        <v>45999</v>
      </c>
      <c r="C37" t="s">
        <v>116</v>
      </c>
      <c r="D37" t="s">
        <v>65</v>
      </c>
      <c r="E37" t="s">
        <v>117</v>
      </c>
      <c r="F37" t="s">
        <v>16</v>
      </c>
      <c r="G37" t="s">
        <v>17</v>
      </c>
      <c r="H37">
        <v>1</v>
      </c>
      <c r="I37">
        <v>1712</v>
      </c>
      <c r="J37">
        <v>0.25</v>
      </c>
      <c r="K37">
        <v>1284</v>
      </c>
      <c r="L37">
        <v>318.16000000000003</v>
      </c>
      <c r="M37" t="str">
        <f t="shared" si="0"/>
        <v>Electric Kettle</v>
      </c>
      <c r="N37" t="str">
        <f t="shared" si="1"/>
        <v>Guwahati</v>
      </c>
      <c r="O37" t="str">
        <f t="shared" si="2"/>
        <v>East</v>
      </c>
      <c r="P37" t="str">
        <f t="shared" si="3"/>
        <v>electronics</v>
      </c>
      <c r="Q37" t="str">
        <f t="shared" si="4"/>
        <v>Electronics</v>
      </c>
      <c r="R37" t="str">
        <f t="shared" si="5"/>
        <v>East</v>
      </c>
      <c r="S37" t="str">
        <f t="shared" si="6"/>
        <v>Guwahati</v>
      </c>
      <c r="T37">
        <f t="shared" si="7"/>
        <v>1284</v>
      </c>
      <c r="U37" t="str">
        <f t="shared" si="8"/>
        <v>OK</v>
      </c>
    </row>
    <row r="38" spans="1:21" x14ac:dyDescent="0.3">
      <c r="A38" t="s">
        <v>118</v>
      </c>
      <c r="B38" s="3">
        <v>45928</v>
      </c>
      <c r="C38" t="s">
        <v>119</v>
      </c>
      <c r="D38" t="s">
        <v>120</v>
      </c>
      <c r="E38" t="s">
        <v>51</v>
      </c>
      <c r="F38" t="s">
        <v>27</v>
      </c>
      <c r="G38" t="s">
        <v>40</v>
      </c>
      <c r="H38">
        <v>1</v>
      </c>
      <c r="I38">
        <v>629</v>
      </c>
      <c r="J38">
        <v>0.1</v>
      </c>
      <c r="K38">
        <v>566.1</v>
      </c>
      <c r="L38">
        <v>132.47</v>
      </c>
      <c r="M38" t="str">
        <f t="shared" si="0"/>
        <v>Mouse</v>
      </c>
      <c r="N38" t="str">
        <f t="shared" si="1"/>
        <v>Chennai</v>
      </c>
      <c r="O38" t="str">
        <f t="shared" si="2"/>
        <v>South</v>
      </c>
      <c r="P38" t="str">
        <f t="shared" si="3"/>
        <v>Electronics</v>
      </c>
      <c r="Q38" t="str">
        <f t="shared" si="4"/>
        <v>Electronics</v>
      </c>
      <c r="R38" t="str">
        <f t="shared" si="5"/>
        <v>South</v>
      </c>
      <c r="S38" t="str">
        <f t="shared" si="6"/>
        <v>Chennai</v>
      </c>
      <c r="T38">
        <f t="shared" si="7"/>
        <v>566.1</v>
      </c>
      <c r="U38" t="str">
        <f t="shared" si="8"/>
        <v>OK</v>
      </c>
    </row>
    <row r="39" spans="1:21" x14ac:dyDescent="0.3">
      <c r="A39" t="s">
        <v>121</v>
      </c>
      <c r="B39" s="3">
        <v>46007</v>
      </c>
      <c r="C39" t="s">
        <v>106</v>
      </c>
      <c r="D39" t="s">
        <v>65</v>
      </c>
      <c r="E39" t="s">
        <v>26</v>
      </c>
      <c r="F39" t="s">
        <v>27</v>
      </c>
      <c r="G39" t="s">
        <v>28</v>
      </c>
      <c r="H39">
        <v>2</v>
      </c>
      <c r="I39">
        <v>3304</v>
      </c>
      <c r="J39">
        <v>0.15</v>
      </c>
      <c r="K39">
        <v>5616.8</v>
      </c>
      <c r="L39">
        <v>1545.58</v>
      </c>
      <c r="M39" t="str">
        <f t="shared" si="0"/>
        <v>Electric Kettle</v>
      </c>
      <c r="N39" t="str">
        <f t="shared" si="1"/>
        <v>Bengaluru</v>
      </c>
      <c r="O39" t="str">
        <f t="shared" si="2"/>
        <v>South</v>
      </c>
      <c r="P39" t="str">
        <f t="shared" si="3"/>
        <v>Home Appliances</v>
      </c>
      <c r="Q39" t="str">
        <f t="shared" si="4"/>
        <v>Home Appliances</v>
      </c>
      <c r="R39" t="str">
        <f t="shared" si="5"/>
        <v>South</v>
      </c>
      <c r="S39" t="str">
        <f t="shared" si="6"/>
        <v>Bengaluru</v>
      </c>
      <c r="T39">
        <f t="shared" si="7"/>
        <v>5616.8</v>
      </c>
      <c r="U39" t="str">
        <f t="shared" si="8"/>
        <v>OK</v>
      </c>
    </row>
    <row r="40" spans="1:21" x14ac:dyDescent="0.3">
      <c r="A40" t="s">
        <v>122</v>
      </c>
      <c r="B40" s="3">
        <v>45932</v>
      </c>
      <c r="C40" t="s">
        <v>123</v>
      </c>
      <c r="D40" t="s">
        <v>88</v>
      </c>
      <c r="E40" t="s">
        <v>73</v>
      </c>
      <c r="F40" t="s">
        <v>58</v>
      </c>
      <c r="G40" t="s">
        <v>59</v>
      </c>
      <c r="H40">
        <v>2</v>
      </c>
      <c r="I40">
        <v>139</v>
      </c>
      <c r="J40">
        <v>0</v>
      </c>
      <c r="K40">
        <v>278</v>
      </c>
      <c r="L40">
        <v>75.760000000000005</v>
      </c>
      <c r="M40" t="str">
        <f t="shared" si="0"/>
        <v>Stapler</v>
      </c>
      <c r="N40" t="str">
        <f t="shared" si="1"/>
        <v>Chandigarh</v>
      </c>
      <c r="O40" t="str">
        <f t="shared" si="2"/>
        <v>North</v>
      </c>
      <c r="P40" t="str">
        <f t="shared" si="3"/>
        <v>Office Supplies</v>
      </c>
      <c r="Q40" t="str">
        <f t="shared" si="4"/>
        <v>Office Supplies</v>
      </c>
      <c r="R40" t="str">
        <f t="shared" si="5"/>
        <v>North</v>
      </c>
      <c r="S40" t="str">
        <f t="shared" si="6"/>
        <v>Chandigarh</v>
      </c>
      <c r="T40">
        <f t="shared" si="7"/>
        <v>278</v>
      </c>
      <c r="U40" t="str">
        <f t="shared" si="8"/>
        <v>OK</v>
      </c>
    </row>
    <row r="41" spans="1:21" x14ac:dyDescent="0.3">
      <c r="A41" t="s">
        <v>124</v>
      </c>
      <c r="B41" s="3">
        <v>45715</v>
      </c>
      <c r="C41" t="s">
        <v>125</v>
      </c>
      <c r="D41" t="s">
        <v>20</v>
      </c>
      <c r="E41" t="s">
        <v>15</v>
      </c>
      <c r="F41" t="s">
        <v>58</v>
      </c>
      <c r="G41" t="s">
        <v>126</v>
      </c>
      <c r="H41">
        <v>4</v>
      </c>
      <c r="I41">
        <v>9866</v>
      </c>
      <c r="J41">
        <v>0.05</v>
      </c>
      <c r="K41">
        <v>37490.800000000003</v>
      </c>
      <c r="L41">
        <v>3703.14</v>
      </c>
      <c r="M41" t="str">
        <f t="shared" si="0"/>
        <v>Filing Cabinet</v>
      </c>
      <c r="N41" t="str">
        <f t="shared" si="1"/>
        <v>Delhi</v>
      </c>
      <c r="O41" t="str">
        <f t="shared" si="2"/>
        <v>North</v>
      </c>
      <c r="P41" t="str">
        <f t="shared" si="3"/>
        <v>Furniture</v>
      </c>
      <c r="Q41" t="str">
        <f t="shared" si="4"/>
        <v>Furniture</v>
      </c>
      <c r="R41" t="str">
        <f t="shared" si="5"/>
        <v>North</v>
      </c>
      <c r="S41" t="str">
        <f t="shared" si="6"/>
        <v>Delhi</v>
      </c>
      <c r="T41">
        <f t="shared" si="7"/>
        <v>37490.799999999996</v>
      </c>
      <c r="U41" t="str">
        <f t="shared" si="8"/>
        <v>OK</v>
      </c>
    </row>
    <row r="42" spans="1:21" x14ac:dyDescent="0.3">
      <c r="A42" t="s">
        <v>127</v>
      </c>
      <c r="B42" s="3">
        <v>45849</v>
      </c>
      <c r="C42" t="s">
        <v>128</v>
      </c>
      <c r="D42" t="s">
        <v>83</v>
      </c>
      <c r="E42" t="s">
        <v>73</v>
      </c>
      <c r="F42" t="s">
        <v>58</v>
      </c>
      <c r="G42" t="s">
        <v>126</v>
      </c>
      <c r="H42">
        <v>2</v>
      </c>
      <c r="I42">
        <v>648</v>
      </c>
      <c r="J42">
        <v>0.05</v>
      </c>
      <c r="K42">
        <v>1231.2</v>
      </c>
      <c r="L42">
        <v>159.5</v>
      </c>
      <c r="M42" t="str">
        <f t="shared" si="0"/>
        <v>Printer Paper</v>
      </c>
      <c r="N42" t="str">
        <f t="shared" si="1"/>
        <v>Delhi</v>
      </c>
      <c r="O42" t="str">
        <f t="shared" si="2"/>
        <v>North</v>
      </c>
      <c r="P42" t="str">
        <f t="shared" si="3"/>
        <v>Office Supplies</v>
      </c>
      <c r="Q42" t="str">
        <f t="shared" si="4"/>
        <v>Office Supplies</v>
      </c>
      <c r="R42" t="str">
        <f t="shared" si="5"/>
        <v>North</v>
      </c>
      <c r="S42" t="str">
        <f t="shared" si="6"/>
        <v>Delhi</v>
      </c>
      <c r="T42">
        <f t="shared" si="7"/>
        <v>1231.2</v>
      </c>
      <c r="U42" t="str">
        <f t="shared" si="8"/>
        <v>OK</v>
      </c>
    </row>
    <row r="43" spans="1:21" x14ac:dyDescent="0.3">
      <c r="A43" t="s">
        <v>129</v>
      </c>
      <c r="B43" s="3">
        <v>45877</v>
      </c>
      <c r="C43" t="s">
        <v>128</v>
      </c>
      <c r="D43" t="s">
        <v>80</v>
      </c>
      <c r="E43" t="s">
        <v>51</v>
      </c>
      <c r="F43" t="s">
        <v>58</v>
      </c>
      <c r="G43" t="s">
        <v>69</v>
      </c>
      <c r="H43">
        <v>1</v>
      </c>
      <c r="I43">
        <v>46629</v>
      </c>
      <c r="J43">
        <v>0.15</v>
      </c>
      <c r="K43">
        <v>39634.65</v>
      </c>
      <c r="L43">
        <v>8748.6200000000008</v>
      </c>
      <c r="M43" t="str">
        <f t="shared" si="0"/>
        <v>Laptop</v>
      </c>
      <c r="N43" t="str">
        <f t="shared" si="1"/>
        <v>Jaipur</v>
      </c>
      <c r="O43" t="str">
        <f t="shared" si="2"/>
        <v>North</v>
      </c>
      <c r="P43" t="str">
        <f t="shared" si="3"/>
        <v>Electronics</v>
      </c>
      <c r="Q43" t="str">
        <f t="shared" si="4"/>
        <v>Electronics</v>
      </c>
      <c r="R43" t="str">
        <f t="shared" si="5"/>
        <v>North</v>
      </c>
      <c r="S43" t="str">
        <f t="shared" si="6"/>
        <v>Jaipur</v>
      </c>
      <c r="T43">
        <f t="shared" si="7"/>
        <v>39634.65</v>
      </c>
      <c r="U43" t="str">
        <f t="shared" si="8"/>
        <v>OK</v>
      </c>
    </row>
    <row r="44" spans="1:21" x14ac:dyDescent="0.3">
      <c r="A44" t="s">
        <v>130</v>
      </c>
      <c r="B44" s="3">
        <v>45911</v>
      </c>
      <c r="C44" t="s">
        <v>131</v>
      </c>
      <c r="D44" t="s">
        <v>103</v>
      </c>
      <c r="E44" t="s">
        <v>51</v>
      </c>
      <c r="F44" t="s">
        <v>16</v>
      </c>
      <c r="G44" t="s">
        <v>52</v>
      </c>
      <c r="H44">
        <v>2</v>
      </c>
      <c r="I44">
        <v>4308</v>
      </c>
      <c r="J44">
        <v>0.1</v>
      </c>
      <c r="K44">
        <v>7754.4</v>
      </c>
      <c r="L44">
        <v>1605.31</v>
      </c>
      <c r="M44" t="str">
        <f t="shared" si="0"/>
        <v>Headphones</v>
      </c>
      <c r="N44" t="str">
        <f t="shared" si="1"/>
        <v>Kolkata</v>
      </c>
      <c r="O44" t="str">
        <f t="shared" si="2"/>
        <v>East</v>
      </c>
      <c r="P44" t="str">
        <f t="shared" si="3"/>
        <v>Electronics</v>
      </c>
      <c r="Q44" t="str">
        <f t="shared" si="4"/>
        <v>Electronics</v>
      </c>
      <c r="R44" t="str">
        <f t="shared" si="5"/>
        <v>East</v>
      </c>
      <c r="S44" t="str">
        <f t="shared" si="6"/>
        <v>Kolkata</v>
      </c>
      <c r="T44">
        <f t="shared" si="7"/>
        <v>7754.4000000000005</v>
      </c>
      <c r="U44" t="str">
        <f t="shared" si="8"/>
        <v>OK</v>
      </c>
    </row>
    <row r="45" spans="1:21" x14ac:dyDescent="0.3">
      <c r="A45" t="s">
        <v>132</v>
      </c>
      <c r="B45" s="3">
        <v>45753</v>
      </c>
      <c r="C45" t="s">
        <v>37</v>
      </c>
      <c r="D45" t="s">
        <v>92</v>
      </c>
      <c r="E45" t="s">
        <v>51</v>
      </c>
      <c r="F45" t="s">
        <v>27</v>
      </c>
      <c r="G45" t="s">
        <v>31</v>
      </c>
      <c r="H45">
        <v>3</v>
      </c>
      <c r="I45">
        <v>19539</v>
      </c>
      <c r="J45">
        <v>0</v>
      </c>
      <c r="K45">
        <v>58617</v>
      </c>
      <c r="L45">
        <v>5516.67</v>
      </c>
      <c r="M45" t="str">
        <f t="shared" si="0"/>
        <v>Monitor</v>
      </c>
      <c r="N45" t="str">
        <f t="shared" si="1"/>
        <v>Hyderabad</v>
      </c>
      <c r="O45" t="str">
        <f t="shared" si="2"/>
        <v>South</v>
      </c>
      <c r="P45" t="str">
        <f t="shared" si="3"/>
        <v>Electronics</v>
      </c>
      <c r="Q45" t="str">
        <f t="shared" si="4"/>
        <v>Electronics</v>
      </c>
      <c r="R45" t="str">
        <f t="shared" si="5"/>
        <v>South</v>
      </c>
      <c r="S45" t="str">
        <f t="shared" si="6"/>
        <v>Hyderabad</v>
      </c>
      <c r="T45">
        <f t="shared" si="7"/>
        <v>58617</v>
      </c>
      <c r="U45" t="str">
        <f t="shared" si="8"/>
        <v>OK</v>
      </c>
    </row>
    <row r="46" spans="1:21" x14ac:dyDescent="0.3">
      <c r="A46" t="s">
        <v>133</v>
      </c>
      <c r="B46" s="3">
        <v>45820</v>
      </c>
      <c r="C46" t="s">
        <v>134</v>
      </c>
      <c r="D46" t="s">
        <v>50</v>
      </c>
      <c r="E46" t="s">
        <v>51</v>
      </c>
      <c r="F46" t="s">
        <v>21</v>
      </c>
      <c r="G46" t="s">
        <v>55</v>
      </c>
      <c r="H46">
        <v>2</v>
      </c>
      <c r="I46">
        <v>2037</v>
      </c>
      <c r="J46">
        <v>0.1</v>
      </c>
      <c r="K46">
        <v>3666.6</v>
      </c>
      <c r="L46">
        <v>983.72</v>
      </c>
      <c r="M46" t="str">
        <f t="shared" si="0"/>
        <v>Keyboard</v>
      </c>
      <c r="N46" t="str">
        <f t="shared" si="1"/>
        <v>Pune</v>
      </c>
      <c r="O46" t="str">
        <f t="shared" si="2"/>
        <v>West</v>
      </c>
      <c r="P46" t="str">
        <f t="shared" si="3"/>
        <v>Electronics</v>
      </c>
      <c r="Q46" t="str">
        <f t="shared" si="4"/>
        <v>Electronics</v>
      </c>
      <c r="R46" t="str">
        <f t="shared" si="5"/>
        <v>West</v>
      </c>
      <c r="S46" t="str">
        <f t="shared" si="6"/>
        <v>Pune</v>
      </c>
      <c r="T46">
        <f t="shared" si="7"/>
        <v>3666.6</v>
      </c>
      <c r="U46" t="str">
        <f t="shared" si="8"/>
        <v>OK</v>
      </c>
    </row>
    <row r="47" spans="1:21" x14ac:dyDescent="0.3">
      <c r="A47" t="s">
        <v>135</v>
      </c>
      <c r="B47" s="3">
        <v>45701</v>
      </c>
      <c r="C47" t="s">
        <v>136</v>
      </c>
      <c r="D47" t="s">
        <v>43</v>
      </c>
      <c r="E47" t="s">
        <v>44</v>
      </c>
      <c r="F47" t="s">
        <v>27</v>
      </c>
      <c r="G47" t="s">
        <v>31</v>
      </c>
      <c r="H47">
        <v>1</v>
      </c>
      <c r="I47">
        <v>558</v>
      </c>
      <c r="J47">
        <v>0.05</v>
      </c>
      <c r="K47">
        <v>530.1</v>
      </c>
      <c r="L47">
        <v>46.54</v>
      </c>
      <c r="M47" t="str">
        <f t="shared" si="0"/>
        <v>Phone Holder</v>
      </c>
      <c r="N47" t="str">
        <f t="shared" si="1"/>
        <v>Hyderabad</v>
      </c>
      <c r="O47" t="str">
        <f t="shared" si="2"/>
        <v>South</v>
      </c>
      <c r="P47" t="str">
        <f t="shared" si="3"/>
        <v>Accessories</v>
      </c>
      <c r="Q47" t="str">
        <f t="shared" si="4"/>
        <v>Accessories</v>
      </c>
      <c r="R47" t="str">
        <f t="shared" si="5"/>
        <v>South</v>
      </c>
      <c r="S47" t="str">
        <f t="shared" si="6"/>
        <v>Hyderabad</v>
      </c>
      <c r="T47">
        <f t="shared" si="7"/>
        <v>530.1</v>
      </c>
      <c r="U47" t="str">
        <f t="shared" si="8"/>
        <v>OK</v>
      </c>
    </row>
    <row r="48" spans="1:21" x14ac:dyDescent="0.3">
      <c r="A48" t="s">
        <v>137</v>
      </c>
      <c r="B48" s="3">
        <v>45747</v>
      </c>
      <c r="C48" t="s">
        <v>109</v>
      </c>
      <c r="D48" t="s">
        <v>34</v>
      </c>
      <c r="E48" t="s">
        <v>15</v>
      </c>
      <c r="F48" t="s">
        <v>21</v>
      </c>
      <c r="G48" t="s">
        <v>35</v>
      </c>
      <c r="H48">
        <v>1</v>
      </c>
      <c r="I48">
        <v>11693</v>
      </c>
      <c r="J48">
        <v>0.1</v>
      </c>
      <c r="K48">
        <v>10523.7</v>
      </c>
      <c r="L48">
        <v>2300.25</v>
      </c>
      <c r="M48" t="str">
        <f t="shared" si="0"/>
        <v>Desk</v>
      </c>
      <c r="N48" t="str">
        <f t="shared" si="1"/>
        <v>Mumbai</v>
      </c>
      <c r="O48" t="str">
        <f t="shared" si="2"/>
        <v>West</v>
      </c>
      <c r="P48" t="str">
        <f t="shared" si="3"/>
        <v>Furniture</v>
      </c>
      <c r="Q48" t="str">
        <f t="shared" si="4"/>
        <v>Furniture</v>
      </c>
      <c r="R48" t="str">
        <f t="shared" si="5"/>
        <v>West</v>
      </c>
      <c r="S48" t="str">
        <f t="shared" si="6"/>
        <v>Mumbai</v>
      </c>
      <c r="T48">
        <f t="shared" si="7"/>
        <v>10523.7</v>
      </c>
      <c r="U48" t="str">
        <f t="shared" si="8"/>
        <v>OK</v>
      </c>
    </row>
    <row r="49" spans="1:21" x14ac:dyDescent="0.3">
      <c r="A49" t="s">
        <v>138</v>
      </c>
      <c r="B49" s="3">
        <v>45934</v>
      </c>
      <c r="C49" t="s">
        <v>139</v>
      </c>
      <c r="D49" t="s">
        <v>47</v>
      </c>
      <c r="E49" t="s">
        <v>26</v>
      </c>
      <c r="F49" t="s">
        <v>21</v>
      </c>
      <c r="G49" t="s">
        <v>35</v>
      </c>
      <c r="H49">
        <v>5</v>
      </c>
      <c r="I49">
        <v>15220</v>
      </c>
      <c r="J49">
        <v>0.05</v>
      </c>
      <c r="K49">
        <v>72295</v>
      </c>
      <c r="L49">
        <v>14003.83</v>
      </c>
      <c r="M49" t="str">
        <f t="shared" si="0"/>
        <v>Air Purifier</v>
      </c>
      <c r="N49" t="str">
        <f t="shared" si="1"/>
        <v>Mumbai</v>
      </c>
      <c r="O49" t="str">
        <f t="shared" si="2"/>
        <v>West</v>
      </c>
      <c r="P49" t="str">
        <f t="shared" si="3"/>
        <v>Home Appliances</v>
      </c>
      <c r="Q49" t="str">
        <f t="shared" si="4"/>
        <v>Home Appliances</v>
      </c>
      <c r="R49" t="str">
        <f t="shared" si="5"/>
        <v>West</v>
      </c>
      <c r="S49" t="str">
        <f t="shared" si="6"/>
        <v>Mumbai</v>
      </c>
      <c r="T49">
        <f t="shared" si="7"/>
        <v>72295</v>
      </c>
      <c r="U49" t="str">
        <f t="shared" si="8"/>
        <v>OK</v>
      </c>
    </row>
    <row r="50" spans="1:21" x14ac:dyDescent="0.3">
      <c r="A50" t="s">
        <v>140</v>
      </c>
      <c r="B50" s="3">
        <v>45753</v>
      </c>
      <c r="C50" t="s">
        <v>141</v>
      </c>
      <c r="D50" t="s">
        <v>72</v>
      </c>
      <c r="E50" t="s">
        <v>73</v>
      </c>
      <c r="F50" t="s">
        <v>27</v>
      </c>
      <c r="G50" t="s">
        <v>28</v>
      </c>
      <c r="H50">
        <v>1</v>
      </c>
      <c r="I50">
        <v>1134</v>
      </c>
      <c r="J50">
        <v>0.15</v>
      </c>
      <c r="K50">
        <v>963.9</v>
      </c>
      <c r="L50">
        <v>159.81</v>
      </c>
      <c r="M50" t="str">
        <f t="shared" si="0"/>
        <v>Desk Organizer</v>
      </c>
      <c r="N50" t="str">
        <f t="shared" si="1"/>
        <v>Bengaluru</v>
      </c>
      <c r="O50" t="str">
        <f t="shared" si="2"/>
        <v>South</v>
      </c>
      <c r="P50" t="str">
        <f t="shared" si="3"/>
        <v>Office Supplies</v>
      </c>
      <c r="Q50" t="str">
        <f t="shared" si="4"/>
        <v>Office Supplies</v>
      </c>
      <c r="R50" t="str">
        <f t="shared" si="5"/>
        <v>South</v>
      </c>
      <c r="S50" t="str">
        <f t="shared" si="6"/>
        <v>Bengaluru</v>
      </c>
      <c r="T50">
        <f t="shared" si="7"/>
        <v>963.9</v>
      </c>
      <c r="U50" t="str">
        <f t="shared" si="8"/>
        <v>OK</v>
      </c>
    </row>
    <row r="51" spans="1:21" x14ac:dyDescent="0.3">
      <c r="A51" t="s">
        <v>142</v>
      </c>
      <c r="B51" s="3">
        <v>45930</v>
      </c>
      <c r="C51" t="s">
        <v>143</v>
      </c>
      <c r="D51" t="s">
        <v>88</v>
      </c>
      <c r="E51" t="s">
        <v>73</v>
      </c>
      <c r="F51" t="s">
        <v>58</v>
      </c>
      <c r="G51" t="s">
        <v>69</v>
      </c>
      <c r="H51">
        <v>2</v>
      </c>
      <c r="I51">
        <v>348</v>
      </c>
      <c r="J51">
        <v>0.05</v>
      </c>
      <c r="K51">
        <v>661.2</v>
      </c>
      <c r="L51">
        <v>92.26</v>
      </c>
      <c r="M51" t="str">
        <f t="shared" si="0"/>
        <v>Stapler</v>
      </c>
      <c r="N51" t="str">
        <f t="shared" si="1"/>
        <v>Jaipur</v>
      </c>
      <c r="O51" t="str">
        <f t="shared" si="2"/>
        <v>North</v>
      </c>
      <c r="P51" t="str">
        <f t="shared" si="3"/>
        <v>Office Supplies</v>
      </c>
      <c r="Q51" t="str">
        <f t="shared" si="4"/>
        <v>Office Supplies</v>
      </c>
      <c r="R51" t="str">
        <f t="shared" si="5"/>
        <v>North</v>
      </c>
      <c r="S51" t="str">
        <f t="shared" si="6"/>
        <v>Jaipur</v>
      </c>
      <c r="T51">
        <f t="shared" si="7"/>
        <v>661.19999999999993</v>
      </c>
      <c r="U51" t="str">
        <f t="shared" si="8"/>
        <v>OK</v>
      </c>
    </row>
    <row r="52" spans="1:21" x14ac:dyDescent="0.3">
      <c r="A52" t="s">
        <v>144</v>
      </c>
      <c r="B52" s="3">
        <v>45733</v>
      </c>
      <c r="C52" t="s">
        <v>145</v>
      </c>
      <c r="D52" t="s">
        <v>20</v>
      </c>
      <c r="E52" t="s">
        <v>15</v>
      </c>
      <c r="F52" t="s">
        <v>58</v>
      </c>
      <c r="G52" t="s">
        <v>126</v>
      </c>
      <c r="H52">
        <v>1</v>
      </c>
      <c r="I52">
        <v>15525</v>
      </c>
      <c r="J52">
        <v>0.1</v>
      </c>
      <c r="K52">
        <v>13972.5</v>
      </c>
      <c r="L52">
        <v>2466.1999999999998</v>
      </c>
      <c r="M52" t="str">
        <f t="shared" si="0"/>
        <v>Filing Cabinet</v>
      </c>
      <c r="N52" t="str">
        <f t="shared" si="1"/>
        <v>Delhi</v>
      </c>
      <c r="O52" t="str">
        <f t="shared" si="2"/>
        <v>North</v>
      </c>
      <c r="P52" t="str">
        <f t="shared" si="3"/>
        <v>Furniture</v>
      </c>
      <c r="Q52" t="str">
        <f t="shared" si="4"/>
        <v>Furniture</v>
      </c>
      <c r="R52" t="str">
        <f t="shared" si="5"/>
        <v>North</v>
      </c>
      <c r="S52" t="str">
        <f t="shared" si="6"/>
        <v>Delhi</v>
      </c>
      <c r="T52">
        <f t="shared" si="7"/>
        <v>13972.5</v>
      </c>
      <c r="U52" t="str">
        <f t="shared" si="8"/>
        <v>OK</v>
      </c>
    </row>
    <row r="53" spans="1:21" x14ac:dyDescent="0.3">
      <c r="A53" t="s">
        <v>146</v>
      </c>
      <c r="B53" s="3">
        <v>45710</v>
      </c>
      <c r="C53" t="s">
        <v>147</v>
      </c>
      <c r="D53" t="s">
        <v>103</v>
      </c>
      <c r="E53" t="s">
        <v>51</v>
      </c>
      <c r="F53" t="s">
        <v>16</v>
      </c>
      <c r="G53" t="s">
        <v>52</v>
      </c>
      <c r="H53">
        <v>3</v>
      </c>
      <c r="I53">
        <v>7359</v>
      </c>
      <c r="J53">
        <v>0</v>
      </c>
      <c r="K53">
        <v>22077</v>
      </c>
      <c r="L53">
        <v>3949.22</v>
      </c>
      <c r="M53" t="str">
        <f t="shared" si="0"/>
        <v>Headphones</v>
      </c>
      <c r="N53" t="str">
        <f t="shared" si="1"/>
        <v>Kolkata</v>
      </c>
      <c r="O53" t="str">
        <f t="shared" si="2"/>
        <v>East</v>
      </c>
      <c r="P53" t="str">
        <f t="shared" si="3"/>
        <v>Electronics</v>
      </c>
      <c r="Q53" t="str">
        <f t="shared" si="4"/>
        <v>Electronics</v>
      </c>
      <c r="R53" t="str">
        <f t="shared" si="5"/>
        <v>East</v>
      </c>
      <c r="S53" t="str">
        <f t="shared" si="6"/>
        <v>Kolkata</v>
      </c>
      <c r="T53">
        <f t="shared" si="7"/>
        <v>22077</v>
      </c>
      <c r="U53" t="str">
        <f t="shared" si="8"/>
        <v>OK</v>
      </c>
    </row>
    <row r="54" spans="1:21" x14ac:dyDescent="0.3">
      <c r="A54" t="s">
        <v>148</v>
      </c>
      <c r="B54" s="3">
        <v>45872</v>
      </c>
      <c r="C54" t="s">
        <v>82</v>
      </c>
      <c r="D54" t="s">
        <v>68</v>
      </c>
      <c r="E54" t="s">
        <v>44</v>
      </c>
      <c r="F54" t="s">
        <v>58</v>
      </c>
      <c r="G54" t="s">
        <v>59</v>
      </c>
      <c r="H54">
        <v>2</v>
      </c>
      <c r="I54">
        <v>6176</v>
      </c>
      <c r="J54">
        <v>0.2</v>
      </c>
      <c r="K54">
        <v>9881.6</v>
      </c>
      <c r="L54">
        <v>2150.3000000000002</v>
      </c>
      <c r="M54" t="str">
        <f t="shared" si="0"/>
        <v>Webcam</v>
      </c>
      <c r="N54" t="str">
        <f t="shared" si="1"/>
        <v>Chandigarh</v>
      </c>
      <c r="O54" t="str">
        <f t="shared" si="2"/>
        <v>North</v>
      </c>
      <c r="P54" t="str">
        <f t="shared" si="3"/>
        <v>Accessories</v>
      </c>
      <c r="Q54" t="str">
        <f t="shared" si="4"/>
        <v>Accessories</v>
      </c>
      <c r="R54" t="str">
        <f t="shared" si="5"/>
        <v>North</v>
      </c>
      <c r="S54" t="str">
        <f t="shared" si="6"/>
        <v>Chandigarh</v>
      </c>
      <c r="T54">
        <f t="shared" si="7"/>
        <v>9881.6</v>
      </c>
      <c r="U54" t="str">
        <f t="shared" si="8"/>
        <v>OK</v>
      </c>
    </row>
    <row r="55" spans="1:21" x14ac:dyDescent="0.3">
      <c r="A55" t="s">
        <v>149</v>
      </c>
      <c r="B55" s="3">
        <v>45940</v>
      </c>
      <c r="C55" t="s">
        <v>150</v>
      </c>
      <c r="D55" t="s">
        <v>103</v>
      </c>
      <c r="E55" t="s">
        <v>51</v>
      </c>
      <c r="F55" t="s">
        <v>21</v>
      </c>
      <c r="G55" t="s">
        <v>55</v>
      </c>
      <c r="H55">
        <v>3</v>
      </c>
      <c r="I55">
        <v>1835</v>
      </c>
      <c r="J55">
        <v>0</v>
      </c>
      <c r="K55">
        <v>5505</v>
      </c>
      <c r="L55">
        <v>1526.69</v>
      </c>
      <c r="M55" t="str">
        <f t="shared" si="0"/>
        <v>Headphones</v>
      </c>
      <c r="N55" t="str">
        <f t="shared" si="1"/>
        <v>Pune</v>
      </c>
      <c r="O55" t="str">
        <f t="shared" si="2"/>
        <v>West</v>
      </c>
      <c r="P55" t="str">
        <f t="shared" si="3"/>
        <v>Electronics</v>
      </c>
      <c r="Q55" t="str">
        <f t="shared" si="4"/>
        <v>Electronics</v>
      </c>
      <c r="R55" t="str">
        <f t="shared" si="5"/>
        <v>West</v>
      </c>
      <c r="S55" t="str">
        <f t="shared" si="6"/>
        <v>Pune</v>
      </c>
      <c r="T55">
        <f t="shared" si="7"/>
        <v>5505</v>
      </c>
      <c r="U55" t="str">
        <f t="shared" si="8"/>
        <v>OK</v>
      </c>
    </row>
    <row r="56" spans="1:21" x14ac:dyDescent="0.3">
      <c r="A56" t="s">
        <v>151</v>
      </c>
      <c r="B56" s="3">
        <v>45984</v>
      </c>
      <c r="C56" t="s">
        <v>119</v>
      </c>
      <c r="D56" t="s">
        <v>20</v>
      </c>
      <c r="E56" t="s">
        <v>15</v>
      </c>
      <c r="F56" t="s">
        <v>58</v>
      </c>
      <c r="G56" t="s">
        <v>59</v>
      </c>
      <c r="H56">
        <v>5</v>
      </c>
      <c r="I56">
        <v>13287</v>
      </c>
      <c r="J56">
        <v>0.05</v>
      </c>
      <c r="K56">
        <v>63113.25</v>
      </c>
      <c r="L56">
        <v>6103.06</v>
      </c>
      <c r="M56" t="str">
        <f t="shared" si="0"/>
        <v>Filing Cabinet</v>
      </c>
      <c r="N56" t="str">
        <f t="shared" si="1"/>
        <v>Chandigarh</v>
      </c>
      <c r="O56" t="str">
        <f t="shared" si="2"/>
        <v>North</v>
      </c>
      <c r="P56" t="str">
        <f t="shared" si="3"/>
        <v>Furniture</v>
      </c>
      <c r="Q56" t="str">
        <f t="shared" si="4"/>
        <v>Furniture</v>
      </c>
      <c r="R56" t="str">
        <f t="shared" si="5"/>
        <v>North</v>
      </c>
      <c r="S56" t="str">
        <f t="shared" si="6"/>
        <v>Chandigarh</v>
      </c>
      <c r="T56">
        <f t="shared" si="7"/>
        <v>63113.25</v>
      </c>
      <c r="U56" t="str">
        <f t="shared" si="8"/>
        <v>OK</v>
      </c>
    </row>
    <row r="57" spans="1:21" x14ac:dyDescent="0.3">
      <c r="A57" t="s">
        <v>152</v>
      </c>
      <c r="B57" s="3">
        <v>45676</v>
      </c>
      <c r="C57" t="s">
        <v>116</v>
      </c>
      <c r="D57" t="s">
        <v>153</v>
      </c>
      <c r="E57" t="s">
        <v>26</v>
      </c>
      <c r="F57" t="s">
        <v>27</v>
      </c>
      <c r="G57" t="s">
        <v>40</v>
      </c>
      <c r="H57">
        <v>1</v>
      </c>
      <c r="I57">
        <v>6195</v>
      </c>
      <c r="J57">
        <v>0</v>
      </c>
      <c r="K57">
        <v>6195</v>
      </c>
      <c r="L57">
        <v>1076.27</v>
      </c>
      <c r="M57" t="str">
        <f t="shared" si="0"/>
        <v>Coffee Maker</v>
      </c>
      <c r="N57" t="str">
        <f t="shared" si="1"/>
        <v>Chennai</v>
      </c>
      <c r="O57" t="str">
        <f t="shared" si="2"/>
        <v>South</v>
      </c>
      <c r="P57" t="str">
        <f t="shared" si="3"/>
        <v>Home Appliances</v>
      </c>
      <c r="Q57" t="str">
        <f t="shared" si="4"/>
        <v>Home Appliances</v>
      </c>
      <c r="R57" t="str">
        <f t="shared" si="5"/>
        <v>South</v>
      </c>
      <c r="S57" t="str">
        <f t="shared" si="6"/>
        <v>Chennai</v>
      </c>
      <c r="T57">
        <f t="shared" si="7"/>
        <v>6195</v>
      </c>
      <c r="U57" t="str">
        <f t="shared" si="8"/>
        <v>OK</v>
      </c>
    </row>
    <row r="58" spans="1:21" x14ac:dyDescent="0.3">
      <c r="A58" t="s">
        <v>154</v>
      </c>
      <c r="B58" s="3">
        <v>46018</v>
      </c>
      <c r="C58" t="s">
        <v>77</v>
      </c>
      <c r="D58" t="s">
        <v>72</v>
      </c>
      <c r="E58" t="s">
        <v>73</v>
      </c>
      <c r="F58" t="s">
        <v>58</v>
      </c>
      <c r="G58" t="s">
        <v>59</v>
      </c>
      <c r="H58">
        <v>3</v>
      </c>
      <c r="I58">
        <v>897</v>
      </c>
      <c r="J58">
        <v>0.05</v>
      </c>
      <c r="K58">
        <v>2556.4499999999998</v>
      </c>
      <c r="L58">
        <v>409.15</v>
      </c>
      <c r="M58" t="str">
        <f t="shared" si="0"/>
        <v>Desk Organizer</v>
      </c>
      <c r="N58" t="str">
        <f t="shared" si="1"/>
        <v>Chandigarh</v>
      </c>
      <c r="O58" t="str">
        <f t="shared" si="2"/>
        <v>North</v>
      </c>
      <c r="P58" t="str">
        <f t="shared" si="3"/>
        <v>Office Supplies</v>
      </c>
      <c r="Q58" t="str">
        <f t="shared" si="4"/>
        <v>Office Supplies</v>
      </c>
      <c r="R58" t="str">
        <f t="shared" si="5"/>
        <v>North</v>
      </c>
      <c r="S58" t="str">
        <f t="shared" si="6"/>
        <v>Chandigarh</v>
      </c>
      <c r="T58">
        <f t="shared" si="7"/>
        <v>2556.4499999999998</v>
      </c>
      <c r="U58" t="str">
        <f t="shared" si="8"/>
        <v>OK</v>
      </c>
    </row>
    <row r="59" spans="1:21" x14ac:dyDescent="0.3">
      <c r="A59" t="s">
        <v>155</v>
      </c>
      <c r="B59" s="3">
        <v>45791</v>
      </c>
      <c r="C59" t="s">
        <v>156</v>
      </c>
      <c r="D59" t="s">
        <v>157</v>
      </c>
      <c r="E59" t="s">
        <v>51</v>
      </c>
      <c r="F59" t="s">
        <v>27</v>
      </c>
      <c r="G59" t="s">
        <v>28</v>
      </c>
      <c r="H59">
        <v>3</v>
      </c>
      <c r="I59">
        <v>84116</v>
      </c>
      <c r="J59">
        <v>0.1</v>
      </c>
      <c r="K59">
        <v>227113.2</v>
      </c>
      <c r="L59">
        <v>32826.32</v>
      </c>
      <c r="M59" t="str">
        <f t="shared" si="0"/>
        <v>Laptop</v>
      </c>
      <c r="N59" t="str">
        <f t="shared" si="1"/>
        <v>Bengaluru</v>
      </c>
      <c r="O59" t="str">
        <f t="shared" si="2"/>
        <v>South</v>
      </c>
      <c r="P59" t="str">
        <f t="shared" si="3"/>
        <v>Electronics</v>
      </c>
      <c r="Q59" t="str">
        <f t="shared" si="4"/>
        <v>Electronics</v>
      </c>
      <c r="R59" t="str">
        <f t="shared" si="5"/>
        <v>South</v>
      </c>
      <c r="S59" t="str">
        <f t="shared" si="6"/>
        <v>Bengaluru</v>
      </c>
      <c r="T59">
        <f t="shared" si="7"/>
        <v>227113.2</v>
      </c>
      <c r="U59" t="str">
        <f t="shared" si="8"/>
        <v>OK</v>
      </c>
    </row>
    <row r="60" spans="1:21" x14ac:dyDescent="0.3">
      <c r="A60" t="s">
        <v>158</v>
      </c>
      <c r="B60" s="3">
        <v>45821</v>
      </c>
      <c r="C60" t="s">
        <v>159</v>
      </c>
      <c r="D60" t="s">
        <v>153</v>
      </c>
      <c r="E60" t="s">
        <v>26</v>
      </c>
      <c r="F60" t="s">
        <v>21</v>
      </c>
      <c r="G60" t="s">
        <v>35</v>
      </c>
      <c r="H60">
        <v>2</v>
      </c>
      <c r="I60">
        <v>9770</v>
      </c>
      <c r="J60">
        <v>0.1</v>
      </c>
      <c r="K60">
        <v>17586</v>
      </c>
      <c r="L60">
        <v>3620.6</v>
      </c>
      <c r="M60" t="str">
        <f t="shared" si="0"/>
        <v>Coffee Maker</v>
      </c>
      <c r="N60" t="str">
        <f t="shared" si="1"/>
        <v>Mumbai</v>
      </c>
      <c r="O60" t="str">
        <f t="shared" si="2"/>
        <v>West</v>
      </c>
      <c r="P60" t="str">
        <f t="shared" si="3"/>
        <v>Home Appliances</v>
      </c>
      <c r="Q60" t="str">
        <f t="shared" si="4"/>
        <v>Home Appliances</v>
      </c>
      <c r="R60" t="str">
        <f t="shared" si="5"/>
        <v>West</v>
      </c>
      <c r="S60" t="str">
        <f t="shared" si="6"/>
        <v>Mumbai</v>
      </c>
      <c r="T60">
        <f t="shared" si="7"/>
        <v>17586</v>
      </c>
      <c r="U60" t="str">
        <f t="shared" si="8"/>
        <v>OK</v>
      </c>
    </row>
    <row r="61" spans="1:21" x14ac:dyDescent="0.3">
      <c r="A61" t="s">
        <v>160</v>
      </c>
      <c r="B61" s="3">
        <v>45916</v>
      </c>
      <c r="C61" t="s">
        <v>161</v>
      </c>
      <c r="D61" t="s">
        <v>14</v>
      </c>
      <c r="E61" t="s">
        <v>15</v>
      </c>
      <c r="F61" t="s">
        <v>58</v>
      </c>
      <c r="G61" t="s">
        <v>69</v>
      </c>
      <c r="H61">
        <v>4</v>
      </c>
      <c r="I61">
        <v>6545</v>
      </c>
      <c r="J61">
        <v>0.05</v>
      </c>
      <c r="K61">
        <v>24871</v>
      </c>
      <c r="L61">
        <v>6717.22</v>
      </c>
      <c r="M61" t="str">
        <f t="shared" si="0"/>
        <v>Office Chair</v>
      </c>
      <c r="N61" t="str">
        <f t="shared" si="1"/>
        <v>Jaipur</v>
      </c>
      <c r="O61" t="str">
        <f t="shared" si="2"/>
        <v>North</v>
      </c>
      <c r="P61" t="str">
        <f t="shared" si="3"/>
        <v>Furniture</v>
      </c>
      <c r="Q61" t="str">
        <f t="shared" si="4"/>
        <v>Furniture</v>
      </c>
      <c r="R61" t="str">
        <f t="shared" si="5"/>
        <v>North</v>
      </c>
      <c r="S61" t="str">
        <f t="shared" si="6"/>
        <v>Jaipur</v>
      </c>
      <c r="T61">
        <f t="shared" si="7"/>
        <v>24871</v>
      </c>
      <c r="U61" t="str">
        <f t="shared" si="8"/>
        <v>OK</v>
      </c>
    </row>
    <row r="62" spans="1:21" x14ac:dyDescent="0.3">
      <c r="A62" t="s">
        <v>162</v>
      </c>
      <c r="B62" s="3">
        <v>46005</v>
      </c>
      <c r="C62" t="s">
        <v>163</v>
      </c>
      <c r="D62" t="s">
        <v>20</v>
      </c>
      <c r="E62" t="s">
        <v>15</v>
      </c>
      <c r="F62" t="s">
        <v>58</v>
      </c>
      <c r="G62" t="s">
        <v>69</v>
      </c>
      <c r="H62">
        <v>2</v>
      </c>
      <c r="I62">
        <v>9271</v>
      </c>
      <c r="J62">
        <v>0.05</v>
      </c>
      <c r="K62">
        <v>17614.900000000001</v>
      </c>
      <c r="L62">
        <v>2346.09</v>
      </c>
      <c r="M62" t="str">
        <f t="shared" si="0"/>
        <v>Filing Cabinet</v>
      </c>
      <c r="N62" t="str">
        <f t="shared" si="1"/>
        <v>Jaipur</v>
      </c>
      <c r="O62" t="str">
        <f t="shared" si="2"/>
        <v>North</v>
      </c>
      <c r="P62" t="str">
        <f t="shared" si="3"/>
        <v>Furniture</v>
      </c>
      <c r="Q62" t="str">
        <f t="shared" si="4"/>
        <v>Furniture</v>
      </c>
      <c r="R62" t="str">
        <f t="shared" si="5"/>
        <v>North</v>
      </c>
      <c r="S62" t="str">
        <f t="shared" si="6"/>
        <v>Jaipur</v>
      </c>
      <c r="T62">
        <f t="shared" si="7"/>
        <v>17614.899999999998</v>
      </c>
      <c r="U62" t="str">
        <f t="shared" si="8"/>
        <v>OK</v>
      </c>
    </row>
    <row r="63" spans="1:21" x14ac:dyDescent="0.3">
      <c r="A63" t="s">
        <v>164</v>
      </c>
      <c r="B63" s="3">
        <v>45802</v>
      </c>
      <c r="C63" t="s">
        <v>165</v>
      </c>
      <c r="D63" t="s">
        <v>43</v>
      </c>
      <c r="E63" t="s">
        <v>44</v>
      </c>
      <c r="F63" t="s">
        <v>16</v>
      </c>
      <c r="G63" t="s">
        <v>104</v>
      </c>
      <c r="H63">
        <v>1</v>
      </c>
      <c r="I63">
        <v>793</v>
      </c>
      <c r="J63">
        <v>0.1</v>
      </c>
      <c r="K63">
        <v>713.7</v>
      </c>
      <c r="L63">
        <v>95.77</v>
      </c>
      <c r="M63" t="str">
        <f t="shared" si="0"/>
        <v>Phone Holder</v>
      </c>
      <c r="N63" t="str">
        <f t="shared" si="1"/>
        <v>Bhubaneswar</v>
      </c>
      <c r="O63" t="str">
        <f t="shared" si="2"/>
        <v>East</v>
      </c>
      <c r="P63" t="str">
        <f t="shared" si="3"/>
        <v>Accessories</v>
      </c>
      <c r="Q63" t="str">
        <f t="shared" si="4"/>
        <v>Accessories</v>
      </c>
      <c r="R63" t="str">
        <f t="shared" si="5"/>
        <v>East</v>
      </c>
      <c r="S63" t="str">
        <f t="shared" si="6"/>
        <v>Bhubaneswar</v>
      </c>
      <c r="T63">
        <f t="shared" si="7"/>
        <v>713.7</v>
      </c>
      <c r="U63" t="str">
        <f t="shared" si="8"/>
        <v>OK</v>
      </c>
    </row>
    <row r="64" spans="1:21" x14ac:dyDescent="0.3">
      <c r="A64" t="s">
        <v>166</v>
      </c>
      <c r="B64" s="3">
        <v>45913</v>
      </c>
      <c r="C64" t="s">
        <v>150</v>
      </c>
      <c r="D64" t="s">
        <v>97</v>
      </c>
      <c r="E64" t="s">
        <v>44</v>
      </c>
      <c r="F64" t="s">
        <v>27</v>
      </c>
      <c r="G64" t="s">
        <v>40</v>
      </c>
      <c r="H64">
        <v>2</v>
      </c>
      <c r="I64">
        <v>1123</v>
      </c>
      <c r="J64">
        <v>0</v>
      </c>
      <c r="K64">
        <v>2246</v>
      </c>
      <c r="L64">
        <v>573.48</v>
      </c>
      <c r="M64" t="str">
        <f t="shared" si="0"/>
        <v>USB Cable</v>
      </c>
      <c r="N64" t="str">
        <f t="shared" si="1"/>
        <v>Chennai</v>
      </c>
      <c r="O64" t="str">
        <f t="shared" si="2"/>
        <v>South</v>
      </c>
      <c r="P64" t="str">
        <f t="shared" si="3"/>
        <v>Accessories</v>
      </c>
      <c r="Q64" t="str">
        <f t="shared" si="4"/>
        <v>Accessories</v>
      </c>
      <c r="R64" t="str">
        <f t="shared" si="5"/>
        <v>South</v>
      </c>
      <c r="S64" t="str">
        <f t="shared" si="6"/>
        <v>Chennai</v>
      </c>
      <c r="T64">
        <f t="shared" si="7"/>
        <v>2246</v>
      </c>
      <c r="U64" t="str">
        <f t="shared" si="8"/>
        <v>OK</v>
      </c>
    </row>
    <row r="65" spans="1:21" x14ac:dyDescent="0.3">
      <c r="A65" t="s">
        <v>167</v>
      </c>
      <c r="B65" s="3">
        <v>45803</v>
      </c>
      <c r="C65" t="s">
        <v>64</v>
      </c>
      <c r="D65" t="s">
        <v>80</v>
      </c>
      <c r="E65" t="s">
        <v>51</v>
      </c>
      <c r="F65" t="s">
        <v>27</v>
      </c>
      <c r="G65" t="s">
        <v>28</v>
      </c>
      <c r="H65">
        <v>5</v>
      </c>
      <c r="I65">
        <v>51017</v>
      </c>
      <c r="J65">
        <v>0.1</v>
      </c>
      <c r="K65">
        <v>229576.5</v>
      </c>
      <c r="L65">
        <v>35854.839999999997</v>
      </c>
      <c r="M65" t="str">
        <f t="shared" si="0"/>
        <v>Laptop</v>
      </c>
      <c r="N65" t="str">
        <f t="shared" si="1"/>
        <v>Bengaluru</v>
      </c>
      <c r="O65" t="str">
        <f t="shared" si="2"/>
        <v>South</v>
      </c>
      <c r="P65" t="str">
        <f t="shared" si="3"/>
        <v>Electronics</v>
      </c>
      <c r="Q65" t="str">
        <f t="shared" si="4"/>
        <v>Electronics</v>
      </c>
      <c r="R65" t="str">
        <f t="shared" si="5"/>
        <v>South</v>
      </c>
      <c r="S65" t="str">
        <f t="shared" si="6"/>
        <v>Bengaluru</v>
      </c>
      <c r="T65">
        <f t="shared" si="7"/>
        <v>229576.5</v>
      </c>
      <c r="U65" t="str">
        <f t="shared" si="8"/>
        <v>OK</v>
      </c>
    </row>
    <row r="66" spans="1:21" x14ac:dyDescent="0.3">
      <c r="A66" t="s">
        <v>168</v>
      </c>
      <c r="B66" s="3">
        <v>45755</v>
      </c>
      <c r="C66" t="s">
        <v>39</v>
      </c>
      <c r="D66" t="s">
        <v>97</v>
      </c>
      <c r="E66" t="s">
        <v>44</v>
      </c>
      <c r="F66" t="s">
        <v>58</v>
      </c>
      <c r="G66" t="s">
        <v>126</v>
      </c>
      <c r="H66">
        <v>1</v>
      </c>
      <c r="I66">
        <v>377</v>
      </c>
      <c r="J66">
        <v>0</v>
      </c>
      <c r="K66">
        <v>377</v>
      </c>
      <c r="L66">
        <v>35.840000000000003</v>
      </c>
      <c r="M66" t="str">
        <f t="shared" si="0"/>
        <v>USB Cable</v>
      </c>
      <c r="N66" t="str">
        <f t="shared" si="1"/>
        <v>Delhi</v>
      </c>
      <c r="O66" t="str">
        <f t="shared" si="2"/>
        <v>North</v>
      </c>
      <c r="P66" t="str">
        <f t="shared" si="3"/>
        <v>Accessories</v>
      </c>
      <c r="Q66" t="str">
        <f t="shared" si="4"/>
        <v>Accessories</v>
      </c>
      <c r="R66" t="str">
        <f t="shared" si="5"/>
        <v>North</v>
      </c>
      <c r="S66" t="str">
        <f t="shared" si="6"/>
        <v>Delhi</v>
      </c>
      <c r="T66">
        <f t="shared" si="7"/>
        <v>377</v>
      </c>
      <c r="U66" t="str">
        <f t="shared" si="8"/>
        <v>OK</v>
      </c>
    </row>
    <row r="67" spans="1:21" x14ac:dyDescent="0.3">
      <c r="A67" t="s">
        <v>169</v>
      </c>
      <c r="B67" s="3">
        <v>45710</v>
      </c>
      <c r="C67" t="s">
        <v>170</v>
      </c>
      <c r="D67" t="s">
        <v>88</v>
      </c>
      <c r="E67" t="s">
        <v>73</v>
      </c>
      <c r="F67" t="s">
        <v>58</v>
      </c>
      <c r="G67" t="s">
        <v>59</v>
      </c>
      <c r="H67">
        <v>4</v>
      </c>
      <c r="I67">
        <v>525</v>
      </c>
      <c r="J67">
        <v>0.05</v>
      </c>
      <c r="K67">
        <v>1995</v>
      </c>
      <c r="L67">
        <v>339.37</v>
      </c>
      <c r="M67" t="str">
        <f t="shared" ref="M67:M130" si="9">TRIM(D67)</f>
        <v>Stapler</v>
      </c>
      <c r="N67" t="str">
        <f t="shared" ref="N67:N130" si="10">TRIM(G67)</f>
        <v>Chandigarh</v>
      </c>
      <c r="O67" t="str">
        <f t="shared" ref="O67:O130" si="11">TRIM(F:F)</f>
        <v>North</v>
      </c>
      <c r="P67" t="str">
        <f t="shared" ref="P67:P130" si="12">TRIM(E67)</f>
        <v>Office Supplies</v>
      </c>
      <c r="Q67" t="str">
        <f t="shared" ref="Q67:Q130" si="13">PROPER(E67)</f>
        <v>Office Supplies</v>
      </c>
      <c r="R67" t="str">
        <f t="shared" ref="R67:R130" si="14">PROPER(F67)</f>
        <v>North</v>
      </c>
      <c r="S67" t="str">
        <f t="shared" ref="S67:S130" si="15">PROPER(G67)</f>
        <v>Chandigarh</v>
      </c>
      <c r="T67">
        <f t="shared" ref="T67:T130" si="16">H67*I67*(1-J67)</f>
        <v>1995</v>
      </c>
      <c r="U67" t="str">
        <f t="shared" ref="U67:U130" si="17">IF(ROUND(K67,2)=ROUND(T67,2),"OK","CHECK")</f>
        <v>OK</v>
      </c>
    </row>
    <row r="68" spans="1:21" x14ac:dyDescent="0.3">
      <c r="A68" t="s">
        <v>171</v>
      </c>
      <c r="B68" s="3">
        <v>45945</v>
      </c>
      <c r="C68" t="s">
        <v>172</v>
      </c>
      <c r="D68" t="s">
        <v>103</v>
      </c>
      <c r="E68" t="s">
        <v>51</v>
      </c>
      <c r="F68" t="s">
        <v>58</v>
      </c>
      <c r="G68" t="s">
        <v>69</v>
      </c>
      <c r="H68">
        <v>1</v>
      </c>
      <c r="I68">
        <v>3296</v>
      </c>
      <c r="J68">
        <v>0</v>
      </c>
      <c r="K68">
        <v>3296</v>
      </c>
      <c r="L68">
        <v>592.07000000000005</v>
      </c>
      <c r="M68" t="str">
        <f t="shared" si="9"/>
        <v>Headphones</v>
      </c>
      <c r="N68" t="str">
        <f t="shared" si="10"/>
        <v>Jaipur</v>
      </c>
      <c r="O68" t="str">
        <f t="shared" si="11"/>
        <v>North</v>
      </c>
      <c r="P68" t="str">
        <f t="shared" si="12"/>
        <v>Electronics</v>
      </c>
      <c r="Q68" t="str">
        <f t="shared" si="13"/>
        <v>Electronics</v>
      </c>
      <c r="R68" t="str">
        <f t="shared" si="14"/>
        <v>North</v>
      </c>
      <c r="S68" t="str">
        <f t="shared" si="15"/>
        <v>Jaipur</v>
      </c>
      <c r="T68">
        <f t="shared" si="16"/>
        <v>3296</v>
      </c>
      <c r="U68" t="str">
        <f t="shared" si="17"/>
        <v>OK</v>
      </c>
    </row>
    <row r="69" spans="1:21" x14ac:dyDescent="0.3">
      <c r="A69" t="s">
        <v>173</v>
      </c>
      <c r="B69" s="3">
        <v>45711</v>
      </c>
      <c r="C69" t="s">
        <v>174</v>
      </c>
      <c r="D69" t="s">
        <v>68</v>
      </c>
      <c r="E69" t="s">
        <v>44</v>
      </c>
      <c r="F69" t="s">
        <v>21</v>
      </c>
      <c r="G69" t="s">
        <v>35</v>
      </c>
      <c r="H69">
        <v>5</v>
      </c>
      <c r="I69">
        <v>2348</v>
      </c>
      <c r="J69">
        <v>0.15</v>
      </c>
      <c r="K69">
        <v>9979</v>
      </c>
      <c r="L69">
        <v>1975.75</v>
      </c>
      <c r="M69" t="str">
        <f t="shared" si="9"/>
        <v>Webcam</v>
      </c>
      <c r="N69" t="str">
        <f t="shared" si="10"/>
        <v>Mumbai</v>
      </c>
      <c r="O69" t="str">
        <f t="shared" si="11"/>
        <v>West</v>
      </c>
      <c r="P69" t="str">
        <f t="shared" si="12"/>
        <v>Accessories</v>
      </c>
      <c r="Q69" t="str">
        <f t="shared" si="13"/>
        <v>Accessories</v>
      </c>
      <c r="R69" t="str">
        <f t="shared" si="14"/>
        <v>West</v>
      </c>
      <c r="S69" t="str">
        <f t="shared" si="15"/>
        <v>Mumbai</v>
      </c>
      <c r="T69">
        <f t="shared" si="16"/>
        <v>9979</v>
      </c>
      <c r="U69" t="str">
        <f t="shared" si="17"/>
        <v>OK</v>
      </c>
    </row>
    <row r="70" spans="1:21" x14ac:dyDescent="0.3">
      <c r="A70" t="s">
        <v>175</v>
      </c>
      <c r="B70" s="3">
        <v>45723</v>
      </c>
      <c r="C70" t="s">
        <v>176</v>
      </c>
      <c r="D70" t="s">
        <v>14</v>
      </c>
      <c r="E70" t="s">
        <v>15</v>
      </c>
      <c r="F70" t="s">
        <v>58</v>
      </c>
      <c r="G70" t="s">
        <v>69</v>
      </c>
      <c r="H70">
        <v>3</v>
      </c>
      <c r="I70">
        <v>16838</v>
      </c>
      <c r="J70">
        <v>0.1</v>
      </c>
      <c r="K70">
        <v>45462.6</v>
      </c>
      <c r="L70">
        <v>12551.88</v>
      </c>
      <c r="M70" t="str">
        <f t="shared" si="9"/>
        <v>Office Chair</v>
      </c>
      <c r="N70" t="str">
        <f t="shared" si="10"/>
        <v>Jaipur</v>
      </c>
      <c r="O70" t="str">
        <f t="shared" si="11"/>
        <v>North</v>
      </c>
      <c r="P70" t="str">
        <f t="shared" si="12"/>
        <v>Furniture</v>
      </c>
      <c r="Q70" t="str">
        <f t="shared" si="13"/>
        <v>Furniture</v>
      </c>
      <c r="R70" t="str">
        <f t="shared" si="14"/>
        <v>North</v>
      </c>
      <c r="S70" t="str">
        <f t="shared" si="15"/>
        <v>Jaipur</v>
      </c>
      <c r="T70">
        <f t="shared" si="16"/>
        <v>45462.6</v>
      </c>
      <c r="U70" t="str">
        <f t="shared" si="17"/>
        <v>OK</v>
      </c>
    </row>
    <row r="71" spans="1:21" x14ac:dyDescent="0.3">
      <c r="A71" t="s">
        <v>177</v>
      </c>
      <c r="B71" s="3">
        <v>45965</v>
      </c>
      <c r="C71" t="s">
        <v>178</v>
      </c>
      <c r="D71" t="s">
        <v>25</v>
      </c>
      <c r="E71" t="s">
        <v>26</v>
      </c>
      <c r="F71" t="s">
        <v>16</v>
      </c>
      <c r="G71" t="s">
        <v>17</v>
      </c>
      <c r="H71">
        <v>2</v>
      </c>
      <c r="I71">
        <v>11411</v>
      </c>
      <c r="J71">
        <v>0.2</v>
      </c>
      <c r="K71">
        <v>18257.599999999999</v>
      </c>
      <c r="L71">
        <v>2548.61</v>
      </c>
      <c r="M71" t="str">
        <f t="shared" si="9"/>
        <v>Microwave</v>
      </c>
      <c r="N71" t="str">
        <f t="shared" si="10"/>
        <v>Guwahati</v>
      </c>
      <c r="O71" t="str">
        <f t="shared" si="11"/>
        <v>East</v>
      </c>
      <c r="P71" t="str">
        <f t="shared" si="12"/>
        <v>Home Appliances</v>
      </c>
      <c r="Q71" t="str">
        <f t="shared" si="13"/>
        <v>Home Appliances</v>
      </c>
      <c r="R71" t="str">
        <f t="shared" si="14"/>
        <v>East</v>
      </c>
      <c r="S71" t="str">
        <f t="shared" si="15"/>
        <v>Guwahati</v>
      </c>
      <c r="T71">
        <f t="shared" si="16"/>
        <v>18257.600000000002</v>
      </c>
      <c r="U71" t="str">
        <f t="shared" si="17"/>
        <v>OK</v>
      </c>
    </row>
    <row r="72" spans="1:21" x14ac:dyDescent="0.3">
      <c r="A72" t="s">
        <v>179</v>
      </c>
      <c r="B72" s="3">
        <v>45841</v>
      </c>
      <c r="C72" t="s">
        <v>180</v>
      </c>
      <c r="D72" t="s">
        <v>97</v>
      </c>
      <c r="E72" t="s">
        <v>44</v>
      </c>
      <c r="F72" t="s">
        <v>58</v>
      </c>
      <c r="G72" t="s">
        <v>69</v>
      </c>
      <c r="H72">
        <v>3</v>
      </c>
      <c r="I72">
        <v>980</v>
      </c>
      <c r="J72">
        <v>0</v>
      </c>
      <c r="K72">
        <v>2940</v>
      </c>
      <c r="L72">
        <v>262.17</v>
      </c>
      <c r="M72" t="str">
        <f t="shared" si="9"/>
        <v>USB Cable</v>
      </c>
      <c r="N72" t="str">
        <f t="shared" si="10"/>
        <v>Jaipur</v>
      </c>
      <c r="O72" t="str">
        <f t="shared" si="11"/>
        <v>North</v>
      </c>
      <c r="P72" t="str">
        <f t="shared" si="12"/>
        <v>Accessories</v>
      </c>
      <c r="Q72" t="str">
        <f t="shared" si="13"/>
        <v>Accessories</v>
      </c>
      <c r="R72" t="str">
        <f t="shared" si="14"/>
        <v>North</v>
      </c>
      <c r="S72" t="str">
        <f t="shared" si="15"/>
        <v>Jaipur</v>
      </c>
      <c r="T72">
        <f t="shared" si="16"/>
        <v>2940</v>
      </c>
      <c r="U72" t="str">
        <f t="shared" si="17"/>
        <v>OK</v>
      </c>
    </row>
    <row r="73" spans="1:21" x14ac:dyDescent="0.3">
      <c r="A73" t="s">
        <v>181</v>
      </c>
      <c r="B73" s="3">
        <v>45700</v>
      </c>
      <c r="C73" t="s">
        <v>39</v>
      </c>
      <c r="D73" t="s">
        <v>47</v>
      </c>
      <c r="E73" t="s">
        <v>26</v>
      </c>
      <c r="F73" t="s">
        <v>27</v>
      </c>
      <c r="G73" t="s">
        <v>31</v>
      </c>
      <c r="H73">
        <v>1</v>
      </c>
      <c r="I73">
        <v>8138</v>
      </c>
      <c r="J73">
        <v>0</v>
      </c>
      <c r="K73">
        <v>8138</v>
      </c>
      <c r="L73">
        <v>859.45</v>
      </c>
      <c r="M73" t="str">
        <f t="shared" si="9"/>
        <v>Air Purifier</v>
      </c>
      <c r="N73" t="str">
        <f t="shared" si="10"/>
        <v>Hyderabad</v>
      </c>
      <c r="O73" t="str">
        <f t="shared" si="11"/>
        <v>South</v>
      </c>
      <c r="P73" t="str">
        <f t="shared" si="12"/>
        <v>Home Appliances</v>
      </c>
      <c r="Q73" t="str">
        <f t="shared" si="13"/>
        <v>Home Appliances</v>
      </c>
      <c r="R73" t="str">
        <f t="shared" si="14"/>
        <v>South</v>
      </c>
      <c r="S73" t="str">
        <f t="shared" si="15"/>
        <v>Hyderabad</v>
      </c>
      <c r="T73">
        <f t="shared" si="16"/>
        <v>8138</v>
      </c>
      <c r="U73" t="str">
        <f t="shared" si="17"/>
        <v>OK</v>
      </c>
    </row>
    <row r="74" spans="1:21" x14ac:dyDescent="0.3">
      <c r="A74" t="s">
        <v>182</v>
      </c>
      <c r="B74" s="3">
        <v>45852</v>
      </c>
      <c r="C74" t="s">
        <v>183</v>
      </c>
      <c r="D74" t="s">
        <v>20</v>
      </c>
      <c r="E74" t="s">
        <v>15</v>
      </c>
      <c r="F74" t="s">
        <v>21</v>
      </c>
      <c r="G74" t="s">
        <v>35</v>
      </c>
      <c r="H74">
        <v>4</v>
      </c>
      <c r="I74">
        <v>10668</v>
      </c>
      <c r="J74">
        <v>0.25</v>
      </c>
      <c r="K74">
        <v>32004</v>
      </c>
      <c r="L74">
        <v>6413.19</v>
      </c>
      <c r="M74" t="str">
        <f t="shared" si="9"/>
        <v>Filing Cabinet</v>
      </c>
      <c r="N74" t="str">
        <f t="shared" si="10"/>
        <v>Mumbai</v>
      </c>
      <c r="O74" t="str">
        <f t="shared" si="11"/>
        <v>West</v>
      </c>
      <c r="P74" t="str">
        <f t="shared" si="12"/>
        <v>Furniture</v>
      </c>
      <c r="Q74" t="str">
        <f t="shared" si="13"/>
        <v>Furniture</v>
      </c>
      <c r="R74" t="str">
        <f t="shared" si="14"/>
        <v>West</v>
      </c>
      <c r="S74" t="str">
        <f t="shared" si="15"/>
        <v>Mumbai</v>
      </c>
      <c r="T74">
        <f t="shared" si="16"/>
        <v>32004</v>
      </c>
      <c r="U74" t="str">
        <f t="shared" si="17"/>
        <v>OK</v>
      </c>
    </row>
    <row r="75" spans="1:21" x14ac:dyDescent="0.3">
      <c r="A75" t="s">
        <v>184</v>
      </c>
      <c r="B75" s="3">
        <v>45974</v>
      </c>
      <c r="C75" t="s">
        <v>185</v>
      </c>
      <c r="D75" t="s">
        <v>103</v>
      </c>
      <c r="E75" t="s">
        <v>51</v>
      </c>
      <c r="F75" t="s">
        <v>27</v>
      </c>
      <c r="G75" t="s">
        <v>40</v>
      </c>
      <c r="H75">
        <v>1</v>
      </c>
      <c r="I75">
        <v>5480</v>
      </c>
      <c r="J75">
        <v>0.1</v>
      </c>
      <c r="K75">
        <v>4932</v>
      </c>
      <c r="L75">
        <v>745.71</v>
      </c>
      <c r="M75" t="str">
        <f t="shared" si="9"/>
        <v>Headphones</v>
      </c>
      <c r="N75" t="str">
        <f t="shared" si="10"/>
        <v>Chennai</v>
      </c>
      <c r="O75" t="str">
        <f t="shared" si="11"/>
        <v>South</v>
      </c>
      <c r="P75" t="str">
        <f t="shared" si="12"/>
        <v>Electronics</v>
      </c>
      <c r="Q75" t="str">
        <f t="shared" si="13"/>
        <v>Electronics</v>
      </c>
      <c r="R75" t="str">
        <f t="shared" si="14"/>
        <v>South</v>
      </c>
      <c r="S75" t="str">
        <f t="shared" si="15"/>
        <v>Chennai</v>
      </c>
      <c r="T75">
        <f t="shared" si="16"/>
        <v>4932</v>
      </c>
      <c r="U75" t="str">
        <f t="shared" si="17"/>
        <v>OK</v>
      </c>
    </row>
    <row r="76" spans="1:21" x14ac:dyDescent="0.3">
      <c r="A76" t="s">
        <v>186</v>
      </c>
      <c r="B76" s="3">
        <v>45730</v>
      </c>
      <c r="C76" t="s">
        <v>187</v>
      </c>
      <c r="D76" t="s">
        <v>34</v>
      </c>
      <c r="E76" t="s">
        <v>15</v>
      </c>
      <c r="F76" t="s">
        <v>27</v>
      </c>
      <c r="G76" t="s">
        <v>28</v>
      </c>
      <c r="H76">
        <v>1</v>
      </c>
      <c r="I76">
        <v>15661</v>
      </c>
      <c r="J76">
        <v>0.1</v>
      </c>
      <c r="K76">
        <v>14094.9</v>
      </c>
      <c r="L76">
        <v>2569.94</v>
      </c>
      <c r="M76" t="str">
        <f t="shared" si="9"/>
        <v>Desk</v>
      </c>
      <c r="N76" t="str">
        <f t="shared" si="10"/>
        <v>Bengaluru</v>
      </c>
      <c r="O76" t="str">
        <f t="shared" si="11"/>
        <v>South</v>
      </c>
      <c r="P76" t="str">
        <f t="shared" si="12"/>
        <v>Furniture</v>
      </c>
      <c r="Q76" t="str">
        <f t="shared" si="13"/>
        <v>Furniture</v>
      </c>
      <c r="R76" t="str">
        <f t="shared" si="14"/>
        <v>South</v>
      </c>
      <c r="S76" t="str">
        <f t="shared" si="15"/>
        <v>Bengaluru</v>
      </c>
      <c r="T76">
        <f t="shared" si="16"/>
        <v>14094.9</v>
      </c>
      <c r="U76" t="str">
        <f t="shared" si="17"/>
        <v>OK</v>
      </c>
    </row>
    <row r="77" spans="1:21" x14ac:dyDescent="0.3">
      <c r="A77" t="s">
        <v>188</v>
      </c>
      <c r="B77" s="3">
        <v>45949</v>
      </c>
      <c r="C77" t="s">
        <v>189</v>
      </c>
      <c r="D77" t="s">
        <v>97</v>
      </c>
      <c r="E77" t="s">
        <v>44</v>
      </c>
      <c r="F77" t="s">
        <v>58</v>
      </c>
      <c r="G77" t="s">
        <v>69</v>
      </c>
      <c r="H77">
        <v>3</v>
      </c>
      <c r="I77">
        <v>961</v>
      </c>
      <c r="J77">
        <v>0</v>
      </c>
      <c r="K77">
        <v>2883</v>
      </c>
      <c r="L77">
        <v>351.35</v>
      </c>
      <c r="M77" t="str">
        <f t="shared" si="9"/>
        <v>USB Cable</v>
      </c>
      <c r="N77" t="str">
        <f t="shared" si="10"/>
        <v>Jaipur</v>
      </c>
      <c r="O77" t="str">
        <f t="shared" si="11"/>
        <v>North</v>
      </c>
      <c r="P77" t="str">
        <f t="shared" si="12"/>
        <v>Accessories</v>
      </c>
      <c r="Q77" t="str">
        <f t="shared" si="13"/>
        <v>Accessories</v>
      </c>
      <c r="R77" t="str">
        <f t="shared" si="14"/>
        <v>North</v>
      </c>
      <c r="S77" t="str">
        <f t="shared" si="15"/>
        <v>Jaipur</v>
      </c>
      <c r="T77">
        <f t="shared" si="16"/>
        <v>2883</v>
      </c>
      <c r="U77" t="str">
        <f t="shared" si="17"/>
        <v>OK</v>
      </c>
    </row>
    <row r="78" spans="1:21" x14ac:dyDescent="0.3">
      <c r="A78" t="s">
        <v>190</v>
      </c>
      <c r="B78" s="3">
        <v>45735</v>
      </c>
      <c r="C78" t="s">
        <v>191</v>
      </c>
      <c r="D78" t="s">
        <v>68</v>
      </c>
      <c r="E78" t="s">
        <v>44</v>
      </c>
      <c r="F78" t="s">
        <v>27</v>
      </c>
      <c r="G78" t="s">
        <v>31</v>
      </c>
      <c r="H78">
        <v>2</v>
      </c>
      <c r="I78">
        <v>6434</v>
      </c>
      <c r="J78">
        <v>0</v>
      </c>
      <c r="K78">
        <v>12868</v>
      </c>
      <c r="L78">
        <v>1679.11</v>
      </c>
      <c r="M78" t="str">
        <f t="shared" si="9"/>
        <v>Webcam</v>
      </c>
      <c r="N78" t="str">
        <f t="shared" si="10"/>
        <v>Hyderabad</v>
      </c>
      <c r="O78" t="str">
        <f t="shared" si="11"/>
        <v>South</v>
      </c>
      <c r="P78" t="str">
        <f t="shared" si="12"/>
        <v>Accessories</v>
      </c>
      <c r="Q78" t="str">
        <f t="shared" si="13"/>
        <v>Accessories</v>
      </c>
      <c r="R78" t="str">
        <f t="shared" si="14"/>
        <v>South</v>
      </c>
      <c r="S78" t="str">
        <f t="shared" si="15"/>
        <v>Hyderabad</v>
      </c>
      <c r="T78">
        <f t="shared" si="16"/>
        <v>12868</v>
      </c>
      <c r="U78" t="str">
        <f t="shared" si="17"/>
        <v>OK</v>
      </c>
    </row>
    <row r="79" spans="1:21" x14ac:dyDescent="0.3">
      <c r="A79" t="s">
        <v>192</v>
      </c>
      <c r="B79" s="3">
        <v>45896</v>
      </c>
      <c r="C79" t="s">
        <v>100</v>
      </c>
      <c r="D79" t="s">
        <v>88</v>
      </c>
      <c r="E79" t="s">
        <v>73</v>
      </c>
      <c r="F79" t="s">
        <v>27</v>
      </c>
      <c r="G79" t="s">
        <v>31</v>
      </c>
      <c r="H79">
        <v>1</v>
      </c>
      <c r="I79">
        <v>534</v>
      </c>
      <c r="J79">
        <v>0.05</v>
      </c>
      <c r="K79">
        <v>507.3</v>
      </c>
      <c r="L79">
        <v>80.88</v>
      </c>
      <c r="M79" t="str">
        <f t="shared" si="9"/>
        <v>Stapler</v>
      </c>
      <c r="N79" t="str">
        <f t="shared" si="10"/>
        <v>Hyderabad</v>
      </c>
      <c r="O79" t="str">
        <f t="shared" si="11"/>
        <v>South</v>
      </c>
      <c r="P79" t="str">
        <f t="shared" si="12"/>
        <v>Office Supplies</v>
      </c>
      <c r="Q79" t="str">
        <f t="shared" si="13"/>
        <v>Office Supplies</v>
      </c>
      <c r="R79" t="str">
        <f t="shared" si="14"/>
        <v>South</v>
      </c>
      <c r="S79" t="str">
        <f t="shared" si="15"/>
        <v>Hyderabad</v>
      </c>
      <c r="T79">
        <f t="shared" si="16"/>
        <v>507.29999999999995</v>
      </c>
      <c r="U79" t="str">
        <f t="shared" si="17"/>
        <v>OK</v>
      </c>
    </row>
    <row r="80" spans="1:21" x14ac:dyDescent="0.3">
      <c r="A80" t="s">
        <v>193</v>
      </c>
      <c r="B80" s="3">
        <v>45930</v>
      </c>
      <c r="C80" t="s">
        <v>194</v>
      </c>
      <c r="D80" t="s">
        <v>34</v>
      </c>
      <c r="E80" t="s">
        <v>15</v>
      </c>
      <c r="F80" t="s">
        <v>16</v>
      </c>
      <c r="G80" t="s">
        <v>52</v>
      </c>
      <c r="H80">
        <v>1</v>
      </c>
      <c r="I80">
        <v>12895</v>
      </c>
      <c r="J80">
        <v>0</v>
      </c>
      <c r="K80">
        <v>12895</v>
      </c>
      <c r="L80">
        <v>3328.27</v>
      </c>
      <c r="M80" t="str">
        <f t="shared" si="9"/>
        <v>Desk</v>
      </c>
      <c r="N80" t="str">
        <f t="shared" si="10"/>
        <v>Kolkata</v>
      </c>
      <c r="O80" t="str">
        <f t="shared" si="11"/>
        <v>East</v>
      </c>
      <c r="P80" t="str">
        <f t="shared" si="12"/>
        <v>Furniture</v>
      </c>
      <c r="Q80" t="str">
        <f t="shared" si="13"/>
        <v>Furniture</v>
      </c>
      <c r="R80" t="str">
        <f t="shared" si="14"/>
        <v>East</v>
      </c>
      <c r="S80" t="str">
        <f t="shared" si="15"/>
        <v>Kolkata</v>
      </c>
      <c r="T80">
        <f t="shared" si="16"/>
        <v>12895</v>
      </c>
      <c r="U80" t="str">
        <f t="shared" si="17"/>
        <v>OK</v>
      </c>
    </row>
    <row r="81" spans="1:21" x14ac:dyDescent="0.3">
      <c r="A81" t="s">
        <v>195</v>
      </c>
      <c r="B81" s="3">
        <v>45803</v>
      </c>
      <c r="C81" t="s">
        <v>77</v>
      </c>
      <c r="D81" t="s">
        <v>88</v>
      </c>
      <c r="E81" t="s">
        <v>73</v>
      </c>
      <c r="F81" t="s">
        <v>58</v>
      </c>
      <c r="G81" t="s">
        <v>126</v>
      </c>
      <c r="H81">
        <v>1</v>
      </c>
      <c r="I81">
        <v>369</v>
      </c>
      <c r="J81">
        <v>0.1</v>
      </c>
      <c r="K81">
        <v>332.1</v>
      </c>
      <c r="L81">
        <v>76.08</v>
      </c>
      <c r="M81" t="str">
        <f t="shared" si="9"/>
        <v>Stapler</v>
      </c>
      <c r="N81" t="str">
        <f t="shared" si="10"/>
        <v>Delhi</v>
      </c>
      <c r="O81" t="str">
        <f t="shared" si="11"/>
        <v>North</v>
      </c>
      <c r="P81" t="str">
        <f t="shared" si="12"/>
        <v>Office Supplies</v>
      </c>
      <c r="Q81" t="str">
        <f t="shared" si="13"/>
        <v>Office Supplies</v>
      </c>
      <c r="R81" t="str">
        <f t="shared" si="14"/>
        <v>North</v>
      </c>
      <c r="S81" t="str">
        <f t="shared" si="15"/>
        <v>Delhi</v>
      </c>
      <c r="T81">
        <f t="shared" si="16"/>
        <v>332.1</v>
      </c>
      <c r="U81" t="str">
        <f t="shared" si="17"/>
        <v>OK</v>
      </c>
    </row>
    <row r="82" spans="1:21" x14ac:dyDescent="0.3">
      <c r="A82" t="s">
        <v>196</v>
      </c>
      <c r="B82" s="3">
        <v>45663</v>
      </c>
      <c r="C82" t="s">
        <v>197</v>
      </c>
      <c r="D82" t="s">
        <v>25</v>
      </c>
      <c r="E82" t="s">
        <v>26</v>
      </c>
      <c r="F82" t="s">
        <v>58</v>
      </c>
      <c r="G82" t="s">
        <v>126</v>
      </c>
      <c r="H82">
        <v>4</v>
      </c>
      <c r="I82">
        <v>13291</v>
      </c>
      <c r="J82">
        <v>0.05</v>
      </c>
      <c r="K82">
        <v>50505.8</v>
      </c>
      <c r="L82">
        <v>9073.34</v>
      </c>
      <c r="M82" t="str">
        <f t="shared" si="9"/>
        <v>Microwave</v>
      </c>
      <c r="N82" t="str">
        <f t="shared" si="10"/>
        <v>Delhi</v>
      </c>
      <c r="O82" t="str">
        <f t="shared" si="11"/>
        <v>North</v>
      </c>
      <c r="P82" t="str">
        <f t="shared" si="12"/>
        <v>Home Appliances</v>
      </c>
      <c r="Q82" t="str">
        <f t="shared" si="13"/>
        <v>Home Appliances</v>
      </c>
      <c r="R82" t="str">
        <f t="shared" si="14"/>
        <v>North</v>
      </c>
      <c r="S82" t="str">
        <f t="shared" si="15"/>
        <v>Delhi</v>
      </c>
      <c r="T82">
        <f t="shared" si="16"/>
        <v>50505.799999999996</v>
      </c>
      <c r="U82" t="str">
        <f t="shared" si="17"/>
        <v>OK</v>
      </c>
    </row>
    <row r="83" spans="1:21" x14ac:dyDescent="0.3">
      <c r="A83" t="s">
        <v>198</v>
      </c>
      <c r="B83" s="3">
        <v>45769</v>
      </c>
      <c r="C83" t="s">
        <v>199</v>
      </c>
      <c r="D83" t="s">
        <v>103</v>
      </c>
      <c r="E83" t="s">
        <v>51</v>
      </c>
      <c r="F83" t="s">
        <v>27</v>
      </c>
      <c r="G83" t="s">
        <v>40</v>
      </c>
      <c r="H83">
        <v>1</v>
      </c>
      <c r="I83">
        <v>2655</v>
      </c>
      <c r="J83">
        <v>0.05</v>
      </c>
      <c r="K83">
        <v>2522.25</v>
      </c>
      <c r="L83">
        <v>289.24</v>
      </c>
      <c r="M83" t="str">
        <f t="shared" si="9"/>
        <v>Headphones</v>
      </c>
      <c r="N83" t="str">
        <f t="shared" si="10"/>
        <v>Chennai</v>
      </c>
      <c r="O83" t="str">
        <f t="shared" si="11"/>
        <v>South</v>
      </c>
      <c r="P83" t="str">
        <f t="shared" si="12"/>
        <v>Electronics</v>
      </c>
      <c r="Q83" t="str">
        <f t="shared" si="13"/>
        <v>Electronics</v>
      </c>
      <c r="R83" t="str">
        <f t="shared" si="14"/>
        <v>South</v>
      </c>
      <c r="S83" t="str">
        <f t="shared" si="15"/>
        <v>Chennai</v>
      </c>
      <c r="T83">
        <f t="shared" si="16"/>
        <v>2522.25</v>
      </c>
      <c r="U83" t="str">
        <f t="shared" si="17"/>
        <v>OK</v>
      </c>
    </row>
    <row r="84" spans="1:21" x14ac:dyDescent="0.3">
      <c r="A84" t="s">
        <v>200</v>
      </c>
      <c r="B84" s="3">
        <v>45697</v>
      </c>
      <c r="C84" t="s">
        <v>201</v>
      </c>
      <c r="D84" t="s">
        <v>202</v>
      </c>
      <c r="E84" t="s">
        <v>44</v>
      </c>
      <c r="F84" t="s">
        <v>16</v>
      </c>
      <c r="G84" t="s">
        <v>17</v>
      </c>
      <c r="H84">
        <v>2</v>
      </c>
      <c r="I84">
        <v>3493</v>
      </c>
      <c r="J84">
        <v>0.2</v>
      </c>
      <c r="K84">
        <v>5588.8</v>
      </c>
      <c r="L84">
        <v>1090.93</v>
      </c>
      <c r="M84" t="str">
        <f t="shared" si="9"/>
        <v>Laptop Stand</v>
      </c>
      <c r="N84" t="str">
        <f t="shared" si="10"/>
        <v>Guwahati</v>
      </c>
      <c r="O84" t="str">
        <f t="shared" si="11"/>
        <v>East</v>
      </c>
      <c r="P84" t="str">
        <f t="shared" si="12"/>
        <v>Accessories</v>
      </c>
      <c r="Q84" t="str">
        <f t="shared" si="13"/>
        <v>Accessories</v>
      </c>
      <c r="R84" t="str">
        <f t="shared" si="14"/>
        <v>East</v>
      </c>
      <c r="S84" t="str">
        <f t="shared" si="15"/>
        <v>Guwahati</v>
      </c>
      <c r="T84">
        <f t="shared" si="16"/>
        <v>5588.8</v>
      </c>
      <c r="U84" t="str">
        <f t="shared" si="17"/>
        <v>OK</v>
      </c>
    </row>
    <row r="85" spans="1:21" x14ac:dyDescent="0.3">
      <c r="A85" t="s">
        <v>203</v>
      </c>
      <c r="B85" s="3">
        <v>45751</v>
      </c>
      <c r="C85" t="s">
        <v>204</v>
      </c>
      <c r="D85" t="s">
        <v>68</v>
      </c>
      <c r="E85" t="s">
        <v>44</v>
      </c>
      <c r="F85" t="s">
        <v>27</v>
      </c>
      <c r="G85" t="s">
        <v>28</v>
      </c>
      <c r="H85">
        <v>1</v>
      </c>
      <c r="I85">
        <v>5946</v>
      </c>
      <c r="J85">
        <v>0.2</v>
      </c>
      <c r="K85">
        <v>4756.8</v>
      </c>
      <c r="L85">
        <v>910.23</v>
      </c>
      <c r="M85" t="str">
        <f t="shared" si="9"/>
        <v>Webcam</v>
      </c>
      <c r="N85" t="str">
        <f t="shared" si="10"/>
        <v>Bengaluru</v>
      </c>
      <c r="O85" t="str">
        <f t="shared" si="11"/>
        <v>South</v>
      </c>
      <c r="P85" t="str">
        <f t="shared" si="12"/>
        <v>Accessories</v>
      </c>
      <c r="Q85" t="str">
        <f t="shared" si="13"/>
        <v>Accessories</v>
      </c>
      <c r="R85" t="str">
        <f t="shared" si="14"/>
        <v>South</v>
      </c>
      <c r="S85" t="str">
        <f t="shared" si="15"/>
        <v>Bengaluru</v>
      </c>
      <c r="T85">
        <f t="shared" si="16"/>
        <v>4756.8</v>
      </c>
      <c r="U85" t="str">
        <f t="shared" si="17"/>
        <v>OK</v>
      </c>
    </row>
    <row r="86" spans="1:21" x14ac:dyDescent="0.3">
      <c r="A86" t="s">
        <v>205</v>
      </c>
      <c r="B86" s="3">
        <v>45983</v>
      </c>
      <c r="C86" t="s">
        <v>206</v>
      </c>
      <c r="D86" t="s">
        <v>47</v>
      </c>
      <c r="E86" t="s">
        <v>26</v>
      </c>
      <c r="F86" t="s">
        <v>21</v>
      </c>
      <c r="G86" t="s">
        <v>35</v>
      </c>
      <c r="H86">
        <v>5</v>
      </c>
      <c r="I86">
        <v>17664</v>
      </c>
      <c r="J86">
        <v>0</v>
      </c>
      <c r="K86">
        <v>88320</v>
      </c>
      <c r="L86">
        <v>20070.669999999998</v>
      </c>
      <c r="M86" t="str">
        <f t="shared" si="9"/>
        <v>Air Purifier</v>
      </c>
      <c r="N86" t="str">
        <f t="shared" si="10"/>
        <v>Mumbai</v>
      </c>
      <c r="O86" t="str">
        <f t="shared" si="11"/>
        <v>West</v>
      </c>
      <c r="P86" t="str">
        <f t="shared" si="12"/>
        <v>Home Appliances</v>
      </c>
      <c r="Q86" t="str">
        <f t="shared" si="13"/>
        <v>Home Appliances</v>
      </c>
      <c r="R86" t="str">
        <f t="shared" si="14"/>
        <v>West</v>
      </c>
      <c r="S86" t="str">
        <f t="shared" si="15"/>
        <v>Mumbai</v>
      </c>
      <c r="T86">
        <f t="shared" si="16"/>
        <v>88320</v>
      </c>
      <c r="U86" t="str">
        <f t="shared" si="17"/>
        <v>OK</v>
      </c>
    </row>
    <row r="87" spans="1:21" x14ac:dyDescent="0.3">
      <c r="A87" t="s">
        <v>207</v>
      </c>
      <c r="B87" s="3">
        <v>45950</v>
      </c>
      <c r="C87" t="s">
        <v>208</v>
      </c>
      <c r="D87" t="s">
        <v>92</v>
      </c>
      <c r="E87" t="s">
        <v>51</v>
      </c>
      <c r="F87" t="s">
        <v>27</v>
      </c>
      <c r="G87" t="s">
        <v>40</v>
      </c>
      <c r="H87">
        <v>2</v>
      </c>
      <c r="I87">
        <v>23912</v>
      </c>
      <c r="J87">
        <v>0.05</v>
      </c>
      <c r="K87">
        <v>45432.800000000003</v>
      </c>
      <c r="L87">
        <v>9030.98</v>
      </c>
      <c r="M87" t="str">
        <f t="shared" si="9"/>
        <v>Monitor</v>
      </c>
      <c r="N87" t="str">
        <f t="shared" si="10"/>
        <v>Chennai</v>
      </c>
      <c r="O87" t="str">
        <f t="shared" si="11"/>
        <v>South</v>
      </c>
      <c r="P87" t="str">
        <f t="shared" si="12"/>
        <v>Electronics</v>
      </c>
      <c r="Q87" t="str">
        <f t="shared" si="13"/>
        <v>Electronics</v>
      </c>
      <c r="R87" t="str">
        <f t="shared" si="14"/>
        <v>South</v>
      </c>
      <c r="S87" t="str">
        <f t="shared" si="15"/>
        <v>Chennai</v>
      </c>
      <c r="T87">
        <f t="shared" si="16"/>
        <v>45432.799999999996</v>
      </c>
      <c r="U87" t="str">
        <f t="shared" si="17"/>
        <v>OK</v>
      </c>
    </row>
    <row r="88" spans="1:21" x14ac:dyDescent="0.3">
      <c r="A88" t="s">
        <v>209</v>
      </c>
      <c r="B88" s="3">
        <v>45795</v>
      </c>
      <c r="C88" t="s">
        <v>163</v>
      </c>
      <c r="D88" t="s">
        <v>34</v>
      </c>
      <c r="E88" t="s">
        <v>15</v>
      </c>
      <c r="F88" t="s">
        <v>58</v>
      </c>
      <c r="G88" t="s">
        <v>59</v>
      </c>
      <c r="H88">
        <v>5</v>
      </c>
      <c r="I88">
        <v>12802</v>
      </c>
      <c r="J88">
        <v>0.15</v>
      </c>
      <c r="K88">
        <v>54408.5</v>
      </c>
      <c r="L88">
        <v>7123.6</v>
      </c>
      <c r="M88" t="str">
        <f t="shared" si="9"/>
        <v>Desk</v>
      </c>
      <c r="N88" t="str">
        <f t="shared" si="10"/>
        <v>Chandigarh</v>
      </c>
      <c r="O88" t="str">
        <f t="shared" si="11"/>
        <v>North</v>
      </c>
      <c r="P88" t="str">
        <f t="shared" si="12"/>
        <v>Furniture</v>
      </c>
      <c r="Q88" t="str">
        <f t="shared" si="13"/>
        <v>Furniture</v>
      </c>
      <c r="R88" t="str">
        <f t="shared" si="14"/>
        <v>North</v>
      </c>
      <c r="S88" t="str">
        <f t="shared" si="15"/>
        <v>Chandigarh</v>
      </c>
      <c r="T88">
        <f t="shared" si="16"/>
        <v>54408.5</v>
      </c>
      <c r="U88" t="str">
        <f t="shared" si="17"/>
        <v>OK</v>
      </c>
    </row>
    <row r="89" spans="1:21" x14ac:dyDescent="0.3">
      <c r="A89" t="s">
        <v>210</v>
      </c>
      <c r="B89" s="3">
        <v>45695</v>
      </c>
      <c r="C89" t="s">
        <v>211</v>
      </c>
      <c r="D89" t="s">
        <v>80</v>
      </c>
      <c r="E89" t="s">
        <v>51</v>
      </c>
      <c r="F89" t="s">
        <v>16</v>
      </c>
      <c r="G89" t="s">
        <v>17</v>
      </c>
      <c r="H89">
        <v>1</v>
      </c>
      <c r="I89">
        <v>58955</v>
      </c>
      <c r="J89">
        <v>0.2</v>
      </c>
      <c r="K89">
        <v>47164</v>
      </c>
      <c r="L89">
        <v>11608.19</v>
      </c>
      <c r="M89" t="str">
        <f t="shared" si="9"/>
        <v>Laptop</v>
      </c>
      <c r="N89" t="str">
        <f t="shared" si="10"/>
        <v>Guwahati</v>
      </c>
      <c r="O89" t="str">
        <f t="shared" si="11"/>
        <v>East</v>
      </c>
      <c r="P89" t="str">
        <f t="shared" si="12"/>
        <v>Electronics</v>
      </c>
      <c r="Q89" t="str">
        <f t="shared" si="13"/>
        <v>Electronics</v>
      </c>
      <c r="R89" t="str">
        <f t="shared" si="14"/>
        <v>East</v>
      </c>
      <c r="S89" t="str">
        <f t="shared" si="15"/>
        <v>Guwahati</v>
      </c>
      <c r="T89">
        <f t="shared" si="16"/>
        <v>47164</v>
      </c>
      <c r="U89" t="str">
        <f t="shared" si="17"/>
        <v>OK</v>
      </c>
    </row>
    <row r="90" spans="1:21" x14ac:dyDescent="0.3">
      <c r="A90" t="s">
        <v>212</v>
      </c>
      <c r="B90" s="3">
        <v>45733</v>
      </c>
      <c r="C90" t="s">
        <v>96</v>
      </c>
      <c r="D90" t="s">
        <v>50</v>
      </c>
      <c r="E90" t="s">
        <v>51</v>
      </c>
      <c r="F90" t="s">
        <v>213</v>
      </c>
      <c r="G90" t="s">
        <v>69</v>
      </c>
      <c r="H90">
        <v>1</v>
      </c>
      <c r="I90">
        <v>3301</v>
      </c>
      <c r="J90">
        <v>0.15</v>
      </c>
      <c r="K90">
        <v>2805.85</v>
      </c>
      <c r="L90">
        <v>251.46</v>
      </c>
      <c r="M90" t="str">
        <f t="shared" si="9"/>
        <v>Keyboard</v>
      </c>
      <c r="N90" t="str">
        <f t="shared" si="10"/>
        <v>Jaipur</v>
      </c>
      <c r="O90" t="str">
        <f t="shared" si="11"/>
        <v>west</v>
      </c>
      <c r="P90" t="str">
        <f t="shared" si="12"/>
        <v>Electronics</v>
      </c>
      <c r="Q90" t="str">
        <f t="shared" si="13"/>
        <v>Electronics</v>
      </c>
      <c r="R90" t="str">
        <f t="shared" si="14"/>
        <v>West</v>
      </c>
      <c r="S90" t="str">
        <f t="shared" si="15"/>
        <v>Jaipur</v>
      </c>
      <c r="T90">
        <f t="shared" si="16"/>
        <v>2805.85</v>
      </c>
      <c r="U90" t="str">
        <f t="shared" si="17"/>
        <v>OK</v>
      </c>
    </row>
    <row r="91" spans="1:21" x14ac:dyDescent="0.3">
      <c r="A91" t="s">
        <v>214</v>
      </c>
      <c r="B91" s="3">
        <v>45973</v>
      </c>
      <c r="C91" t="s">
        <v>215</v>
      </c>
      <c r="D91" t="s">
        <v>80</v>
      </c>
      <c r="E91" t="s">
        <v>51</v>
      </c>
      <c r="F91" t="s">
        <v>58</v>
      </c>
      <c r="G91" t="s">
        <v>69</v>
      </c>
      <c r="H91">
        <v>1</v>
      </c>
      <c r="I91">
        <v>51571</v>
      </c>
      <c r="J91">
        <v>0.15</v>
      </c>
      <c r="K91">
        <v>43835.35</v>
      </c>
      <c r="L91">
        <v>9338.66</v>
      </c>
      <c r="M91" t="str">
        <f t="shared" si="9"/>
        <v>Laptop</v>
      </c>
      <c r="N91" t="str">
        <f t="shared" si="10"/>
        <v>Jaipur</v>
      </c>
      <c r="O91" t="str">
        <f t="shared" si="11"/>
        <v>North</v>
      </c>
      <c r="P91" t="str">
        <f t="shared" si="12"/>
        <v>Electronics</v>
      </c>
      <c r="Q91" t="str">
        <f t="shared" si="13"/>
        <v>Electronics</v>
      </c>
      <c r="R91" t="str">
        <f t="shared" si="14"/>
        <v>North</v>
      </c>
      <c r="S91" t="str">
        <f t="shared" si="15"/>
        <v>Jaipur</v>
      </c>
      <c r="T91">
        <f t="shared" si="16"/>
        <v>43835.35</v>
      </c>
      <c r="U91" t="str">
        <f t="shared" si="17"/>
        <v>OK</v>
      </c>
    </row>
    <row r="92" spans="1:21" x14ac:dyDescent="0.3">
      <c r="A92" t="s">
        <v>216</v>
      </c>
      <c r="B92" s="3">
        <v>45746</v>
      </c>
      <c r="C92" t="s">
        <v>217</v>
      </c>
      <c r="D92" t="s">
        <v>97</v>
      </c>
      <c r="E92" t="s">
        <v>44</v>
      </c>
      <c r="F92" t="s">
        <v>58</v>
      </c>
      <c r="G92" t="s">
        <v>69</v>
      </c>
      <c r="H92">
        <v>2</v>
      </c>
      <c r="I92">
        <v>679</v>
      </c>
      <c r="J92">
        <v>0.1</v>
      </c>
      <c r="K92">
        <v>1222.2</v>
      </c>
      <c r="L92">
        <v>317.69</v>
      </c>
      <c r="M92" t="str">
        <f t="shared" si="9"/>
        <v>USB Cable</v>
      </c>
      <c r="N92" t="str">
        <f t="shared" si="10"/>
        <v>Jaipur</v>
      </c>
      <c r="O92" t="str">
        <f t="shared" si="11"/>
        <v>North</v>
      </c>
      <c r="P92" t="str">
        <f t="shared" si="12"/>
        <v>Accessories</v>
      </c>
      <c r="Q92" t="str">
        <f t="shared" si="13"/>
        <v>Accessories</v>
      </c>
      <c r="R92" t="str">
        <f t="shared" si="14"/>
        <v>North</v>
      </c>
      <c r="S92" t="str">
        <f t="shared" si="15"/>
        <v>Jaipur</v>
      </c>
      <c r="T92">
        <f t="shared" si="16"/>
        <v>1222.2</v>
      </c>
      <c r="U92" t="str">
        <f t="shared" si="17"/>
        <v>OK</v>
      </c>
    </row>
    <row r="93" spans="1:21" x14ac:dyDescent="0.3">
      <c r="A93" t="s">
        <v>218</v>
      </c>
      <c r="B93" s="3">
        <v>45810</v>
      </c>
      <c r="C93" t="s">
        <v>54</v>
      </c>
      <c r="D93" t="s">
        <v>30</v>
      </c>
      <c r="E93" t="s">
        <v>15</v>
      </c>
      <c r="F93" t="s">
        <v>16</v>
      </c>
      <c r="G93" t="s">
        <v>17</v>
      </c>
      <c r="H93">
        <v>1</v>
      </c>
      <c r="I93">
        <v>8219</v>
      </c>
      <c r="J93">
        <v>0.1</v>
      </c>
      <c r="K93">
        <v>7397.1</v>
      </c>
      <c r="L93">
        <v>690.33</v>
      </c>
      <c r="M93" t="str">
        <f t="shared" si="9"/>
        <v>Bookshelf</v>
      </c>
      <c r="N93" t="str">
        <f t="shared" si="10"/>
        <v>Guwahati</v>
      </c>
      <c r="O93" t="str">
        <f t="shared" si="11"/>
        <v>East</v>
      </c>
      <c r="P93" t="str">
        <f t="shared" si="12"/>
        <v>Furniture</v>
      </c>
      <c r="Q93" t="str">
        <f t="shared" si="13"/>
        <v>Furniture</v>
      </c>
      <c r="R93" t="str">
        <f t="shared" si="14"/>
        <v>East</v>
      </c>
      <c r="S93" t="str">
        <f t="shared" si="15"/>
        <v>Guwahati</v>
      </c>
      <c r="T93">
        <f t="shared" si="16"/>
        <v>7397.1</v>
      </c>
      <c r="U93" t="str">
        <f t="shared" si="17"/>
        <v>OK</v>
      </c>
    </row>
    <row r="94" spans="1:21" x14ac:dyDescent="0.3">
      <c r="A94" t="s">
        <v>219</v>
      </c>
      <c r="B94" s="3">
        <v>45724</v>
      </c>
      <c r="C94" t="s">
        <v>220</v>
      </c>
      <c r="D94" t="s">
        <v>153</v>
      </c>
      <c r="E94" t="s">
        <v>26</v>
      </c>
      <c r="F94" t="s">
        <v>27</v>
      </c>
      <c r="G94" t="s">
        <v>40</v>
      </c>
      <c r="H94">
        <v>2</v>
      </c>
      <c r="I94">
        <v>5012</v>
      </c>
      <c r="J94">
        <v>0</v>
      </c>
      <c r="K94">
        <v>10024</v>
      </c>
      <c r="L94">
        <v>2393.7800000000002</v>
      </c>
      <c r="M94" t="str">
        <f t="shared" si="9"/>
        <v>Coffee Maker</v>
      </c>
      <c r="N94" t="str">
        <f t="shared" si="10"/>
        <v>Chennai</v>
      </c>
      <c r="O94" t="str">
        <f t="shared" si="11"/>
        <v>South</v>
      </c>
      <c r="P94" t="str">
        <f t="shared" si="12"/>
        <v>Home Appliances</v>
      </c>
      <c r="Q94" t="str">
        <f t="shared" si="13"/>
        <v>Home Appliances</v>
      </c>
      <c r="R94" t="str">
        <f t="shared" si="14"/>
        <v>South</v>
      </c>
      <c r="S94" t="str">
        <f t="shared" si="15"/>
        <v>Chennai</v>
      </c>
      <c r="T94">
        <f t="shared" si="16"/>
        <v>10024</v>
      </c>
      <c r="U94" t="str">
        <f t="shared" si="17"/>
        <v>OK</v>
      </c>
    </row>
    <row r="95" spans="1:21" x14ac:dyDescent="0.3">
      <c r="A95" t="s">
        <v>221</v>
      </c>
      <c r="B95" s="3">
        <v>45814</v>
      </c>
      <c r="C95" t="s">
        <v>64</v>
      </c>
      <c r="D95" t="s">
        <v>25</v>
      </c>
      <c r="E95" t="s">
        <v>26</v>
      </c>
      <c r="F95" t="s">
        <v>16</v>
      </c>
      <c r="G95" t="s">
        <v>17</v>
      </c>
      <c r="H95">
        <v>1</v>
      </c>
      <c r="I95">
        <v>9741</v>
      </c>
      <c r="J95">
        <v>0.05</v>
      </c>
      <c r="K95">
        <v>9253.9500000000007</v>
      </c>
      <c r="L95">
        <v>2117.1999999999998</v>
      </c>
      <c r="M95" t="str">
        <f t="shared" si="9"/>
        <v>Microwave</v>
      </c>
      <c r="N95" t="str">
        <f t="shared" si="10"/>
        <v>Guwahati</v>
      </c>
      <c r="O95" t="str">
        <f t="shared" si="11"/>
        <v>East</v>
      </c>
      <c r="P95" t="str">
        <f t="shared" si="12"/>
        <v>Home Appliances</v>
      </c>
      <c r="Q95" t="str">
        <f t="shared" si="13"/>
        <v>Home Appliances</v>
      </c>
      <c r="R95" t="str">
        <f t="shared" si="14"/>
        <v>East</v>
      </c>
      <c r="S95" t="str">
        <f t="shared" si="15"/>
        <v>Guwahati</v>
      </c>
      <c r="T95">
        <f t="shared" si="16"/>
        <v>9253.9499999999989</v>
      </c>
      <c r="U95" t="str">
        <f t="shared" si="17"/>
        <v>OK</v>
      </c>
    </row>
    <row r="96" spans="1:21" x14ac:dyDescent="0.3">
      <c r="A96" t="s">
        <v>222</v>
      </c>
      <c r="B96" s="3">
        <v>46010</v>
      </c>
      <c r="C96" t="s">
        <v>223</v>
      </c>
      <c r="D96" t="s">
        <v>83</v>
      </c>
      <c r="E96" t="s">
        <v>73</v>
      </c>
      <c r="F96" t="s">
        <v>16</v>
      </c>
      <c r="G96" t="s">
        <v>104</v>
      </c>
      <c r="H96">
        <v>1</v>
      </c>
      <c r="I96">
        <v>599</v>
      </c>
      <c r="J96">
        <v>0.05</v>
      </c>
      <c r="K96">
        <v>569.04999999999995</v>
      </c>
      <c r="L96">
        <v>97.54</v>
      </c>
      <c r="M96" t="str">
        <f t="shared" si="9"/>
        <v>Printer Paper</v>
      </c>
      <c r="N96" t="str">
        <f t="shared" si="10"/>
        <v>Bhubaneswar</v>
      </c>
      <c r="O96" t="str">
        <f t="shared" si="11"/>
        <v>East</v>
      </c>
      <c r="P96" t="str">
        <f t="shared" si="12"/>
        <v>Office Supplies</v>
      </c>
      <c r="Q96" t="str">
        <f t="shared" si="13"/>
        <v>Office Supplies</v>
      </c>
      <c r="R96" t="str">
        <f t="shared" si="14"/>
        <v>East</v>
      </c>
      <c r="S96" t="str">
        <f t="shared" si="15"/>
        <v>Bhubaneswar</v>
      </c>
      <c r="T96">
        <f t="shared" si="16"/>
        <v>569.04999999999995</v>
      </c>
      <c r="U96" t="str">
        <f t="shared" si="17"/>
        <v>OK</v>
      </c>
    </row>
    <row r="97" spans="1:21" x14ac:dyDescent="0.3">
      <c r="A97" t="s">
        <v>224</v>
      </c>
      <c r="B97" s="3">
        <v>45814</v>
      </c>
      <c r="C97" t="s">
        <v>225</v>
      </c>
      <c r="D97" t="s">
        <v>14</v>
      </c>
      <c r="E97" t="s">
        <v>15</v>
      </c>
      <c r="F97" t="s">
        <v>21</v>
      </c>
      <c r="G97" t="s">
        <v>35</v>
      </c>
      <c r="H97">
        <v>1</v>
      </c>
      <c r="I97">
        <v>14667</v>
      </c>
      <c r="J97">
        <v>0.15</v>
      </c>
      <c r="K97">
        <v>12466.95</v>
      </c>
      <c r="L97">
        <v>2595.9899999999998</v>
      </c>
      <c r="M97" t="str">
        <f t="shared" si="9"/>
        <v>Office Chair</v>
      </c>
      <c r="N97" t="str">
        <f t="shared" si="10"/>
        <v>Mumbai</v>
      </c>
      <c r="O97" t="str">
        <f t="shared" si="11"/>
        <v>West</v>
      </c>
      <c r="P97" t="str">
        <f t="shared" si="12"/>
        <v>Furniture</v>
      </c>
      <c r="Q97" t="str">
        <f t="shared" si="13"/>
        <v>Furniture</v>
      </c>
      <c r="R97" t="str">
        <f t="shared" si="14"/>
        <v>West</v>
      </c>
      <c r="S97" t="str">
        <f t="shared" si="15"/>
        <v>Mumbai</v>
      </c>
      <c r="T97">
        <f t="shared" si="16"/>
        <v>12466.949999999999</v>
      </c>
      <c r="U97" t="str">
        <f t="shared" si="17"/>
        <v>OK</v>
      </c>
    </row>
    <row r="98" spans="1:21" x14ac:dyDescent="0.3">
      <c r="A98" t="s">
        <v>226</v>
      </c>
      <c r="B98" s="3">
        <v>45805</v>
      </c>
      <c r="C98" t="s">
        <v>174</v>
      </c>
      <c r="D98" t="s">
        <v>153</v>
      </c>
      <c r="E98" t="s">
        <v>26</v>
      </c>
      <c r="F98" t="s">
        <v>16</v>
      </c>
      <c r="G98" t="s">
        <v>52</v>
      </c>
      <c r="H98">
        <v>1</v>
      </c>
      <c r="I98">
        <v>9313</v>
      </c>
      <c r="J98">
        <v>0.1</v>
      </c>
      <c r="K98">
        <v>8381.7000000000007</v>
      </c>
      <c r="L98">
        <v>1342.5</v>
      </c>
      <c r="M98" t="str">
        <f t="shared" si="9"/>
        <v>Coffee Maker</v>
      </c>
      <c r="N98" t="str">
        <f t="shared" si="10"/>
        <v>Kolkata</v>
      </c>
      <c r="O98" t="str">
        <f t="shared" si="11"/>
        <v>East</v>
      </c>
      <c r="P98" t="str">
        <f t="shared" si="12"/>
        <v>Home Appliances</v>
      </c>
      <c r="Q98" t="str">
        <f t="shared" si="13"/>
        <v>Home Appliances</v>
      </c>
      <c r="R98" t="str">
        <f t="shared" si="14"/>
        <v>East</v>
      </c>
      <c r="S98" t="str">
        <f t="shared" si="15"/>
        <v>Kolkata</v>
      </c>
      <c r="T98">
        <f t="shared" si="16"/>
        <v>8381.7000000000007</v>
      </c>
      <c r="U98" t="str">
        <f t="shared" si="17"/>
        <v>OK</v>
      </c>
    </row>
    <row r="99" spans="1:21" x14ac:dyDescent="0.3">
      <c r="A99" t="s">
        <v>227</v>
      </c>
      <c r="B99" s="3">
        <v>45798</v>
      </c>
      <c r="C99" t="s">
        <v>228</v>
      </c>
      <c r="D99" t="s">
        <v>30</v>
      </c>
      <c r="E99" t="s">
        <v>15</v>
      </c>
      <c r="F99" t="s">
        <v>21</v>
      </c>
      <c r="G99" t="s">
        <v>55</v>
      </c>
      <c r="H99">
        <v>1</v>
      </c>
      <c r="I99">
        <v>5458</v>
      </c>
      <c r="J99">
        <v>0.05</v>
      </c>
      <c r="K99">
        <v>5185.1000000000004</v>
      </c>
      <c r="L99">
        <v>1167.78</v>
      </c>
      <c r="M99" t="str">
        <f t="shared" si="9"/>
        <v>Bookshelf</v>
      </c>
      <c r="N99" t="str">
        <f t="shared" si="10"/>
        <v>Pune</v>
      </c>
      <c r="O99" t="str">
        <f t="shared" si="11"/>
        <v>West</v>
      </c>
      <c r="P99" t="str">
        <f t="shared" si="12"/>
        <v>Furniture</v>
      </c>
      <c r="Q99" t="str">
        <f t="shared" si="13"/>
        <v>Furniture</v>
      </c>
      <c r="R99" t="str">
        <f t="shared" si="14"/>
        <v>West</v>
      </c>
      <c r="S99" t="str">
        <f t="shared" si="15"/>
        <v>Pune</v>
      </c>
      <c r="T99">
        <f t="shared" si="16"/>
        <v>5185.0999999999995</v>
      </c>
      <c r="U99" t="str">
        <f t="shared" si="17"/>
        <v>OK</v>
      </c>
    </row>
    <row r="100" spans="1:21" x14ac:dyDescent="0.3">
      <c r="A100" t="s">
        <v>229</v>
      </c>
      <c r="B100" s="3">
        <v>45950</v>
      </c>
      <c r="C100" t="s">
        <v>183</v>
      </c>
      <c r="D100" t="s">
        <v>43</v>
      </c>
      <c r="E100" t="s">
        <v>44</v>
      </c>
      <c r="F100" t="s">
        <v>21</v>
      </c>
      <c r="G100" t="s">
        <v>35</v>
      </c>
      <c r="H100">
        <v>3</v>
      </c>
      <c r="I100">
        <v>483</v>
      </c>
      <c r="J100">
        <v>0.1</v>
      </c>
      <c r="K100">
        <v>1304.0999999999999</v>
      </c>
      <c r="L100">
        <v>262.57</v>
      </c>
      <c r="M100" t="str">
        <f t="shared" si="9"/>
        <v>Phone Holder</v>
      </c>
      <c r="N100" t="str">
        <f t="shared" si="10"/>
        <v>Mumbai</v>
      </c>
      <c r="O100" t="str">
        <f t="shared" si="11"/>
        <v>West</v>
      </c>
      <c r="P100" t="str">
        <f t="shared" si="12"/>
        <v>Accessories</v>
      </c>
      <c r="Q100" t="str">
        <f t="shared" si="13"/>
        <v>Accessories</v>
      </c>
      <c r="R100" t="str">
        <f t="shared" si="14"/>
        <v>West</v>
      </c>
      <c r="S100" t="str">
        <f t="shared" si="15"/>
        <v>Mumbai</v>
      </c>
      <c r="T100">
        <f t="shared" si="16"/>
        <v>1304.1000000000001</v>
      </c>
      <c r="U100" t="str">
        <f t="shared" si="17"/>
        <v>OK</v>
      </c>
    </row>
    <row r="101" spans="1:21" x14ac:dyDescent="0.3">
      <c r="A101" t="s">
        <v>230</v>
      </c>
      <c r="B101" s="3">
        <v>45924</v>
      </c>
      <c r="C101" t="s">
        <v>231</v>
      </c>
      <c r="D101" t="s">
        <v>72</v>
      </c>
      <c r="E101" t="s">
        <v>73</v>
      </c>
      <c r="F101" t="s">
        <v>58</v>
      </c>
      <c r="G101" t="s">
        <v>69</v>
      </c>
      <c r="H101">
        <v>2</v>
      </c>
      <c r="I101">
        <v>358</v>
      </c>
      <c r="J101">
        <v>0.25</v>
      </c>
      <c r="K101">
        <v>537</v>
      </c>
      <c r="L101">
        <v>133.06</v>
      </c>
      <c r="M101" t="str">
        <f t="shared" si="9"/>
        <v>Desk Organizer</v>
      </c>
      <c r="N101" t="str">
        <f t="shared" si="10"/>
        <v>Jaipur</v>
      </c>
      <c r="O101" t="str">
        <f t="shared" si="11"/>
        <v>North</v>
      </c>
      <c r="P101" t="str">
        <f t="shared" si="12"/>
        <v>Office Supplies</v>
      </c>
      <c r="Q101" t="str">
        <f t="shared" si="13"/>
        <v>Office Supplies</v>
      </c>
      <c r="R101" t="str">
        <f t="shared" si="14"/>
        <v>North</v>
      </c>
      <c r="S101" t="str">
        <f t="shared" si="15"/>
        <v>Jaipur</v>
      </c>
      <c r="T101">
        <f t="shared" si="16"/>
        <v>537</v>
      </c>
      <c r="U101" t="str">
        <f t="shared" si="17"/>
        <v>OK</v>
      </c>
    </row>
    <row r="102" spans="1:21" x14ac:dyDescent="0.3">
      <c r="A102" t="s">
        <v>232</v>
      </c>
      <c r="B102" s="3">
        <v>45806</v>
      </c>
      <c r="C102" t="s">
        <v>215</v>
      </c>
      <c r="D102" t="s">
        <v>34</v>
      </c>
      <c r="E102" t="s">
        <v>15</v>
      </c>
      <c r="F102" t="s">
        <v>16</v>
      </c>
      <c r="G102" t="s">
        <v>17</v>
      </c>
      <c r="H102">
        <v>1</v>
      </c>
      <c r="I102">
        <v>20396</v>
      </c>
      <c r="J102">
        <v>0</v>
      </c>
      <c r="K102">
        <v>20396</v>
      </c>
      <c r="L102">
        <v>4845.2299999999996</v>
      </c>
      <c r="M102" t="str">
        <f t="shared" si="9"/>
        <v>Desk</v>
      </c>
      <c r="N102" t="str">
        <f t="shared" si="10"/>
        <v>Guwahati</v>
      </c>
      <c r="O102" t="str">
        <f t="shared" si="11"/>
        <v>East</v>
      </c>
      <c r="P102" t="str">
        <f t="shared" si="12"/>
        <v>Furniture</v>
      </c>
      <c r="Q102" t="str">
        <f t="shared" si="13"/>
        <v>Furniture</v>
      </c>
      <c r="R102" t="str">
        <f t="shared" si="14"/>
        <v>East</v>
      </c>
      <c r="S102" t="str">
        <f t="shared" si="15"/>
        <v>Guwahati</v>
      </c>
      <c r="T102">
        <f t="shared" si="16"/>
        <v>20396</v>
      </c>
      <c r="U102" t="str">
        <f t="shared" si="17"/>
        <v>OK</v>
      </c>
    </row>
    <row r="103" spans="1:21" x14ac:dyDescent="0.3">
      <c r="A103" t="s">
        <v>233</v>
      </c>
      <c r="B103" s="3">
        <v>45747</v>
      </c>
      <c r="C103" t="s">
        <v>234</v>
      </c>
      <c r="D103" t="s">
        <v>30</v>
      </c>
      <c r="E103" t="s">
        <v>15</v>
      </c>
      <c r="F103" t="s">
        <v>21</v>
      </c>
      <c r="G103" t="s">
        <v>35</v>
      </c>
      <c r="H103">
        <v>4</v>
      </c>
      <c r="I103">
        <v>7790</v>
      </c>
      <c r="J103">
        <v>0.05</v>
      </c>
      <c r="K103">
        <v>29602</v>
      </c>
      <c r="L103">
        <v>6734.46</v>
      </c>
      <c r="M103" t="str">
        <f t="shared" si="9"/>
        <v>Bookshelf</v>
      </c>
      <c r="N103" t="str">
        <f t="shared" si="10"/>
        <v>Mumbai</v>
      </c>
      <c r="O103" t="str">
        <f t="shared" si="11"/>
        <v>West</v>
      </c>
      <c r="P103" t="str">
        <f t="shared" si="12"/>
        <v>Furniture</v>
      </c>
      <c r="Q103" t="str">
        <f t="shared" si="13"/>
        <v>Furniture</v>
      </c>
      <c r="R103" t="str">
        <f t="shared" si="14"/>
        <v>West</v>
      </c>
      <c r="S103" t="str">
        <f t="shared" si="15"/>
        <v>Mumbai</v>
      </c>
      <c r="T103">
        <f t="shared" si="16"/>
        <v>29602</v>
      </c>
      <c r="U103" t="str">
        <f t="shared" si="17"/>
        <v>OK</v>
      </c>
    </row>
    <row r="104" spans="1:21" x14ac:dyDescent="0.3">
      <c r="A104" t="s">
        <v>235</v>
      </c>
      <c r="B104" s="3">
        <v>45836</v>
      </c>
      <c r="C104" t="s">
        <v>87</v>
      </c>
      <c r="D104" t="s">
        <v>153</v>
      </c>
      <c r="E104" t="s">
        <v>26</v>
      </c>
      <c r="F104" t="s">
        <v>21</v>
      </c>
      <c r="G104" t="s">
        <v>22</v>
      </c>
      <c r="H104">
        <v>1</v>
      </c>
      <c r="I104">
        <v>6832</v>
      </c>
      <c r="J104">
        <v>0</v>
      </c>
      <c r="K104">
        <v>6832</v>
      </c>
      <c r="L104">
        <v>592.85</v>
      </c>
      <c r="M104" t="str">
        <f t="shared" si="9"/>
        <v>Coffee Maker</v>
      </c>
      <c r="N104" t="str">
        <f t="shared" si="10"/>
        <v>Ahmedabad</v>
      </c>
      <c r="O104" t="str">
        <f t="shared" si="11"/>
        <v>West</v>
      </c>
      <c r="P104" t="str">
        <f t="shared" si="12"/>
        <v>Home Appliances</v>
      </c>
      <c r="Q104" t="str">
        <f t="shared" si="13"/>
        <v>Home Appliances</v>
      </c>
      <c r="R104" t="str">
        <f t="shared" si="14"/>
        <v>West</v>
      </c>
      <c r="S104" t="str">
        <f t="shared" si="15"/>
        <v>Ahmedabad</v>
      </c>
      <c r="T104">
        <f t="shared" si="16"/>
        <v>6832</v>
      </c>
      <c r="U104" t="str">
        <f t="shared" si="17"/>
        <v>OK</v>
      </c>
    </row>
    <row r="105" spans="1:21" x14ac:dyDescent="0.3">
      <c r="A105" t="s">
        <v>236</v>
      </c>
      <c r="B105" s="3">
        <v>45811</v>
      </c>
      <c r="C105" t="s">
        <v>139</v>
      </c>
      <c r="D105" t="s">
        <v>30</v>
      </c>
      <c r="E105" t="s">
        <v>15</v>
      </c>
      <c r="F105" t="s">
        <v>16</v>
      </c>
      <c r="G105" t="s">
        <v>104</v>
      </c>
      <c r="H105">
        <v>1</v>
      </c>
      <c r="I105">
        <v>10804</v>
      </c>
      <c r="J105">
        <v>0</v>
      </c>
      <c r="K105">
        <v>10804</v>
      </c>
      <c r="L105">
        <v>2941</v>
      </c>
      <c r="M105" t="str">
        <f t="shared" si="9"/>
        <v>Bookshelf</v>
      </c>
      <c r="N105" t="str">
        <f t="shared" si="10"/>
        <v>Bhubaneswar</v>
      </c>
      <c r="O105" t="str">
        <f t="shared" si="11"/>
        <v>East</v>
      </c>
      <c r="P105" t="str">
        <f t="shared" si="12"/>
        <v>Furniture</v>
      </c>
      <c r="Q105" t="str">
        <f t="shared" si="13"/>
        <v>Furniture</v>
      </c>
      <c r="R105" t="str">
        <f t="shared" si="14"/>
        <v>East</v>
      </c>
      <c r="S105" t="str">
        <f t="shared" si="15"/>
        <v>Bhubaneswar</v>
      </c>
      <c r="T105">
        <f t="shared" si="16"/>
        <v>10804</v>
      </c>
      <c r="U105" t="str">
        <f t="shared" si="17"/>
        <v>OK</v>
      </c>
    </row>
    <row r="106" spans="1:21" x14ac:dyDescent="0.3">
      <c r="A106" t="s">
        <v>237</v>
      </c>
      <c r="B106" s="3">
        <v>45846</v>
      </c>
      <c r="C106" t="s">
        <v>238</v>
      </c>
      <c r="D106" t="s">
        <v>25</v>
      </c>
      <c r="E106" t="s">
        <v>26</v>
      </c>
      <c r="F106" t="s">
        <v>21</v>
      </c>
      <c r="G106" t="s">
        <v>22</v>
      </c>
      <c r="H106">
        <v>1</v>
      </c>
      <c r="I106">
        <v>9595</v>
      </c>
      <c r="J106">
        <v>0.05</v>
      </c>
      <c r="K106">
        <v>9115.25</v>
      </c>
      <c r="L106">
        <v>1453.55</v>
      </c>
      <c r="M106" t="str">
        <f t="shared" si="9"/>
        <v>Microwave</v>
      </c>
      <c r="N106" t="str">
        <f t="shared" si="10"/>
        <v>Ahmedabad</v>
      </c>
      <c r="O106" t="str">
        <f t="shared" si="11"/>
        <v>West</v>
      </c>
      <c r="P106" t="str">
        <f t="shared" si="12"/>
        <v>Home Appliances</v>
      </c>
      <c r="Q106" t="str">
        <f t="shared" si="13"/>
        <v>Home Appliances</v>
      </c>
      <c r="R106" t="str">
        <f t="shared" si="14"/>
        <v>West</v>
      </c>
      <c r="S106" t="str">
        <f t="shared" si="15"/>
        <v>Ahmedabad</v>
      </c>
      <c r="T106">
        <f t="shared" si="16"/>
        <v>9115.25</v>
      </c>
      <c r="U106" t="str">
        <f t="shared" si="17"/>
        <v>OK</v>
      </c>
    </row>
    <row r="107" spans="1:21" x14ac:dyDescent="0.3">
      <c r="A107" t="s">
        <v>239</v>
      </c>
      <c r="B107" s="3">
        <v>45942</v>
      </c>
      <c r="C107" t="s">
        <v>240</v>
      </c>
      <c r="D107" t="s">
        <v>50</v>
      </c>
      <c r="E107" t="s">
        <v>51</v>
      </c>
      <c r="F107" t="s">
        <v>27</v>
      </c>
      <c r="G107" t="s">
        <v>40</v>
      </c>
      <c r="H107">
        <v>2</v>
      </c>
      <c r="I107">
        <v>1820</v>
      </c>
      <c r="J107">
        <v>0.15</v>
      </c>
      <c r="K107">
        <v>3094</v>
      </c>
      <c r="L107">
        <v>611.04</v>
      </c>
      <c r="M107" t="str">
        <f t="shared" si="9"/>
        <v>Keyboard</v>
      </c>
      <c r="N107" t="str">
        <f t="shared" si="10"/>
        <v>Chennai</v>
      </c>
      <c r="O107" t="str">
        <f t="shared" si="11"/>
        <v>South</v>
      </c>
      <c r="P107" t="str">
        <f t="shared" si="12"/>
        <v>Electronics</v>
      </c>
      <c r="Q107" t="str">
        <f t="shared" si="13"/>
        <v>Electronics</v>
      </c>
      <c r="R107" t="str">
        <f t="shared" si="14"/>
        <v>South</v>
      </c>
      <c r="S107" t="str">
        <f t="shared" si="15"/>
        <v>Chennai</v>
      </c>
      <c r="T107">
        <f t="shared" si="16"/>
        <v>3094</v>
      </c>
      <c r="U107" t="str">
        <f t="shared" si="17"/>
        <v>OK</v>
      </c>
    </row>
    <row r="108" spans="1:21" x14ac:dyDescent="0.3">
      <c r="A108" t="s">
        <v>241</v>
      </c>
      <c r="B108" s="3">
        <v>45770</v>
      </c>
      <c r="C108" t="s">
        <v>220</v>
      </c>
      <c r="D108" t="s">
        <v>88</v>
      </c>
      <c r="E108" t="s">
        <v>73</v>
      </c>
      <c r="F108" t="s">
        <v>27</v>
      </c>
      <c r="G108" t="s">
        <v>40</v>
      </c>
      <c r="H108">
        <v>1</v>
      </c>
      <c r="I108">
        <v>380</v>
      </c>
      <c r="J108">
        <v>0</v>
      </c>
      <c r="K108">
        <v>380</v>
      </c>
      <c r="L108">
        <v>44.23</v>
      </c>
      <c r="M108" t="str">
        <f t="shared" si="9"/>
        <v>Stapler</v>
      </c>
      <c r="N108" t="str">
        <f t="shared" si="10"/>
        <v>Chennai</v>
      </c>
      <c r="O108" t="str">
        <f t="shared" si="11"/>
        <v>South</v>
      </c>
      <c r="P108" t="str">
        <f t="shared" si="12"/>
        <v>Office Supplies</v>
      </c>
      <c r="Q108" t="str">
        <f t="shared" si="13"/>
        <v>Office Supplies</v>
      </c>
      <c r="R108" t="str">
        <f t="shared" si="14"/>
        <v>South</v>
      </c>
      <c r="S108" t="str">
        <f t="shared" si="15"/>
        <v>Chennai</v>
      </c>
      <c r="T108">
        <f t="shared" si="16"/>
        <v>380</v>
      </c>
      <c r="U108" t="str">
        <f t="shared" si="17"/>
        <v>OK</v>
      </c>
    </row>
    <row r="109" spans="1:21" x14ac:dyDescent="0.3">
      <c r="A109" t="s">
        <v>242</v>
      </c>
      <c r="B109" s="3">
        <v>45819</v>
      </c>
      <c r="C109" t="s">
        <v>96</v>
      </c>
      <c r="D109" t="s">
        <v>50</v>
      </c>
      <c r="E109" t="s">
        <v>51</v>
      </c>
      <c r="F109" t="s">
        <v>21</v>
      </c>
      <c r="G109" t="s">
        <v>55</v>
      </c>
      <c r="H109">
        <v>1</v>
      </c>
      <c r="I109">
        <v>869</v>
      </c>
      <c r="J109">
        <v>0</v>
      </c>
      <c r="K109">
        <v>869</v>
      </c>
      <c r="L109">
        <v>193.96</v>
      </c>
      <c r="M109" t="str">
        <f t="shared" si="9"/>
        <v>Keyboard</v>
      </c>
      <c r="N109" t="str">
        <f t="shared" si="10"/>
        <v>Pune</v>
      </c>
      <c r="O109" t="str">
        <f t="shared" si="11"/>
        <v>West</v>
      </c>
      <c r="P109" t="str">
        <f t="shared" si="12"/>
        <v>Electronics</v>
      </c>
      <c r="Q109" t="str">
        <f t="shared" si="13"/>
        <v>Electronics</v>
      </c>
      <c r="R109" t="str">
        <f t="shared" si="14"/>
        <v>West</v>
      </c>
      <c r="S109" t="str">
        <f t="shared" si="15"/>
        <v>Pune</v>
      </c>
      <c r="T109">
        <f t="shared" si="16"/>
        <v>869</v>
      </c>
      <c r="U109" t="str">
        <f t="shared" si="17"/>
        <v>OK</v>
      </c>
    </row>
    <row r="110" spans="1:21" x14ac:dyDescent="0.3">
      <c r="A110" t="s">
        <v>243</v>
      </c>
      <c r="B110" s="3">
        <v>45912</v>
      </c>
      <c r="C110" t="s">
        <v>244</v>
      </c>
      <c r="D110" t="s">
        <v>14</v>
      </c>
      <c r="E110" t="s">
        <v>15</v>
      </c>
      <c r="F110" t="s">
        <v>16</v>
      </c>
      <c r="G110" t="s">
        <v>17</v>
      </c>
      <c r="H110">
        <v>1</v>
      </c>
      <c r="I110">
        <v>7249</v>
      </c>
      <c r="J110">
        <v>0.15</v>
      </c>
      <c r="K110">
        <v>6161.65</v>
      </c>
      <c r="L110">
        <v>712.96</v>
      </c>
      <c r="M110" t="str">
        <f t="shared" si="9"/>
        <v>Office Chair</v>
      </c>
      <c r="N110" t="str">
        <f t="shared" si="10"/>
        <v>Guwahati</v>
      </c>
      <c r="O110" t="str">
        <f t="shared" si="11"/>
        <v>East</v>
      </c>
      <c r="P110" t="str">
        <f t="shared" si="12"/>
        <v>Furniture</v>
      </c>
      <c r="Q110" t="str">
        <f t="shared" si="13"/>
        <v>Furniture</v>
      </c>
      <c r="R110" t="str">
        <f t="shared" si="14"/>
        <v>East</v>
      </c>
      <c r="S110" t="str">
        <f t="shared" si="15"/>
        <v>Guwahati</v>
      </c>
      <c r="T110">
        <f t="shared" si="16"/>
        <v>6161.65</v>
      </c>
      <c r="U110" t="str">
        <f t="shared" si="17"/>
        <v>OK</v>
      </c>
    </row>
    <row r="111" spans="1:21" x14ac:dyDescent="0.3">
      <c r="A111" t="s">
        <v>245</v>
      </c>
      <c r="B111" s="3">
        <v>45753</v>
      </c>
      <c r="C111" t="s">
        <v>246</v>
      </c>
      <c r="D111" t="s">
        <v>65</v>
      </c>
      <c r="E111" t="s">
        <v>26</v>
      </c>
      <c r="F111" t="s">
        <v>27</v>
      </c>
      <c r="G111" t="s">
        <v>31</v>
      </c>
      <c r="H111">
        <v>5</v>
      </c>
      <c r="I111">
        <v>3191</v>
      </c>
      <c r="J111">
        <v>0.15</v>
      </c>
      <c r="K111">
        <v>13561.75</v>
      </c>
      <c r="L111">
        <v>3695.98</v>
      </c>
      <c r="M111" t="str">
        <f t="shared" si="9"/>
        <v>Electric Kettle</v>
      </c>
      <c r="N111" t="str">
        <f t="shared" si="10"/>
        <v>Hyderabad</v>
      </c>
      <c r="O111" t="str">
        <f t="shared" si="11"/>
        <v>South</v>
      </c>
      <c r="P111" t="str">
        <f t="shared" si="12"/>
        <v>Home Appliances</v>
      </c>
      <c r="Q111" t="str">
        <f t="shared" si="13"/>
        <v>Home Appliances</v>
      </c>
      <c r="R111" t="str">
        <f t="shared" si="14"/>
        <v>South</v>
      </c>
      <c r="S111" t="str">
        <f t="shared" si="15"/>
        <v>Hyderabad</v>
      </c>
      <c r="T111">
        <f t="shared" si="16"/>
        <v>13561.75</v>
      </c>
      <c r="U111" t="str">
        <f t="shared" si="17"/>
        <v>OK</v>
      </c>
    </row>
    <row r="112" spans="1:21" x14ac:dyDescent="0.3">
      <c r="A112" t="s">
        <v>247</v>
      </c>
      <c r="B112" s="3">
        <v>45920</v>
      </c>
      <c r="C112" t="s">
        <v>248</v>
      </c>
      <c r="D112" t="s">
        <v>92</v>
      </c>
      <c r="E112" t="s">
        <v>51</v>
      </c>
      <c r="F112" t="s">
        <v>16</v>
      </c>
      <c r="G112" t="s">
        <v>104</v>
      </c>
      <c r="H112">
        <v>3</v>
      </c>
      <c r="I112">
        <v>22570</v>
      </c>
      <c r="J112">
        <v>0</v>
      </c>
      <c r="K112">
        <v>67710</v>
      </c>
      <c r="L112">
        <v>17285.61</v>
      </c>
      <c r="M112" t="str">
        <f t="shared" si="9"/>
        <v>Monitor</v>
      </c>
      <c r="N112" t="str">
        <f t="shared" si="10"/>
        <v>Bhubaneswar</v>
      </c>
      <c r="O112" t="str">
        <f t="shared" si="11"/>
        <v>East</v>
      </c>
      <c r="P112" t="str">
        <f t="shared" si="12"/>
        <v>Electronics</v>
      </c>
      <c r="Q112" t="str">
        <f t="shared" si="13"/>
        <v>Electronics</v>
      </c>
      <c r="R112" t="str">
        <f t="shared" si="14"/>
        <v>East</v>
      </c>
      <c r="S112" t="str">
        <f t="shared" si="15"/>
        <v>Bhubaneswar</v>
      </c>
      <c r="T112">
        <f t="shared" si="16"/>
        <v>67710</v>
      </c>
      <c r="U112" t="str">
        <f t="shared" si="17"/>
        <v>OK</v>
      </c>
    </row>
    <row r="113" spans="1:21" x14ac:dyDescent="0.3">
      <c r="A113" t="s">
        <v>249</v>
      </c>
      <c r="B113" s="3">
        <v>45854</v>
      </c>
      <c r="C113" t="s">
        <v>206</v>
      </c>
      <c r="D113" t="s">
        <v>34</v>
      </c>
      <c r="E113" t="s">
        <v>15</v>
      </c>
      <c r="F113" t="s">
        <v>58</v>
      </c>
      <c r="G113" t="s">
        <v>59</v>
      </c>
      <c r="H113">
        <v>1</v>
      </c>
      <c r="I113">
        <v>11670</v>
      </c>
      <c r="J113">
        <v>0.05</v>
      </c>
      <c r="K113">
        <v>11086.5</v>
      </c>
      <c r="L113">
        <v>2195.7800000000002</v>
      </c>
      <c r="M113" t="str">
        <f t="shared" si="9"/>
        <v>Desk</v>
      </c>
      <c r="N113" t="str">
        <f t="shared" si="10"/>
        <v>Chandigarh</v>
      </c>
      <c r="O113" t="str">
        <f t="shared" si="11"/>
        <v>North</v>
      </c>
      <c r="P113" t="str">
        <f t="shared" si="12"/>
        <v>Furniture</v>
      </c>
      <c r="Q113" t="str">
        <f t="shared" si="13"/>
        <v>Furniture</v>
      </c>
      <c r="R113" t="str">
        <f t="shared" si="14"/>
        <v>North</v>
      </c>
      <c r="S113" t="str">
        <f t="shared" si="15"/>
        <v>Chandigarh</v>
      </c>
      <c r="T113">
        <f t="shared" si="16"/>
        <v>11086.5</v>
      </c>
      <c r="U113" t="str">
        <f t="shared" si="17"/>
        <v>OK</v>
      </c>
    </row>
    <row r="114" spans="1:21" x14ac:dyDescent="0.3">
      <c r="A114" t="s">
        <v>250</v>
      </c>
      <c r="B114" s="3">
        <v>45883</v>
      </c>
      <c r="C114" t="s">
        <v>251</v>
      </c>
      <c r="D114" t="s">
        <v>97</v>
      </c>
      <c r="E114" t="s">
        <v>44</v>
      </c>
      <c r="F114" t="s">
        <v>27</v>
      </c>
      <c r="G114" t="s">
        <v>40</v>
      </c>
      <c r="H114">
        <v>4</v>
      </c>
      <c r="I114">
        <v>459</v>
      </c>
      <c r="J114">
        <v>0.25</v>
      </c>
      <c r="K114">
        <v>1377</v>
      </c>
      <c r="L114">
        <v>324.91000000000003</v>
      </c>
      <c r="M114" t="str">
        <f t="shared" si="9"/>
        <v>USB Cable</v>
      </c>
      <c r="N114" t="str">
        <f t="shared" si="10"/>
        <v>Chennai</v>
      </c>
      <c r="O114" t="str">
        <f t="shared" si="11"/>
        <v>South</v>
      </c>
      <c r="P114" t="str">
        <f t="shared" si="12"/>
        <v>Accessories</v>
      </c>
      <c r="Q114" t="str">
        <f t="shared" si="13"/>
        <v>Accessories</v>
      </c>
      <c r="R114" t="str">
        <f t="shared" si="14"/>
        <v>South</v>
      </c>
      <c r="S114" t="str">
        <f t="shared" si="15"/>
        <v>Chennai</v>
      </c>
      <c r="T114">
        <f t="shared" si="16"/>
        <v>1377</v>
      </c>
      <c r="U114" t="str">
        <f t="shared" si="17"/>
        <v>OK</v>
      </c>
    </row>
    <row r="115" spans="1:21" x14ac:dyDescent="0.3">
      <c r="A115" t="s">
        <v>252</v>
      </c>
      <c r="B115" s="3">
        <v>45872</v>
      </c>
      <c r="C115" t="s">
        <v>253</v>
      </c>
      <c r="D115" t="s">
        <v>43</v>
      </c>
      <c r="E115" t="s">
        <v>44</v>
      </c>
      <c r="F115" t="s">
        <v>16</v>
      </c>
      <c r="G115" t="s">
        <v>104</v>
      </c>
      <c r="H115">
        <v>3</v>
      </c>
      <c r="I115">
        <v>810</v>
      </c>
      <c r="J115">
        <v>0</v>
      </c>
      <c r="K115">
        <v>2430</v>
      </c>
      <c r="L115">
        <v>324.98</v>
      </c>
      <c r="M115" t="str">
        <f t="shared" si="9"/>
        <v>Phone Holder</v>
      </c>
      <c r="N115" t="str">
        <f t="shared" si="10"/>
        <v>Bhubaneswar</v>
      </c>
      <c r="O115" t="str">
        <f t="shared" si="11"/>
        <v>East</v>
      </c>
      <c r="P115" t="str">
        <f t="shared" si="12"/>
        <v>Accessories</v>
      </c>
      <c r="Q115" t="str">
        <f t="shared" si="13"/>
        <v>Accessories</v>
      </c>
      <c r="R115" t="str">
        <f t="shared" si="14"/>
        <v>East</v>
      </c>
      <c r="S115" t="str">
        <f t="shared" si="15"/>
        <v>Bhubaneswar</v>
      </c>
      <c r="T115">
        <f t="shared" si="16"/>
        <v>2430</v>
      </c>
      <c r="U115" t="str">
        <f t="shared" si="17"/>
        <v>OK</v>
      </c>
    </row>
    <row r="116" spans="1:21" x14ac:dyDescent="0.3">
      <c r="A116" t="s">
        <v>254</v>
      </c>
      <c r="B116" s="3">
        <v>45903</v>
      </c>
      <c r="C116" t="s">
        <v>255</v>
      </c>
      <c r="D116" t="s">
        <v>83</v>
      </c>
      <c r="E116" t="s">
        <v>73</v>
      </c>
      <c r="F116" t="s">
        <v>16</v>
      </c>
      <c r="G116" t="s">
        <v>52</v>
      </c>
      <c r="H116">
        <v>2</v>
      </c>
      <c r="I116">
        <v>524</v>
      </c>
      <c r="J116">
        <v>0</v>
      </c>
      <c r="K116">
        <v>1048</v>
      </c>
      <c r="L116">
        <v>272.60000000000002</v>
      </c>
      <c r="M116" t="str">
        <f t="shared" si="9"/>
        <v>Printer Paper</v>
      </c>
      <c r="N116" t="str">
        <f t="shared" si="10"/>
        <v>Kolkata</v>
      </c>
      <c r="O116" t="str">
        <f t="shared" si="11"/>
        <v>East</v>
      </c>
      <c r="P116" t="str">
        <f t="shared" si="12"/>
        <v>Office Supplies</v>
      </c>
      <c r="Q116" t="str">
        <f t="shared" si="13"/>
        <v>Office Supplies</v>
      </c>
      <c r="R116" t="str">
        <f t="shared" si="14"/>
        <v>East</v>
      </c>
      <c r="S116" t="str">
        <f t="shared" si="15"/>
        <v>Kolkata</v>
      </c>
      <c r="T116">
        <f t="shared" si="16"/>
        <v>1048</v>
      </c>
      <c r="U116" t="str">
        <f t="shared" si="17"/>
        <v>OK</v>
      </c>
    </row>
    <row r="117" spans="1:21" x14ac:dyDescent="0.3">
      <c r="A117" t="s">
        <v>256</v>
      </c>
      <c r="B117" s="3">
        <v>45785</v>
      </c>
      <c r="C117" t="s">
        <v>257</v>
      </c>
      <c r="D117" t="s">
        <v>50</v>
      </c>
      <c r="E117" t="s">
        <v>51</v>
      </c>
      <c r="F117" t="s">
        <v>27</v>
      </c>
      <c r="G117" t="s">
        <v>40</v>
      </c>
      <c r="H117">
        <v>1</v>
      </c>
      <c r="I117">
        <v>2357</v>
      </c>
      <c r="J117">
        <v>0.05</v>
      </c>
      <c r="K117">
        <v>2239.15</v>
      </c>
      <c r="L117">
        <v>427.31</v>
      </c>
      <c r="M117" t="str">
        <f t="shared" si="9"/>
        <v>Keyboard</v>
      </c>
      <c r="N117" t="str">
        <f t="shared" si="10"/>
        <v>Chennai</v>
      </c>
      <c r="O117" t="str">
        <f t="shared" si="11"/>
        <v>South</v>
      </c>
      <c r="P117" t="str">
        <f t="shared" si="12"/>
        <v>Electronics</v>
      </c>
      <c r="Q117" t="str">
        <f t="shared" si="13"/>
        <v>Electronics</v>
      </c>
      <c r="R117" t="str">
        <f t="shared" si="14"/>
        <v>South</v>
      </c>
      <c r="S117" t="str">
        <f t="shared" si="15"/>
        <v>Chennai</v>
      </c>
      <c r="T117">
        <f t="shared" si="16"/>
        <v>2239.15</v>
      </c>
      <c r="U117" t="str">
        <f t="shared" si="17"/>
        <v>OK</v>
      </c>
    </row>
    <row r="118" spans="1:21" x14ac:dyDescent="0.3">
      <c r="A118" t="s">
        <v>258</v>
      </c>
      <c r="B118" s="3">
        <v>46019</v>
      </c>
      <c r="C118" t="s">
        <v>255</v>
      </c>
      <c r="D118" t="s">
        <v>65</v>
      </c>
      <c r="E118" t="s">
        <v>26</v>
      </c>
      <c r="F118" t="s">
        <v>16</v>
      </c>
      <c r="G118" t="s">
        <v>52</v>
      </c>
      <c r="H118">
        <v>1</v>
      </c>
      <c r="I118">
        <v>2070</v>
      </c>
      <c r="J118">
        <v>0.05</v>
      </c>
      <c r="K118">
        <v>1966.5</v>
      </c>
      <c r="L118">
        <v>445.29</v>
      </c>
      <c r="M118" t="str">
        <f t="shared" si="9"/>
        <v>Electric Kettle</v>
      </c>
      <c r="N118" t="str">
        <f t="shared" si="10"/>
        <v>Kolkata</v>
      </c>
      <c r="O118" t="str">
        <f t="shared" si="11"/>
        <v>East</v>
      </c>
      <c r="P118" t="str">
        <f t="shared" si="12"/>
        <v>Home Appliances</v>
      </c>
      <c r="Q118" t="str">
        <f t="shared" si="13"/>
        <v>Home Appliances</v>
      </c>
      <c r="R118" t="str">
        <f t="shared" si="14"/>
        <v>East</v>
      </c>
      <c r="S118" t="str">
        <f t="shared" si="15"/>
        <v>Kolkata</v>
      </c>
      <c r="T118">
        <f t="shared" si="16"/>
        <v>1966.5</v>
      </c>
      <c r="U118" t="str">
        <f t="shared" si="17"/>
        <v>OK</v>
      </c>
    </row>
    <row r="119" spans="1:21" x14ac:dyDescent="0.3">
      <c r="A119" t="s">
        <v>259</v>
      </c>
      <c r="B119" s="3">
        <v>45830</v>
      </c>
      <c r="C119" t="s">
        <v>260</v>
      </c>
      <c r="D119" t="s">
        <v>47</v>
      </c>
      <c r="E119" t="s">
        <v>26</v>
      </c>
      <c r="F119" t="s">
        <v>58</v>
      </c>
      <c r="G119" t="s">
        <v>59</v>
      </c>
      <c r="H119">
        <v>3</v>
      </c>
      <c r="I119">
        <v>13066</v>
      </c>
      <c r="J119">
        <v>0.15</v>
      </c>
      <c r="K119">
        <v>33318.300000000003</v>
      </c>
      <c r="L119">
        <v>5477.77</v>
      </c>
      <c r="M119" t="str">
        <f t="shared" si="9"/>
        <v>Air Purifier</v>
      </c>
      <c r="N119" t="str">
        <f t="shared" si="10"/>
        <v>Chandigarh</v>
      </c>
      <c r="O119" t="str">
        <f t="shared" si="11"/>
        <v>North</v>
      </c>
      <c r="P119" t="str">
        <f t="shared" si="12"/>
        <v>Home Appliances</v>
      </c>
      <c r="Q119" t="str">
        <f t="shared" si="13"/>
        <v>Home Appliances</v>
      </c>
      <c r="R119" t="str">
        <f t="shared" si="14"/>
        <v>North</v>
      </c>
      <c r="S119" t="str">
        <f t="shared" si="15"/>
        <v>Chandigarh</v>
      </c>
      <c r="T119">
        <f t="shared" si="16"/>
        <v>33318.299999999996</v>
      </c>
      <c r="U119" t="str">
        <f t="shared" si="17"/>
        <v>OK</v>
      </c>
    </row>
    <row r="120" spans="1:21" x14ac:dyDescent="0.3">
      <c r="A120" t="s">
        <v>261</v>
      </c>
      <c r="B120" s="3">
        <v>45838</v>
      </c>
      <c r="C120" t="s">
        <v>225</v>
      </c>
      <c r="D120" t="s">
        <v>50</v>
      </c>
      <c r="E120" t="s">
        <v>51</v>
      </c>
      <c r="F120" t="s">
        <v>58</v>
      </c>
      <c r="G120" t="s">
        <v>59</v>
      </c>
      <c r="H120">
        <v>2</v>
      </c>
      <c r="I120">
        <v>1462</v>
      </c>
      <c r="J120">
        <v>0.05</v>
      </c>
      <c r="K120">
        <v>2777.8</v>
      </c>
      <c r="L120">
        <v>382.61</v>
      </c>
      <c r="M120" t="str">
        <f t="shared" si="9"/>
        <v>Keyboard</v>
      </c>
      <c r="N120" t="str">
        <f t="shared" si="10"/>
        <v>Chandigarh</v>
      </c>
      <c r="O120" t="str">
        <f t="shared" si="11"/>
        <v>North</v>
      </c>
      <c r="P120" t="str">
        <f t="shared" si="12"/>
        <v>Electronics</v>
      </c>
      <c r="Q120" t="str">
        <f t="shared" si="13"/>
        <v>Electronics</v>
      </c>
      <c r="R120" t="str">
        <f t="shared" si="14"/>
        <v>North</v>
      </c>
      <c r="S120" t="str">
        <f t="shared" si="15"/>
        <v>Chandigarh</v>
      </c>
      <c r="T120">
        <f t="shared" si="16"/>
        <v>2777.7999999999997</v>
      </c>
      <c r="U120" t="str">
        <f t="shared" si="17"/>
        <v>OK</v>
      </c>
    </row>
    <row r="121" spans="1:21" x14ac:dyDescent="0.3">
      <c r="A121" t="s">
        <v>262</v>
      </c>
      <c r="B121" s="3">
        <v>45967</v>
      </c>
      <c r="C121" t="s">
        <v>263</v>
      </c>
      <c r="D121" t="s">
        <v>88</v>
      </c>
      <c r="E121" t="s">
        <v>73</v>
      </c>
      <c r="F121" t="s">
        <v>21</v>
      </c>
      <c r="G121" t="s">
        <v>22</v>
      </c>
      <c r="H121">
        <v>2</v>
      </c>
      <c r="I121">
        <v>432</v>
      </c>
      <c r="J121">
        <v>0.2</v>
      </c>
      <c r="K121">
        <v>691.2</v>
      </c>
      <c r="L121">
        <v>156.57</v>
      </c>
      <c r="M121" t="str">
        <f t="shared" si="9"/>
        <v>Stapler</v>
      </c>
      <c r="N121" t="str">
        <f t="shared" si="10"/>
        <v>Ahmedabad</v>
      </c>
      <c r="O121" t="str">
        <f t="shared" si="11"/>
        <v>West</v>
      </c>
      <c r="P121" t="str">
        <f t="shared" si="12"/>
        <v>Office Supplies</v>
      </c>
      <c r="Q121" t="str">
        <f t="shared" si="13"/>
        <v>Office Supplies</v>
      </c>
      <c r="R121" t="str">
        <f t="shared" si="14"/>
        <v>West</v>
      </c>
      <c r="S121" t="str">
        <f t="shared" si="15"/>
        <v>Ahmedabad</v>
      </c>
      <c r="T121">
        <f t="shared" si="16"/>
        <v>691.2</v>
      </c>
      <c r="U121" t="str">
        <f t="shared" si="17"/>
        <v>OK</v>
      </c>
    </row>
    <row r="122" spans="1:21" x14ac:dyDescent="0.3">
      <c r="A122" t="s">
        <v>264</v>
      </c>
      <c r="B122" s="3">
        <v>45901</v>
      </c>
      <c r="C122" t="s">
        <v>215</v>
      </c>
      <c r="D122" t="s">
        <v>120</v>
      </c>
      <c r="E122" t="s">
        <v>51</v>
      </c>
      <c r="F122" t="s">
        <v>16</v>
      </c>
      <c r="G122" t="s">
        <v>17</v>
      </c>
      <c r="H122">
        <v>1</v>
      </c>
      <c r="I122">
        <v>1293</v>
      </c>
      <c r="J122">
        <v>0.1</v>
      </c>
      <c r="K122">
        <v>1163.7</v>
      </c>
      <c r="L122">
        <v>170.89</v>
      </c>
      <c r="M122" t="str">
        <f t="shared" si="9"/>
        <v>Mouse</v>
      </c>
      <c r="N122" t="str">
        <f t="shared" si="10"/>
        <v>Guwahati</v>
      </c>
      <c r="O122" t="str">
        <f t="shared" si="11"/>
        <v>East</v>
      </c>
      <c r="P122" t="str">
        <f t="shared" si="12"/>
        <v>Electronics</v>
      </c>
      <c r="Q122" t="str">
        <f t="shared" si="13"/>
        <v>Electronics</v>
      </c>
      <c r="R122" t="str">
        <f t="shared" si="14"/>
        <v>East</v>
      </c>
      <c r="S122" t="str">
        <f t="shared" si="15"/>
        <v>Guwahati</v>
      </c>
      <c r="T122">
        <f t="shared" si="16"/>
        <v>1163.7</v>
      </c>
      <c r="U122" t="str">
        <f t="shared" si="17"/>
        <v>OK</v>
      </c>
    </row>
    <row r="123" spans="1:21" x14ac:dyDescent="0.3">
      <c r="A123" t="s">
        <v>265</v>
      </c>
      <c r="B123" s="3">
        <v>45786</v>
      </c>
      <c r="C123" t="s">
        <v>266</v>
      </c>
      <c r="D123" t="s">
        <v>47</v>
      </c>
      <c r="E123" t="s">
        <v>26</v>
      </c>
      <c r="F123" t="s">
        <v>58</v>
      </c>
      <c r="G123" t="s">
        <v>126</v>
      </c>
      <c r="H123">
        <v>2</v>
      </c>
      <c r="I123">
        <v>17326</v>
      </c>
      <c r="J123">
        <v>0.05</v>
      </c>
      <c r="K123">
        <v>32919.4</v>
      </c>
      <c r="L123">
        <v>4255.83</v>
      </c>
      <c r="M123" t="str">
        <f t="shared" si="9"/>
        <v>Air Purifier</v>
      </c>
      <c r="N123" t="str">
        <f t="shared" si="10"/>
        <v>Delhi</v>
      </c>
      <c r="O123" t="str">
        <f t="shared" si="11"/>
        <v>North</v>
      </c>
      <c r="P123" t="str">
        <f t="shared" si="12"/>
        <v>Home Appliances</v>
      </c>
      <c r="Q123" t="str">
        <f t="shared" si="13"/>
        <v>Home Appliances</v>
      </c>
      <c r="R123" t="str">
        <f t="shared" si="14"/>
        <v>North</v>
      </c>
      <c r="S123" t="str">
        <f t="shared" si="15"/>
        <v>Delhi</v>
      </c>
      <c r="T123">
        <f t="shared" si="16"/>
        <v>32919.4</v>
      </c>
      <c r="U123" t="str">
        <f t="shared" si="17"/>
        <v>OK</v>
      </c>
    </row>
    <row r="124" spans="1:21" x14ac:dyDescent="0.3">
      <c r="A124" t="s">
        <v>267</v>
      </c>
      <c r="B124" s="3">
        <v>45759</v>
      </c>
      <c r="C124" t="s">
        <v>234</v>
      </c>
      <c r="D124" t="s">
        <v>120</v>
      </c>
      <c r="E124" t="s">
        <v>51</v>
      </c>
      <c r="F124" t="s">
        <v>21</v>
      </c>
      <c r="G124" t="s">
        <v>22</v>
      </c>
      <c r="H124">
        <v>2</v>
      </c>
      <c r="I124">
        <v>1050</v>
      </c>
      <c r="J124">
        <v>0</v>
      </c>
      <c r="K124">
        <v>2100</v>
      </c>
      <c r="L124">
        <v>553.27</v>
      </c>
      <c r="M124" t="str">
        <f t="shared" si="9"/>
        <v>Mouse</v>
      </c>
      <c r="N124" t="str">
        <f t="shared" si="10"/>
        <v>Ahmedabad</v>
      </c>
      <c r="O124" t="str">
        <f t="shared" si="11"/>
        <v>West</v>
      </c>
      <c r="P124" t="str">
        <f t="shared" si="12"/>
        <v>Electronics</v>
      </c>
      <c r="Q124" t="str">
        <f t="shared" si="13"/>
        <v>Electronics</v>
      </c>
      <c r="R124" t="str">
        <f t="shared" si="14"/>
        <v>West</v>
      </c>
      <c r="S124" t="str">
        <f t="shared" si="15"/>
        <v>Ahmedabad</v>
      </c>
      <c r="T124">
        <f t="shared" si="16"/>
        <v>2100</v>
      </c>
      <c r="U124" t="str">
        <f t="shared" si="17"/>
        <v>OK</v>
      </c>
    </row>
    <row r="125" spans="1:21" x14ac:dyDescent="0.3">
      <c r="A125" t="s">
        <v>268</v>
      </c>
      <c r="B125" s="3">
        <v>45669</v>
      </c>
      <c r="C125" t="s">
        <v>172</v>
      </c>
      <c r="D125" t="s">
        <v>202</v>
      </c>
      <c r="E125" t="s">
        <v>44</v>
      </c>
      <c r="F125" t="s">
        <v>58</v>
      </c>
      <c r="G125" t="s">
        <v>59</v>
      </c>
      <c r="H125">
        <v>2</v>
      </c>
      <c r="I125">
        <v>3170</v>
      </c>
      <c r="J125">
        <v>0.15</v>
      </c>
      <c r="K125">
        <v>5389</v>
      </c>
      <c r="L125">
        <v>1300.43</v>
      </c>
      <c r="M125" t="str">
        <f t="shared" si="9"/>
        <v>Laptop Stand</v>
      </c>
      <c r="N125" t="str">
        <f t="shared" si="10"/>
        <v>Chandigarh</v>
      </c>
      <c r="O125" t="str">
        <f t="shared" si="11"/>
        <v>North</v>
      </c>
      <c r="P125" t="str">
        <f t="shared" si="12"/>
        <v>Accessories</v>
      </c>
      <c r="Q125" t="str">
        <f t="shared" si="13"/>
        <v>Accessories</v>
      </c>
      <c r="R125" t="str">
        <f t="shared" si="14"/>
        <v>North</v>
      </c>
      <c r="S125" t="str">
        <f t="shared" si="15"/>
        <v>Chandigarh</v>
      </c>
      <c r="T125">
        <f t="shared" si="16"/>
        <v>5389</v>
      </c>
      <c r="U125" t="str">
        <f t="shared" si="17"/>
        <v>OK</v>
      </c>
    </row>
    <row r="126" spans="1:21" x14ac:dyDescent="0.3">
      <c r="A126" t="s">
        <v>269</v>
      </c>
      <c r="B126" s="3">
        <v>45746</v>
      </c>
      <c r="C126" t="s">
        <v>270</v>
      </c>
      <c r="D126" t="s">
        <v>65</v>
      </c>
      <c r="E126" t="s">
        <v>26</v>
      </c>
      <c r="F126" t="s">
        <v>58</v>
      </c>
      <c r="G126" t="s">
        <v>69</v>
      </c>
      <c r="H126">
        <v>2</v>
      </c>
      <c r="I126">
        <v>3487</v>
      </c>
      <c r="J126">
        <v>0</v>
      </c>
      <c r="K126">
        <v>6974</v>
      </c>
      <c r="L126">
        <v>1492.32</v>
      </c>
      <c r="M126" t="str">
        <f t="shared" si="9"/>
        <v>Electric Kettle</v>
      </c>
      <c r="N126" t="str">
        <f t="shared" si="10"/>
        <v>Jaipur</v>
      </c>
      <c r="O126" t="str">
        <f t="shared" si="11"/>
        <v>North</v>
      </c>
      <c r="P126" t="str">
        <f t="shared" si="12"/>
        <v>Home Appliances</v>
      </c>
      <c r="Q126" t="str">
        <f t="shared" si="13"/>
        <v>Home Appliances</v>
      </c>
      <c r="R126" t="str">
        <f t="shared" si="14"/>
        <v>North</v>
      </c>
      <c r="S126" t="str">
        <f t="shared" si="15"/>
        <v>Jaipur</v>
      </c>
      <c r="T126">
        <f t="shared" si="16"/>
        <v>6974</v>
      </c>
      <c r="U126" t="str">
        <f t="shared" si="17"/>
        <v>OK</v>
      </c>
    </row>
    <row r="127" spans="1:21" x14ac:dyDescent="0.3">
      <c r="A127" t="s">
        <v>271</v>
      </c>
      <c r="B127" s="3">
        <v>45939</v>
      </c>
      <c r="C127" t="s">
        <v>272</v>
      </c>
      <c r="D127" t="s">
        <v>88</v>
      </c>
      <c r="E127" t="s">
        <v>73</v>
      </c>
      <c r="F127" t="s">
        <v>58</v>
      </c>
      <c r="G127" t="s">
        <v>59</v>
      </c>
      <c r="H127">
        <v>2</v>
      </c>
      <c r="I127">
        <v>558</v>
      </c>
      <c r="J127">
        <v>0</v>
      </c>
      <c r="K127">
        <v>1116</v>
      </c>
      <c r="L127">
        <v>244.94</v>
      </c>
      <c r="M127" t="str">
        <f t="shared" si="9"/>
        <v>Stapler</v>
      </c>
      <c r="N127" t="str">
        <f t="shared" si="10"/>
        <v>Chandigarh</v>
      </c>
      <c r="O127" t="str">
        <f t="shared" si="11"/>
        <v>North</v>
      </c>
      <c r="P127" t="str">
        <f t="shared" si="12"/>
        <v>Office Supplies</v>
      </c>
      <c r="Q127" t="str">
        <f t="shared" si="13"/>
        <v>Office Supplies</v>
      </c>
      <c r="R127" t="str">
        <f t="shared" si="14"/>
        <v>North</v>
      </c>
      <c r="S127" t="str">
        <f t="shared" si="15"/>
        <v>Chandigarh</v>
      </c>
      <c r="T127">
        <f t="shared" si="16"/>
        <v>1116</v>
      </c>
      <c r="U127" t="str">
        <f t="shared" si="17"/>
        <v>OK</v>
      </c>
    </row>
    <row r="128" spans="1:21" x14ac:dyDescent="0.3">
      <c r="A128" t="s">
        <v>273</v>
      </c>
      <c r="B128" s="3">
        <v>45739</v>
      </c>
      <c r="C128" t="s">
        <v>274</v>
      </c>
      <c r="D128" t="s">
        <v>92</v>
      </c>
      <c r="E128" t="s">
        <v>51</v>
      </c>
      <c r="F128" t="s">
        <v>16</v>
      </c>
      <c r="G128" t="s">
        <v>17</v>
      </c>
      <c r="H128">
        <v>3</v>
      </c>
      <c r="I128">
        <v>9878</v>
      </c>
      <c r="J128">
        <v>0.05</v>
      </c>
      <c r="K128">
        <v>28152.3</v>
      </c>
      <c r="L128">
        <v>5193.7299999999996</v>
      </c>
      <c r="M128" t="str">
        <f t="shared" si="9"/>
        <v>Monitor</v>
      </c>
      <c r="N128" t="str">
        <f t="shared" si="10"/>
        <v>Guwahati</v>
      </c>
      <c r="O128" t="str">
        <f t="shared" si="11"/>
        <v>East</v>
      </c>
      <c r="P128" t="str">
        <f t="shared" si="12"/>
        <v>Electronics</v>
      </c>
      <c r="Q128" t="str">
        <f t="shared" si="13"/>
        <v>Electronics</v>
      </c>
      <c r="R128" t="str">
        <f t="shared" si="14"/>
        <v>East</v>
      </c>
      <c r="S128" t="str">
        <f t="shared" si="15"/>
        <v>Guwahati</v>
      </c>
      <c r="T128">
        <f t="shared" si="16"/>
        <v>28152.3</v>
      </c>
      <c r="U128" t="str">
        <f t="shared" si="17"/>
        <v>OK</v>
      </c>
    </row>
    <row r="129" spans="1:21" x14ac:dyDescent="0.3">
      <c r="A129" t="s">
        <v>275</v>
      </c>
      <c r="B129" s="3">
        <v>45755</v>
      </c>
      <c r="C129" t="s">
        <v>276</v>
      </c>
      <c r="D129" t="s">
        <v>50</v>
      </c>
      <c r="E129" t="s">
        <v>51</v>
      </c>
      <c r="F129" t="s">
        <v>21</v>
      </c>
      <c r="G129" t="s">
        <v>35</v>
      </c>
      <c r="H129">
        <v>4</v>
      </c>
      <c r="I129">
        <v>2232</v>
      </c>
      <c r="J129">
        <v>0.05</v>
      </c>
      <c r="K129">
        <v>8481.6</v>
      </c>
      <c r="L129">
        <v>1364.66</v>
      </c>
      <c r="M129" t="str">
        <f t="shared" si="9"/>
        <v>Keyboard</v>
      </c>
      <c r="N129" t="str">
        <f t="shared" si="10"/>
        <v>Mumbai</v>
      </c>
      <c r="O129" t="str">
        <f t="shared" si="11"/>
        <v>West</v>
      </c>
      <c r="P129" t="str">
        <f t="shared" si="12"/>
        <v>Electronics</v>
      </c>
      <c r="Q129" t="str">
        <f t="shared" si="13"/>
        <v>Electronics</v>
      </c>
      <c r="R129" t="str">
        <f t="shared" si="14"/>
        <v>West</v>
      </c>
      <c r="S129" t="str">
        <f t="shared" si="15"/>
        <v>Mumbai</v>
      </c>
      <c r="T129">
        <f t="shared" si="16"/>
        <v>8481.6</v>
      </c>
      <c r="U129" t="str">
        <f t="shared" si="17"/>
        <v>OK</v>
      </c>
    </row>
    <row r="130" spans="1:21" x14ac:dyDescent="0.3">
      <c r="A130" t="s">
        <v>277</v>
      </c>
      <c r="B130" s="3">
        <v>45867</v>
      </c>
      <c r="C130" t="s">
        <v>278</v>
      </c>
      <c r="D130" t="s">
        <v>14</v>
      </c>
      <c r="E130" t="s">
        <v>15</v>
      </c>
      <c r="F130" t="s">
        <v>21</v>
      </c>
      <c r="G130" t="s">
        <v>35</v>
      </c>
      <c r="H130">
        <v>2</v>
      </c>
      <c r="I130">
        <v>11122</v>
      </c>
      <c r="J130">
        <v>0.15</v>
      </c>
      <c r="K130">
        <v>18907.400000000001</v>
      </c>
      <c r="L130">
        <v>3091.38</v>
      </c>
      <c r="M130" t="str">
        <f t="shared" si="9"/>
        <v>Office Chair</v>
      </c>
      <c r="N130" t="str">
        <f t="shared" si="10"/>
        <v>Mumbai</v>
      </c>
      <c r="O130" t="str">
        <f t="shared" si="11"/>
        <v>West</v>
      </c>
      <c r="P130" t="str">
        <f t="shared" si="12"/>
        <v>Furniture</v>
      </c>
      <c r="Q130" t="str">
        <f t="shared" si="13"/>
        <v>Furniture</v>
      </c>
      <c r="R130" t="str">
        <f t="shared" si="14"/>
        <v>West</v>
      </c>
      <c r="S130" t="str">
        <f t="shared" si="15"/>
        <v>Mumbai</v>
      </c>
      <c r="T130">
        <f t="shared" si="16"/>
        <v>18907.399999999998</v>
      </c>
      <c r="U130" t="str">
        <f t="shared" si="17"/>
        <v>OK</v>
      </c>
    </row>
    <row r="131" spans="1:21" x14ac:dyDescent="0.3">
      <c r="A131" t="s">
        <v>279</v>
      </c>
      <c r="B131" s="3">
        <v>45798</v>
      </c>
      <c r="C131" t="s">
        <v>248</v>
      </c>
      <c r="D131" t="s">
        <v>202</v>
      </c>
      <c r="E131" t="s">
        <v>44</v>
      </c>
      <c r="F131" t="s">
        <v>16</v>
      </c>
      <c r="G131" t="s">
        <v>52</v>
      </c>
      <c r="H131">
        <v>1</v>
      </c>
      <c r="I131">
        <v>3325</v>
      </c>
      <c r="J131">
        <v>0</v>
      </c>
      <c r="K131">
        <v>3325</v>
      </c>
      <c r="L131">
        <v>272.31</v>
      </c>
      <c r="M131" t="str">
        <f t="shared" ref="M131:M194" si="18">TRIM(D131)</f>
        <v>Laptop Stand</v>
      </c>
      <c r="N131" t="str">
        <f t="shared" ref="N131:N194" si="19">TRIM(G131)</f>
        <v>Kolkata</v>
      </c>
      <c r="O131" t="str">
        <f t="shared" ref="O131:O194" si="20">TRIM(F:F)</f>
        <v>East</v>
      </c>
      <c r="P131" t="str">
        <f t="shared" ref="P131:P194" si="21">TRIM(E131)</f>
        <v>Accessories</v>
      </c>
      <c r="Q131" t="str">
        <f t="shared" ref="Q131:Q194" si="22">PROPER(E131)</f>
        <v>Accessories</v>
      </c>
      <c r="R131" t="str">
        <f t="shared" ref="R131:R194" si="23">PROPER(F131)</f>
        <v>East</v>
      </c>
      <c r="S131" t="str">
        <f t="shared" ref="S131:S194" si="24">PROPER(G131)</f>
        <v>Kolkata</v>
      </c>
      <c r="T131">
        <f t="shared" ref="T131:T194" si="25">H131*I131*(1-J131)</f>
        <v>3325</v>
      </c>
      <c r="U131" t="str">
        <f t="shared" ref="U131:U194" si="26">IF(ROUND(K131,2)=ROUND(T131,2),"OK","CHECK")</f>
        <v>OK</v>
      </c>
    </row>
    <row r="132" spans="1:21" x14ac:dyDescent="0.3">
      <c r="A132" t="s">
        <v>280</v>
      </c>
      <c r="B132" s="3">
        <v>45893</v>
      </c>
      <c r="C132" t="s">
        <v>257</v>
      </c>
      <c r="D132" t="s">
        <v>83</v>
      </c>
      <c r="E132" t="s">
        <v>73</v>
      </c>
      <c r="F132" t="s">
        <v>27</v>
      </c>
      <c r="G132" t="s">
        <v>28</v>
      </c>
      <c r="H132">
        <v>2</v>
      </c>
      <c r="I132">
        <v>818</v>
      </c>
      <c r="J132">
        <v>0.25</v>
      </c>
      <c r="K132">
        <v>1227</v>
      </c>
      <c r="L132">
        <v>286.69</v>
      </c>
      <c r="M132" t="str">
        <f t="shared" si="18"/>
        <v>Printer Paper</v>
      </c>
      <c r="N132" t="str">
        <f t="shared" si="19"/>
        <v>Bengaluru</v>
      </c>
      <c r="O132" t="str">
        <f t="shared" si="20"/>
        <v>South</v>
      </c>
      <c r="P132" t="str">
        <f t="shared" si="21"/>
        <v>Office Supplies</v>
      </c>
      <c r="Q132" t="str">
        <f t="shared" si="22"/>
        <v>Office Supplies</v>
      </c>
      <c r="R132" t="str">
        <f t="shared" si="23"/>
        <v>South</v>
      </c>
      <c r="S132" t="str">
        <f t="shared" si="24"/>
        <v>Bengaluru</v>
      </c>
      <c r="T132">
        <f t="shared" si="25"/>
        <v>1227</v>
      </c>
      <c r="U132" t="str">
        <f t="shared" si="26"/>
        <v>OK</v>
      </c>
    </row>
    <row r="133" spans="1:21" x14ac:dyDescent="0.3">
      <c r="A133" t="s">
        <v>281</v>
      </c>
      <c r="B133" s="3">
        <v>45834</v>
      </c>
      <c r="C133" t="s">
        <v>282</v>
      </c>
      <c r="D133" t="s">
        <v>20</v>
      </c>
      <c r="E133" t="s">
        <v>15</v>
      </c>
      <c r="F133" t="s">
        <v>58</v>
      </c>
      <c r="G133" t="s">
        <v>126</v>
      </c>
      <c r="H133">
        <v>1</v>
      </c>
      <c r="I133">
        <v>8901</v>
      </c>
      <c r="J133">
        <v>0.05</v>
      </c>
      <c r="K133">
        <v>8455.9500000000007</v>
      </c>
      <c r="L133">
        <v>1177.5899999999999</v>
      </c>
      <c r="M133" t="str">
        <f t="shared" si="18"/>
        <v>Filing Cabinet</v>
      </c>
      <c r="N133" t="str">
        <f t="shared" si="19"/>
        <v>Delhi</v>
      </c>
      <c r="O133" t="str">
        <f t="shared" si="20"/>
        <v>North</v>
      </c>
      <c r="P133" t="str">
        <f t="shared" si="21"/>
        <v>Furniture</v>
      </c>
      <c r="Q133" t="str">
        <f t="shared" si="22"/>
        <v>Furniture</v>
      </c>
      <c r="R133" t="str">
        <f t="shared" si="23"/>
        <v>North</v>
      </c>
      <c r="S133" t="str">
        <f t="shared" si="24"/>
        <v>Delhi</v>
      </c>
      <c r="T133">
        <f t="shared" si="25"/>
        <v>8455.9499999999989</v>
      </c>
      <c r="U133" t="str">
        <f t="shared" si="26"/>
        <v>OK</v>
      </c>
    </row>
    <row r="134" spans="1:21" x14ac:dyDescent="0.3">
      <c r="A134" t="s">
        <v>283</v>
      </c>
      <c r="B134" s="3">
        <v>45730</v>
      </c>
      <c r="C134" t="s">
        <v>282</v>
      </c>
      <c r="D134" t="s">
        <v>80</v>
      </c>
      <c r="E134" t="s">
        <v>51</v>
      </c>
      <c r="F134" t="s">
        <v>58</v>
      </c>
      <c r="G134" t="s">
        <v>69</v>
      </c>
      <c r="H134">
        <v>1</v>
      </c>
      <c r="I134">
        <v>60665</v>
      </c>
      <c r="J134">
        <v>0</v>
      </c>
      <c r="K134">
        <v>60665</v>
      </c>
      <c r="L134">
        <v>16457.39</v>
      </c>
      <c r="M134" t="str">
        <f t="shared" si="18"/>
        <v>Laptop</v>
      </c>
      <c r="N134" t="str">
        <f t="shared" si="19"/>
        <v>Jaipur</v>
      </c>
      <c r="O134" t="str">
        <f t="shared" si="20"/>
        <v>North</v>
      </c>
      <c r="P134" t="str">
        <f t="shared" si="21"/>
        <v>Electronics</v>
      </c>
      <c r="Q134" t="str">
        <f t="shared" si="22"/>
        <v>Electronics</v>
      </c>
      <c r="R134" t="str">
        <f t="shared" si="23"/>
        <v>North</v>
      </c>
      <c r="S134" t="str">
        <f t="shared" si="24"/>
        <v>Jaipur</v>
      </c>
      <c r="T134">
        <f t="shared" si="25"/>
        <v>60665</v>
      </c>
      <c r="U134" t="str">
        <f t="shared" si="26"/>
        <v>OK</v>
      </c>
    </row>
    <row r="135" spans="1:21" x14ac:dyDescent="0.3">
      <c r="A135" t="s">
        <v>284</v>
      </c>
      <c r="B135" s="3">
        <v>45952</v>
      </c>
      <c r="C135" t="s">
        <v>257</v>
      </c>
      <c r="D135" t="s">
        <v>88</v>
      </c>
      <c r="E135" t="s">
        <v>73</v>
      </c>
      <c r="F135" t="s">
        <v>21</v>
      </c>
      <c r="G135" t="s">
        <v>55</v>
      </c>
      <c r="H135">
        <v>4</v>
      </c>
      <c r="I135">
        <v>572</v>
      </c>
      <c r="J135">
        <v>0.05</v>
      </c>
      <c r="K135">
        <v>2173.6</v>
      </c>
      <c r="L135">
        <v>440.55</v>
      </c>
      <c r="M135" t="str">
        <f t="shared" si="18"/>
        <v>Stapler</v>
      </c>
      <c r="N135" t="str">
        <f t="shared" si="19"/>
        <v>Pune</v>
      </c>
      <c r="O135" t="str">
        <f t="shared" si="20"/>
        <v>West</v>
      </c>
      <c r="P135" t="str">
        <f t="shared" si="21"/>
        <v>Office Supplies</v>
      </c>
      <c r="Q135" t="str">
        <f t="shared" si="22"/>
        <v>Office Supplies</v>
      </c>
      <c r="R135" t="str">
        <f t="shared" si="23"/>
        <v>West</v>
      </c>
      <c r="S135" t="str">
        <f t="shared" si="24"/>
        <v>Pune</v>
      </c>
      <c r="T135">
        <f t="shared" si="25"/>
        <v>2173.6</v>
      </c>
      <c r="U135" t="str">
        <f t="shared" si="26"/>
        <v>OK</v>
      </c>
    </row>
    <row r="136" spans="1:21" x14ac:dyDescent="0.3">
      <c r="A136" t="s">
        <v>285</v>
      </c>
      <c r="B136" s="3">
        <v>45720</v>
      </c>
      <c r="C136" t="s">
        <v>231</v>
      </c>
      <c r="D136" t="s">
        <v>72</v>
      </c>
      <c r="E136" t="s">
        <v>73</v>
      </c>
      <c r="F136" t="s">
        <v>16</v>
      </c>
      <c r="G136" t="s">
        <v>52</v>
      </c>
      <c r="H136">
        <v>1</v>
      </c>
      <c r="I136">
        <v>1039</v>
      </c>
      <c r="J136">
        <v>0</v>
      </c>
      <c r="K136">
        <v>1039</v>
      </c>
      <c r="L136">
        <v>92.88</v>
      </c>
      <c r="M136" t="str">
        <f t="shared" si="18"/>
        <v>Desk Organizer</v>
      </c>
      <c r="N136" t="str">
        <f t="shared" si="19"/>
        <v>Kolkata</v>
      </c>
      <c r="O136" t="str">
        <f t="shared" si="20"/>
        <v>East</v>
      </c>
      <c r="P136" t="str">
        <f t="shared" si="21"/>
        <v>Office Supplies</v>
      </c>
      <c r="Q136" t="str">
        <f t="shared" si="22"/>
        <v>Office Supplies</v>
      </c>
      <c r="R136" t="str">
        <f t="shared" si="23"/>
        <v>East</v>
      </c>
      <c r="S136" t="str">
        <f t="shared" si="24"/>
        <v>Kolkata</v>
      </c>
      <c r="T136">
        <f t="shared" si="25"/>
        <v>1039</v>
      </c>
      <c r="U136" t="str">
        <f t="shared" si="26"/>
        <v>OK</v>
      </c>
    </row>
    <row r="137" spans="1:21" x14ac:dyDescent="0.3">
      <c r="A137" t="s">
        <v>286</v>
      </c>
      <c r="B137" s="3">
        <v>45919</v>
      </c>
      <c r="C137" t="s">
        <v>287</v>
      </c>
      <c r="D137" t="s">
        <v>80</v>
      </c>
      <c r="E137" t="s">
        <v>51</v>
      </c>
      <c r="F137" t="s">
        <v>27</v>
      </c>
      <c r="G137" t="s">
        <v>31</v>
      </c>
      <c r="H137">
        <v>3</v>
      </c>
      <c r="I137">
        <v>70191</v>
      </c>
      <c r="J137">
        <v>0</v>
      </c>
      <c r="K137">
        <v>210573</v>
      </c>
      <c r="L137">
        <v>38672.17</v>
      </c>
      <c r="M137" t="str">
        <f t="shared" si="18"/>
        <v>Laptop</v>
      </c>
      <c r="N137" t="str">
        <f t="shared" si="19"/>
        <v>Hyderabad</v>
      </c>
      <c r="O137" t="str">
        <f t="shared" si="20"/>
        <v>South</v>
      </c>
      <c r="P137" t="str">
        <f t="shared" si="21"/>
        <v>Electronics</v>
      </c>
      <c r="Q137" t="str">
        <f t="shared" si="22"/>
        <v>Electronics</v>
      </c>
      <c r="R137" t="str">
        <f t="shared" si="23"/>
        <v>South</v>
      </c>
      <c r="S137" t="str">
        <f t="shared" si="24"/>
        <v>Hyderabad</v>
      </c>
      <c r="T137">
        <f t="shared" si="25"/>
        <v>210573</v>
      </c>
      <c r="U137" t="str">
        <f t="shared" si="26"/>
        <v>OK</v>
      </c>
    </row>
    <row r="138" spans="1:21" x14ac:dyDescent="0.3">
      <c r="A138" t="s">
        <v>288</v>
      </c>
      <c r="B138" s="3">
        <v>45835</v>
      </c>
      <c r="C138" t="s">
        <v>141</v>
      </c>
      <c r="D138" t="s">
        <v>97</v>
      </c>
      <c r="E138" t="s">
        <v>44</v>
      </c>
      <c r="F138" t="s">
        <v>16</v>
      </c>
      <c r="G138" t="s">
        <v>104</v>
      </c>
      <c r="H138">
        <v>2</v>
      </c>
      <c r="I138">
        <v>1197</v>
      </c>
      <c r="J138">
        <v>0.2</v>
      </c>
      <c r="K138">
        <v>1915.2</v>
      </c>
      <c r="L138">
        <v>330.71</v>
      </c>
      <c r="M138" t="str">
        <f t="shared" si="18"/>
        <v>USB Cable</v>
      </c>
      <c r="N138" t="str">
        <f t="shared" si="19"/>
        <v>Bhubaneswar</v>
      </c>
      <c r="O138" t="str">
        <f t="shared" si="20"/>
        <v>East</v>
      </c>
      <c r="P138" t="str">
        <f t="shared" si="21"/>
        <v>Accessories</v>
      </c>
      <c r="Q138" t="str">
        <f t="shared" si="22"/>
        <v>Accessories</v>
      </c>
      <c r="R138" t="str">
        <f t="shared" si="23"/>
        <v>East</v>
      </c>
      <c r="S138" t="str">
        <f t="shared" si="24"/>
        <v>Bhubaneswar</v>
      </c>
      <c r="T138">
        <f t="shared" si="25"/>
        <v>1915.2</v>
      </c>
      <c r="U138" t="str">
        <f t="shared" si="26"/>
        <v>OK</v>
      </c>
    </row>
    <row r="139" spans="1:21" x14ac:dyDescent="0.3">
      <c r="A139" t="s">
        <v>289</v>
      </c>
      <c r="B139" s="3">
        <v>46014</v>
      </c>
      <c r="C139" t="s">
        <v>272</v>
      </c>
      <c r="D139" t="s">
        <v>80</v>
      </c>
      <c r="E139" t="s">
        <v>51</v>
      </c>
      <c r="F139" t="s">
        <v>58</v>
      </c>
      <c r="G139" t="s">
        <v>69</v>
      </c>
      <c r="H139">
        <v>1</v>
      </c>
      <c r="I139">
        <v>80098</v>
      </c>
      <c r="J139">
        <v>0.05</v>
      </c>
      <c r="K139">
        <v>76093.100000000006</v>
      </c>
      <c r="L139">
        <v>8058.49</v>
      </c>
      <c r="M139" t="str">
        <f t="shared" si="18"/>
        <v>Laptop</v>
      </c>
      <c r="N139" t="str">
        <f t="shared" si="19"/>
        <v>Jaipur</v>
      </c>
      <c r="O139" t="str">
        <f t="shared" si="20"/>
        <v>North</v>
      </c>
      <c r="P139" t="str">
        <f t="shared" si="21"/>
        <v>Electronics</v>
      </c>
      <c r="Q139" t="str">
        <f t="shared" si="22"/>
        <v>Electronics</v>
      </c>
      <c r="R139" t="str">
        <f t="shared" si="23"/>
        <v>North</v>
      </c>
      <c r="S139" t="str">
        <f t="shared" si="24"/>
        <v>Jaipur</v>
      </c>
      <c r="T139">
        <f t="shared" si="25"/>
        <v>76093.099999999991</v>
      </c>
      <c r="U139" t="str">
        <f t="shared" si="26"/>
        <v>OK</v>
      </c>
    </row>
    <row r="140" spans="1:21" x14ac:dyDescent="0.3">
      <c r="A140" t="s">
        <v>290</v>
      </c>
      <c r="B140" s="3">
        <v>45666</v>
      </c>
      <c r="C140" t="s">
        <v>106</v>
      </c>
      <c r="D140" t="s">
        <v>92</v>
      </c>
      <c r="E140" t="s">
        <v>51</v>
      </c>
      <c r="F140" t="s">
        <v>21</v>
      </c>
      <c r="G140" t="s">
        <v>55</v>
      </c>
      <c r="H140">
        <v>1</v>
      </c>
      <c r="I140">
        <v>23905</v>
      </c>
      <c r="J140">
        <v>0.15</v>
      </c>
      <c r="K140">
        <v>20319.25</v>
      </c>
      <c r="L140">
        <v>2769.07</v>
      </c>
      <c r="M140" t="str">
        <f t="shared" si="18"/>
        <v>Monitor</v>
      </c>
      <c r="N140" t="str">
        <f t="shared" si="19"/>
        <v>Pune</v>
      </c>
      <c r="O140" t="str">
        <f t="shared" si="20"/>
        <v>West</v>
      </c>
      <c r="P140" t="str">
        <f t="shared" si="21"/>
        <v>Electronics</v>
      </c>
      <c r="Q140" t="str">
        <f t="shared" si="22"/>
        <v>Electronics</v>
      </c>
      <c r="R140" t="str">
        <f t="shared" si="23"/>
        <v>West</v>
      </c>
      <c r="S140" t="str">
        <f t="shared" si="24"/>
        <v>Pune</v>
      </c>
      <c r="T140">
        <f t="shared" si="25"/>
        <v>20319.25</v>
      </c>
      <c r="U140" t="str">
        <f t="shared" si="26"/>
        <v>OK</v>
      </c>
    </row>
    <row r="141" spans="1:21" x14ac:dyDescent="0.3">
      <c r="A141" t="s">
        <v>291</v>
      </c>
      <c r="B141" s="3">
        <v>45833</v>
      </c>
      <c r="C141" t="s">
        <v>251</v>
      </c>
      <c r="D141" t="s">
        <v>20</v>
      </c>
      <c r="E141" t="s">
        <v>15</v>
      </c>
      <c r="F141" t="s">
        <v>16</v>
      </c>
      <c r="G141" t="s">
        <v>52</v>
      </c>
      <c r="H141">
        <v>2</v>
      </c>
      <c r="I141">
        <v>5892</v>
      </c>
      <c r="J141">
        <v>0.05</v>
      </c>
      <c r="K141">
        <v>11194.8</v>
      </c>
      <c r="L141">
        <v>2425.37</v>
      </c>
      <c r="M141" t="str">
        <f t="shared" si="18"/>
        <v>Filing Cabinet</v>
      </c>
      <c r="N141" t="str">
        <f t="shared" si="19"/>
        <v>Kolkata</v>
      </c>
      <c r="O141" t="str">
        <f t="shared" si="20"/>
        <v>East</v>
      </c>
      <c r="P141" t="str">
        <f t="shared" si="21"/>
        <v>Furniture</v>
      </c>
      <c r="Q141" t="str">
        <f t="shared" si="22"/>
        <v>Furniture</v>
      </c>
      <c r="R141" t="str">
        <f t="shared" si="23"/>
        <v>East</v>
      </c>
      <c r="S141" t="str">
        <f t="shared" si="24"/>
        <v>Kolkata</v>
      </c>
      <c r="T141">
        <f t="shared" si="25"/>
        <v>11194.8</v>
      </c>
      <c r="U141" t="str">
        <f t="shared" si="26"/>
        <v>OK</v>
      </c>
    </row>
    <row r="142" spans="1:21" x14ac:dyDescent="0.3">
      <c r="A142" t="s">
        <v>292</v>
      </c>
      <c r="B142" s="3">
        <v>46006</v>
      </c>
      <c r="C142" t="s">
        <v>263</v>
      </c>
      <c r="D142" t="s">
        <v>103</v>
      </c>
      <c r="E142" t="s">
        <v>51</v>
      </c>
      <c r="F142" t="s">
        <v>21</v>
      </c>
      <c r="G142" t="s">
        <v>55</v>
      </c>
      <c r="H142">
        <v>4</v>
      </c>
      <c r="I142">
        <v>5656</v>
      </c>
      <c r="J142">
        <v>0.1</v>
      </c>
      <c r="K142">
        <v>20361.599999999999</v>
      </c>
      <c r="L142">
        <v>3843.37</v>
      </c>
      <c r="M142" t="str">
        <f t="shared" si="18"/>
        <v>Headphones</v>
      </c>
      <c r="N142" t="str">
        <f t="shared" si="19"/>
        <v>Pune</v>
      </c>
      <c r="O142" t="str">
        <f t="shared" si="20"/>
        <v>West</v>
      </c>
      <c r="P142" t="str">
        <f t="shared" si="21"/>
        <v>Electronics</v>
      </c>
      <c r="Q142" t="str">
        <f t="shared" si="22"/>
        <v>Electronics</v>
      </c>
      <c r="R142" t="str">
        <f t="shared" si="23"/>
        <v>West</v>
      </c>
      <c r="S142" t="str">
        <f t="shared" si="24"/>
        <v>Pune</v>
      </c>
      <c r="T142">
        <f t="shared" si="25"/>
        <v>20361.600000000002</v>
      </c>
      <c r="U142" t="str">
        <f t="shared" si="26"/>
        <v>OK</v>
      </c>
    </row>
    <row r="143" spans="1:21" x14ac:dyDescent="0.3">
      <c r="A143" t="s">
        <v>293</v>
      </c>
      <c r="B143" s="3">
        <v>45716</v>
      </c>
      <c r="C143" t="s">
        <v>278</v>
      </c>
      <c r="D143" t="s">
        <v>202</v>
      </c>
      <c r="E143" t="s">
        <v>44</v>
      </c>
      <c r="F143" t="s">
        <v>21</v>
      </c>
      <c r="G143" t="s">
        <v>35</v>
      </c>
      <c r="H143">
        <v>4</v>
      </c>
      <c r="I143">
        <v>2742</v>
      </c>
      <c r="J143">
        <v>0.15</v>
      </c>
      <c r="K143">
        <v>9322.7999999999993</v>
      </c>
      <c r="L143">
        <v>2046.3</v>
      </c>
      <c r="M143" t="str">
        <f t="shared" si="18"/>
        <v>Laptop Stand</v>
      </c>
      <c r="N143" t="str">
        <f t="shared" si="19"/>
        <v>Mumbai</v>
      </c>
      <c r="O143" t="str">
        <f t="shared" si="20"/>
        <v>West</v>
      </c>
      <c r="P143" t="str">
        <f t="shared" si="21"/>
        <v>Accessories</v>
      </c>
      <c r="Q143" t="str">
        <f t="shared" si="22"/>
        <v>Accessories</v>
      </c>
      <c r="R143" t="str">
        <f t="shared" si="23"/>
        <v>West</v>
      </c>
      <c r="S143" t="str">
        <f t="shared" si="24"/>
        <v>Mumbai</v>
      </c>
      <c r="T143">
        <f t="shared" si="25"/>
        <v>9322.7999999999993</v>
      </c>
      <c r="U143" t="str">
        <f t="shared" si="26"/>
        <v>OK</v>
      </c>
    </row>
    <row r="144" spans="1:21" x14ac:dyDescent="0.3">
      <c r="A144" t="s">
        <v>294</v>
      </c>
      <c r="B144" s="3">
        <v>45790</v>
      </c>
      <c r="C144" t="s">
        <v>295</v>
      </c>
      <c r="D144" t="s">
        <v>50</v>
      </c>
      <c r="E144" t="s">
        <v>51</v>
      </c>
      <c r="F144" t="s">
        <v>27</v>
      </c>
      <c r="G144" t="s">
        <v>31</v>
      </c>
      <c r="H144">
        <v>4</v>
      </c>
      <c r="I144">
        <v>3154</v>
      </c>
      <c r="J144">
        <v>0</v>
      </c>
      <c r="K144">
        <v>12616</v>
      </c>
      <c r="L144">
        <v>3092.98</v>
      </c>
      <c r="M144" t="str">
        <f t="shared" si="18"/>
        <v>Keyboard</v>
      </c>
      <c r="N144" t="str">
        <f t="shared" si="19"/>
        <v>Hyderabad</v>
      </c>
      <c r="O144" t="str">
        <f t="shared" si="20"/>
        <v>South</v>
      </c>
      <c r="P144" t="str">
        <f t="shared" si="21"/>
        <v>Electronics</v>
      </c>
      <c r="Q144" t="str">
        <f t="shared" si="22"/>
        <v>Electronics</v>
      </c>
      <c r="R144" t="str">
        <f t="shared" si="23"/>
        <v>South</v>
      </c>
      <c r="S144" t="str">
        <f t="shared" si="24"/>
        <v>Hyderabad</v>
      </c>
      <c r="T144">
        <f t="shared" si="25"/>
        <v>12616</v>
      </c>
      <c r="U144" t="str">
        <f t="shared" si="26"/>
        <v>OK</v>
      </c>
    </row>
    <row r="145" spans="1:21" x14ac:dyDescent="0.3">
      <c r="A145" t="s">
        <v>296</v>
      </c>
      <c r="B145" s="3">
        <v>45739</v>
      </c>
      <c r="C145" t="s">
        <v>141</v>
      </c>
      <c r="D145" t="s">
        <v>83</v>
      </c>
      <c r="E145" t="s">
        <v>73</v>
      </c>
      <c r="F145" t="s">
        <v>27</v>
      </c>
      <c r="G145" t="s">
        <v>31</v>
      </c>
      <c r="H145">
        <v>3</v>
      </c>
      <c r="I145">
        <v>791</v>
      </c>
      <c r="J145">
        <v>0.1</v>
      </c>
      <c r="K145">
        <v>2135.6999999999998</v>
      </c>
      <c r="L145">
        <v>173.58</v>
      </c>
      <c r="M145" t="str">
        <f t="shared" si="18"/>
        <v>Printer Paper</v>
      </c>
      <c r="N145" t="str">
        <f t="shared" si="19"/>
        <v>Hyderabad</v>
      </c>
      <c r="O145" t="str">
        <f t="shared" si="20"/>
        <v>South</v>
      </c>
      <c r="P145" t="str">
        <f t="shared" si="21"/>
        <v>Office Supplies</v>
      </c>
      <c r="Q145" t="str">
        <f t="shared" si="22"/>
        <v>Office Supplies</v>
      </c>
      <c r="R145" t="str">
        <f t="shared" si="23"/>
        <v>South</v>
      </c>
      <c r="S145" t="str">
        <f t="shared" si="24"/>
        <v>Hyderabad</v>
      </c>
      <c r="T145">
        <f t="shared" si="25"/>
        <v>2135.7000000000003</v>
      </c>
      <c r="U145" t="str">
        <f t="shared" si="26"/>
        <v>OK</v>
      </c>
    </row>
    <row r="146" spans="1:21" x14ac:dyDescent="0.3">
      <c r="A146" t="s">
        <v>297</v>
      </c>
      <c r="B146" s="3">
        <v>46017</v>
      </c>
      <c r="C146" t="s">
        <v>85</v>
      </c>
      <c r="D146" t="s">
        <v>47</v>
      </c>
      <c r="E146" t="s">
        <v>26</v>
      </c>
      <c r="F146" t="s">
        <v>58</v>
      </c>
      <c r="G146" t="s">
        <v>126</v>
      </c>
      <c r="H146">
        <v>1</v>
      </c>
      <c r="I146">
        <v>16510</v>
      </c>
      <c r="J146">
        <v>0.1</v>
      </c>
      <c r="K146">
        <v>14859</v>
      </c>
      <c r="L146">
        <v>3506.26</v>
      </c>
      <c r="M146" t="str">
        <f t="shared" si="18"/>
        <v>Air Purifier</v>
      </c>
      <c r="N146" t="str">
        <f t="shared" si="19"/>
        <v>Delhi</v>
      </c>
      <c r="O146" t="str">
        <f t="shared" si="20"/>
        <v>North</v>
      </c>
      <c r="P146" t="str">
        <f t="shared" si="21"/>
        <v>Home Appliances</v>
      </c>
      <c r="Q146" t="str">
        <f t="shared" si="22"/>
        <v>Home Appliances</v>
      </c>
      <c r="R146" t="str">
        <f t="shared" si="23"/>
        <v>North</v>
      </c>
      <c r="S146" t="str">
        <f t="shared" si="24"/>
        <v>Delhi</v>
      </c>
      <c r="T146">
        <f t="shared" si="25"/>
        <v>14859</v>
      </c>
      <c r="U146" t="str">
        <f t="shared" si="26"/>
        <v>OK</v>
      </c>
    </row>
    <row r="147" spans="1:21" x14ac:dyDescent="0.3">
      <c r="A147" t="s">
        <v>298</v>
      </c>
      <c r="B147" s="3">
        <v>45881</v>
      </c>
      <c r="D147" t="s">
        <v>30</v>
      </c>
      <c r="E147" t="s">
        <v>15</v>
      </c>
      <c r="F147" t="s">
        <v>27</v>
      </c>
      <c r="G147" t="s">
        <v>28</v>
      </c>
      <c r="H147">
        <v>3</v>
      </c>
      <c r="I147">
        <v>8225</v>
      </c>
      <c r="J147">
        <v>0</v>
      </c>
      <c r="K147">
        <v>24675</v>
      </c>
      <c r="L147">
        <v>5693.5</v>
      </c>
      <c r="M147" t="str">
        <f t="shared" si="18"/>
        <v>Bookshelf</v>
      </c>
      <c r="N147" t="str">
        <f t="shared" si="19"/>
        <v>Bengaluru</v>
      </c>
      <c r="O147" t="str">
        <f t="shared" si="20"/>
        <v>South</v>
      </c>
      <c r="P147" t="str">
        <f t="shared" si="21"/>
        <v>Furniture</v>
      </c>
      <c r="Q147" t="str">
        <f t="shared" si="22"/>
        <v>Furniture</v>
      </c>
      <c r="R147" t="str">
        <f t="shared" si="23"/>
        <v>South</v>
      </c>
      <c r="S147" t="str">
        <f t="shared" si="24"/>
        <v>Bengaluru</v>
      </c>
      <c r="T147">
        <f t="shared" si="25"/>
        <v>24675</v>
      </c>
      <c r="U147" t="str">
        <f t="shared" si="26"/>
        <v>OK</v>
      </c>
    </row>
    <row r="148" spans="1:21" x14ac:dyDescent="0.3">
      <c r="A148" t="s">
        <v>299</v>
      </c>
      <c r="B148" s="3">
        <v>45981</v>
      </c>
      <c r="C148" t="s">
        <v>300</v>
      </c>
      <c r="D148" t="s">
        <v>43</v>
      </c>
      <c r="E148" t="s">
        <v>44</v>
      </c>
      <c r="F148" t="s">
        <v>21</v>
      </c>
      <c r="G148" t="s">
        <v>55</v>
      </c>
      <c r="H148">
        <v>1</v>
      </c>
      <c r="I148">
        <v>1150</v>
      </c>
      <c r="J148">
        <v>0</v>
      </c>
      <c r="K148">
        <v>1150</v>
      </c>
      <c r="L148">
        <v>225.9</v>
      </c>
      <c r="M148" t="str">
        <f t="shared" si="18"/>
        <v>Phone Holder</v>
      </c>
      <c r="N148" t="str">
        <f t="shared" si="19"/>
        <v>Pune</v>
      </c>
      <c r="O148" t="str">
        <f t="shared" si="20"/>
        <v>West</v>
      </c>
      <c r="P148" t="str">
        <f t="shared" si="21"/>
        <v>Accessories</v>
      </c>
      <c r="Q148" t="str">
        <f t="shared" si="22"/>
        <v>Accessories</v>
      </c>
      <c r="R148" t="str">
        <f t="shared" si="23"/>
        <v>West</v>
      </c>
      <c r="S148" t="str">
        <f t="shared" si="24"/>
        <v>Pune</v>
      </c>
      <c r="T148">
        <f t="shared" si="25"/>
        <v>1150</v>
      </c>
      <c r="U148" t="str">
        <f t="shared" si="26"/>
        <v>OK</v>
      </c>
    </row>
    <row r="149" spans="1:21" x14ac:dyDescent="0.3">
      <c r="A149" t="s">
        <v>301</v>
      </c>
      <c r="B149" s="3">
        <v>45927</v>
      </c>
      <c r="C149" t="s">
        <v>217</v>
      </c>
      <c r="D149" t="s">
        <v>153</v>
      </c>
      <c r="E149" t="s">
        <v>26</v>
      </c>
      <c r="F149" t="s">
        <v>27</v>
      </c>
      <c r="G149" t="s">
        <v>40</v>
      </c>
      <c r="H149">
        <v>5</v>
      </c>
      <c r="I149">
        <v>9767</v>
      </c>
      <c r="J149">
        <v>0.15</v>
      </c>
      <c r="K149">
        <v>41509.75</v>
      </c>
      <c r="L149">
        <v>4400.75</v>
      </c>
      <c r="M149" t="str">
        <f t="shared" si="18"/>
        <v>Coffee Maker</v>
      </c>
      <c r="N149" t="str">
        <f t="shared" si="19"/>
        <v>Chennai</v>
      </c>
      <c r="O149" t="str">
        <f t="shared" si="20"/>
        <v>South</v>
      </c>
      <c r="P149" t="str">
        <f t="shared" si="21"/>
        <v>Home Appliances</v>
      </c>
      <c r="Q149" t="str">
        <f t="shared" si="22"/>
        <v>Home Appliances</v>
      </c>
      <c r="R149" t="str">
        <f t="shared" si="23"/>
        <v>South</v>
      </c>
      <c r="S149" t="str">
        <f t="shared" si="24"/>
        <v>Chennai</v>
      </c>
      <c r="T149">
        <f t="shared" si="25"/>
        <v>41509.75</v>
      </c>
      <c r="U149" t="str">
        <f t="shared" si="26"/>
        <v>OK</v>
      </c>
    </row>
    <row r="150" spans="1:21" x14ac:dyDescent="0.3">
      <c r="A150" t="s">
        <v>302</v>
      </c>
      <c r="B150" s="3">
        <v>45791</v>
      </c>
      <c r="C150" t="s">
        <v>303</v>
      </c>
      <c r="D150" t="s">
        <v>14</v>
      </c>
      <c r="E150" t="s">
        <v>15</v>
      </c>
      <c r="F150" t="s">
        <v>16</v>
      </c>
      <c r="G150" t="s">
        <v>52</v>
      </c>
      <c r="H150">
        <v>1</v>
      </c>
      <c r="I150">
        <v>15825</v>
      </c>
      <c r="J150">
        <v>0.05</v>
      </c>
      <c r="K150">
        <v>15033.75</v>
      </c>
      <c r="L150">
        <v>1205.8</v>
      </c>
      <c r="M150" t="str">
        <f t="shared" si="18"/>
        <v>Office Chair</v>
      </c>
      <c r="N150" t="str">
        <f t="shared" si="19"/>
        <v>Kolkata</v>
      </c>
      <c r="O150" t="str">
        <f t="shared" si="20"/>
        <v>East</v>
      </c>
      <c r="P150" t="str">
        <f t="shared" si="21"/>
        <v>Furniture</v>
      </c>
      <c r="Q150" t="str">
        <f t="shared" si="22"/>
        <v>Furniture</v>
      </c>
      <c r="R150" t="str">
        <f t="shared" si="23"/>
        <v>East</v>
      </c>
      <c r="S150" t="str">
        <f t="shared" si="24"/>
        <v>Kolkata</v>
      </c>
      <c r="T150">
        <f t="shared" si="25"/>
        <v>15033.75</v>
      </c>
      <c r="U150" t="str">
        <f t="shared" si="26"/>
        <v>OK</v>
      </c>
    </row>
    <row r="151" spans="1:21" x14ac:dyDescent="0.3">
      <c r="A151" t="s">
        <v>304</v>
      </c>
      <c r="B151" s="3">
        <v>45696</v>
      </c>
      <c r="C151" t="s">
        <v>305</v>
      </c>
      <c r="D151" t="s">
        <v>65</v>
      </c>
      <c r="E151" t="s">
        <v>26</v>
      </c>
      <c r="F151" t="s">
        <v>58</v>
      </c>
      <c r="G151" t="s">
        <v>59</v>
      </c>
      <c r="H151">
        <v>2</v>
      </c>
      <c r="I151">
        <v>3926</v>
      </c>
      <c r="J151">
        <v>0.05</v>
      </c>
      <c r="K151">
        <v>7459.4</v>
      </c>
      <c r="L151">
        <v>1849.85</v>
      </c>
      <c r="M151" t="str">
        <f t="shared" si="18"/>
        <v>Electric Kettle</v>
      </c>
      <c r="N151" t="str">
        <f t="shared" si="19"/>
        <v>Chandigarh</v>
      </c>
      <c r="O151" t="str">
        <f t="shared" si="20"/>
        <v>North</v>
      </c>
      <c r="P151" t="str">
        <f t="shared" si="21"/>
        <v>Home Appliances</v>
      </c>
      <c r="Q151" t="str">
        <f t="shared" si="22"/>
        <v>Home Appliances</v>
      </c>
      <c r="R151" t="str">
        <f t="shared" si="23"/>
        <v>North</v>
      </c>
      <c r="S151" t="str">
        <f t="shared" si="24"/>
        <v>Chandigarh</v>
      </c>
      <c r="T151">
        <f t="shared" si="25"/>
        <v>7459.4</v>
      </c>
      <c r="U151" t="str">
        <f t="shared" si="26"/>
        <v>OK</v>
      </c>
    </row>
    <row r="152" spans="1:21" x14ac:dyDescent="0.3">
      <c r="A152" t="s">
        <v>306</v>
      </c>
      <c r="B152" s="3">
        <v>45852</v>
      </c>
      <c r="C152" t="s">
        <v>163</v>
      </c>
      <c r="D152" t="s">
        <v>307</v>
      </c>
      <c r="E152" t="s">
        <v>73</v>
      </c>
      <c r="F152" t="s">
        <v>16</v>
      </c>
      <c r="G152" t="s">
        <v>17</v>
      </c>
      <c r="H152">
        <v>5</v>
      </c>
      <c r="I152">
        <v>136</v>
      </c>
      <c r="J152">
        <v>0.05</v>
      </c>
      <c r="K152">
        <v>646</v>
      </c>
      <c r="L152">
        <v>173.6</v>
      </c>
      <c r="M152" t="str">
        <f t="shared" si="18"/>
        <v>Notebook</v>
      </c>
      <c r="N152" t="str">
        <f t="shared" si="19"/>
        <v>Guwahati</v>
      </c>
      <c r="O152" t="str">
        <f t="shared" si="20"/>
        <v>East</v>
      </c>
      <c r="P152" t="str">
        <f t="shared" si="21"/>
        <v>Office Supplies</v>
      </c>
      <c r="Q152" t="str">
        <f t="shared" si="22"/>
        <v>Office Supplies</v>
      </c>
      <c r="R152" t="str">
        <f t="shared" si="23"/>
        <v>East</v>
      </c>
      <c r="S152" t="str">
        <f t="shared" si="24"/>
        <v>Guwahati</v>
      </c>
      <c r="T152">
        <f t="shared" si="25"/>
        <v>646</v>
      </c>
      <c r="U152" t="str">
        <f t="shared" si="26"/>
        <v>OK</v>
      </c>
    </row>
    <row r="153" spans="1:21" x14ac:dyDescent="0.3">
      <c r="A153" t="s">
        <v>308</v>
      </c>
      <c r="B153" s="3">
        <v>45914</v>
      </c>
      <c r="C153" t="s">
        <v>194</v>
      </c>
      <c r="D153" t="s">
        <v>25</v>
      </c>
      <c r="E153" t="s">
        <v>26</v>
      </c>
      <c r="F153" t="s">
        <v>16</v>
      </c>
      <c r="G153" t="s">
        <v>52</v>
      </c>
      <c r="H153">
        <v>1</v>
      </c>
      <c r="I153">
        <v>14693</v>
      </c>
      <c r="J153">
        <v>0.15</v>
      </c>
      <c r="K153">
        <v>12489.05</v>
      </c>
      <c r="L153">
        <v>1499.58</v>
      </c>
      <c r="M153" t="str">
        <f t="shared" si="18"/>
        <v>Microwave</v>
      </c>
      <c r="N153" t="str">
        <f t="shared" si="19"/>
        <v>Kolkata</v>
      </c>
      <c r="O153" t="str">
        <f t="shared" si="20"/>
        <v>East</v>
      </c>
      <c r="P153" t="str">
        <f t="shared" si="21"/>
        <v>Home Appliances</v>
      </c>
      <c r="Q153" t="str">
        <f t="shared" si="22"/>
        <v>Home Appliances</v>
      </c>
      <c r="R153" t="str">
        <f t="shared" si="23"/>
        <v>East</v>
      </c>
      <c r="S153" t="str">
        <f t="shared" si="24"/>
        <v>Kolkata</v>
      </c>
      <c r="T153">
        <f t="shared" si="25"/>
        <v>12489.05</v>
      </c>
      <c r="U153" t="str">
        <f t="shared" si="26"/>
        <v>OK</v>
      </c>
    </row>
    <row r="154" spans="1:21" x14ac:dyDescent="0.3">
      <c r="A154" t="s">
        <v>309</v>
      </c>
      <c r="B154" s="3">
        <v>45729</v>
      </c>
      <c r="C154" t="s">
        <v>310</v>
      </c>
      <c r="D154" t="s">
        <v>307</v>
      </c>
      <c r="E154" t="s">
        <v>73</v>
      </c>
      <c r="F154" t="s">
        <v>16</v>
      </c>
      <c r="G154" t="s">
        <v>17</v>
      </c>
      <c r="H154">
        <v>1</v>
      </c>
      <c r="I154">
        <v>155</v>
      </c>
      <c r="J154">
        <v>0</v>
      </c>
      <c r="K154">
        <v>155</v>
      </c>
      <c r="L154">
        <v>17.16</v>
      </c>
      <c r="M154" t="str">
        <f t="shared" si="18"/>
        <v>Notebook</v>
      </c>
      <c r="N154" t="str">
        <f t="shared" si="19"/>
        <v>Guwahati</v>
      </c>
      <c r="O154" t="str">
        <f t="shared" si="20"/>
        <v>East</v>
      </c>
      <c r="P154" t="str">
        <f t="shared" si="21"/>
        <v>Office Supplies</v>
      </c>
      <c r="Q154" t="str">
        <f t="shared" si="22"/>
        <v>Office Supplies</v>
      </c>
      <c r="R154" t="str">
        <f t="shared" si="23"/>
        <v>East</v>
      </c>
      <c r="S154" t="str">
        <f t="shared" si="24"/>
        <v>Guwahati</v>
      </c>
      <c r="T154">
        <f t="shared" si="25"/>
        <v>155</v>
      </c>
      <c r="U154" t="str">
        <f t="shared" si="26"/>
        <v>OK</v>
      </c>
    </row>
    <row r="155" spans="1:21" x14ac:dyDescent="0.3">
      <c r="A155" t="s">
        <v>311</v>
      </c>
      <c r="B155" s="3">
        <v>46006</v>
      </c>
      <c r="C155" t="s">
        <v>185</v>
      </c>
      <c r="D155" t="s">
        <v>43</v>
      </c>
      <c r="E155" t="s">
        <v>44</v>
      </c>
      <c r="F155" t="s">
        <v>16</v>
      </c>
      <c r="G155" t="s">
        <v>17</v>
      </c>
      <c r="H155">
        <v>1</v>
      </c>
      <c r="I155">
        <v>339</v>
      </c>
      <c r="J155">
        <v>0.2</v>
      </c>
      <c r="K155">
        <v>271.2</v>
      </c>
      <c r="L155">
        <v>55.14</v>
      </c>
      <c r="M155" t="str">
        <f t="shared" si="18"/>
        <v>Phone Holder</v>
      </c>
      <c r="N155" t="str">
        <f t="shared" si="19"/>
        <v>Guwahati</v>
      </c>
      <c r="O155" t="str">
        <f t="shared" si="20"/>
        <v>East</v>
      </c>
      <c r="P155" t="str">
        <f t="shared" si="21"/>
        <v>Accessories</v>
      </c>
      <c r="Q155" t="str">
        <f t="shared" si="22"/>
        <v>Accessories</v>
      </c>
      <c r="R155" t="str">
        <f t="shared" si="23"/>
        <v>East</v>
      </c>
      <c r="S155" t="str">
        <f t="shared" si="24"/>
        <v>Guwahati</v>
      </c>
      <c r="T155">
        <f t="shared" si="25"/>
        <v>271.2</v>
      </c>
      <c r="U155" t="str">
        <f t="shared" si="26"/>
        <v>OK</v>
      </c>
    </row>
    <row r="156" spans="1:21" x14ac:dyDescent="0.3">
      <c r="A156" t="s">
        <v>312</v>
      </c>
      <c r="B156" s="3">
        <v>45930</v>
      </c>
      <c r="C156" t="s">
        <v>313</v>
      </c>
      <c r="D156" t="s">
        <v>25</v>
      </c>
      <c r="E156" t="s">
        <v>26</v>
      </c>
      <c r="F156" t="s">
        <v>27</v>
      </c>
      <c r="G156" t="s">
        <v>31</v>
      </c>
      <c r="H156">
        <v>2</v>
      </c>
      <c r="I156">
        <v>8970</v>
      </c>
      <c r="J156">
        <v>0.1</v>
      </c>
      <c r="K156">
        <v>16146</v>
      </c>
      <c r="L156">
        <v>2019.99</v>
      </c>
      <c r="M156" t="str">
        <f t="shared" si="18"/>
        <v>Microwave</v>
      </c>
      <c r="N156" t="str">
        <f t="shared" si="19"/>
        <v>Hyderabad</v>
      </c>
      <c r="O156" t="str">
        <f t="shared" si="20"/>
        <v>South</v>
      </c>
      <c r="P156" t="str">
        <f t="shared" si="21"/>
        <v>Home Appliances</v>
      </c>
      <c r="Q156" t="str">
        <f t="shared" si="22"/>
        <v>Home Appliances</v>
      </c>
      <c r="R156" t="str">
        <f t="shared" si="23"/>
        <v>South</v>
      </c>
      <c r="S156" t="str">
        <f t="shared" si="24"/>
        <v>Hyderabad</v>
      </c>
      <c r="T156">
        <f t="shared" si="25"/>
        <v>16146</v>
      </c>
      <c r="U156" t="str">
        <f t="shared" si="26"/>
        <v>OK</v>
      </c>
    </row>
    <row r="157" spans="1:21" x14ac:dyDescent="0.3">
      <c r="A157" t="s">
        <v>314</v>
      </c>
      <c r="B157" s="3">
        <v>46001</v>
      </c>
      <c r="C157" t="s">
        <v>315</v>
      </c>
      <c r="D157" t="s">
        <v>47</v>
      </c>
      <c r="E157" t="s">
        <v>26</v>
      </c>
      <c r="F157" t="s">
        <v>58</v>
      </c>
      <c r="G157" t="s">
        <v>69</v>
      </c>
      <c r="H157">
        <v>2</v>
      </c>
      <c r="I157">
        <v>21765</v>
      </c>
      <c r="J157">
        <v>0</v>
      </c>
      <c r="K157">
        <v>43530</v>
      </c>
      <c r="L157">
        <v>7527.2</v>
      </c>
      <c r="M157" t="str">
        <f t="shared" si="18"/>
        <v>Air Purifier</v>
      </c>
      <c r="N157" t="str">
        <f t="shared" si="19"/>
        <v>Jaipur</v>
      </c>
      <c r="O157" t="str">
        <f t="shared" si="20"/>
        <v>North</v>
      </c>
      <c r="P157" t="str">
        <f t="shared" si="21"/>
        <v>Home Appliances</v>
      </c>
      <c r="Q157" t="str">
        <f t="shared" si="22"/>
        <v>Home Appliances</v>
      </c>
      <c r="R157" t="str">
        <f t="shared" si="23"/>
        <v>North</v>
      </c>
      <c r="S157" t="str">
        <f t="shared" si="24"/>
        <v>Jaipur</v>
      </c>
      <c r="T157">
        <f t="shared" si="25"/>
        <v>43530</v>
      </c>
      <c r="U157" t="str">
        <f t="shared" si="26"/>
        <v>OK</v>
      </c>
    </row>
    <row r="158" spans="1:21" x14ac:dyDescent="0.3">
      <c r="A158" t="s">
        <v>316</v>
      </c>
      <c r="B158" s="3">
        <v>45689</v>
      </c>
      <c r="C158" t="s">
        <v>317</v>
      </c>
      <c r="D158" t="s">
        <v>30</v>
      </c>
      <c r="E158" t="s">
        <v>15</v>
      </c>
      <c r="F158" t="s">
        <v>16</v>
      </c>
      <c r="G158" t="s">
        <v>104</v>
      </c>
      <c r="H158">
        <v>2</v>
      </c>
      <c r="I158">
        <v>11692</v>
      </c>
      <c r="J158">
        <v>0.2</v>
      </c>
      <c r="K158">
        <v>18707.2</v>
      </c>
      <c r="L158">
        <v>4893.13</v>
      </c>
      <c r="M158" t="str">
        <f t="shared" si="18"/>
        <v>Bookshelf</v>
      </c>
      <c r="N158" t="str">
        <f t="shared" si="19"/>
        <v>Bhubaneswar</v>
      </c>
      <c r="O158" t="str">
        <f t="shared" si="20"/>
        <v>East</v>
      </c>
      <c r="P158" t="str">
        <f t="shared" si="21"/>
        <v>Furniture</v>
      </c>
      <c r="Q158" t="str">
        <f t="shared" si="22"/>
        <v>Furniture</v>
      </c>
      <c r="R158" t="str">
        <f t="shared" si="23"/>
        <v>East</v>
      </c>
      <c r="S158" t="str">
        <f t="shared" si="24"/>
        <v>Bhubaneswar</v>
      </c>
      <c r="T158">
        <f t="shared" si="25"/>
        <v>18707.2</v>
      </c>
      <c r="U158" t="str">
        <f t="shared" si="26"/>
        <v>OK</v>
      </c>
    </row>
    <row r="159" spans="1:21" x14ac:dyDescent="0.3">
      <c r="A159" t="s">
        <v>318</v>
      </c>
      <c r="B159" s="3">
        <v>45733</v>
      </c>
      <c r="C159" t="s">
        <v>319</v>
      </c>
      <c r="D159" t="s">
        <v>65</v>
      </c>
      <c r="E159" t="s">
        <v>26</v>
      </c>
      <c r="F159" t="s">
        <v>58</v>
      </c>
      <c r="G159" t="s">
        <v>126</v>
      </c>
      <c r="H159">
        <v>5</v>
      </c>
      <c r="I159">
        <v>1670</v>
      </c>
      <c r="J159">
        <v>0.1</v>
      </c>
      <c r="K159">
        <v>7515</v>
      </c>
      <c r="L159">
        <v>1530.29</v>
      </c>
      <c r="M159" t="str">
        <f t="shared" si="18"/>
        <v>Electric Kettle</v>
      </c>
      <c r="N159" t="str">
        <f t="shared" si="19"/>
        <v>Delhi</v>
      </c>
      <c r="O159" t="str">
        <f t="shared" si="20"/>
        <v>North</v>
      </c>
      <c r="P159" t="str">
        <f t="shared" si="21"/>
        <v>Home Appliances</v>
      </c>
      <c r="Q159" t="str">
        <f t="shared" si="22"/>
        <v>Home Appliances</v>
      </c>
      <c r="R159" t="str">
        <f t="shared" si="23"/>
        <v>North</v>
      </c>
      <c r="S159" t="str">
        <f t="shared" si="24"/>
        <v>Delhi</v>
      </c>
      <c r="T159">
        <f t="shared" si="25"/>
        <v>7515</v>
      </c>
      <c r="U159" t="str">
        <f t="shared" si="26"/>
        <v>OK</v>
      </c>
    </row>
    <row r="160" spans="1:21" x14ac:dyDescent="0.3">
      <c r="A160" t="s">
        <v>320</v>
      </c>
      <c r="B160" s="3">
        <v>46010</v>
      </c>
      <c r="C160" t="s">
        <v>321</v>
      </c>
      <c r="D160" t="s">
        <v>20</v>
      </c>
      <c r="E160" t="s">
        <v>15</v>
      </c>
      <c r="F160" t="s">
        <v>21</v>
      </c>
      <c r="G160" t="s">
        <v>55</v>
      </c>
      <c r="H160">
        <v>2</v>
      </c>
      <c r="I160">
        <v>5967</v>
      </c>
      <c r="J160">
        <v>0.05</v>
      </c>
      <c r="K160">
        <v>11337.3</v>
      </c>
      <c r="L160">
        <v>982.27</v>
      </c>
      <c r="M160" t="str">
        <f t="shared" si="18"/>
        <v>Filing Cabinet</v>
      </c>
      <c r="N160" t="str">
        <f t="shared" si="19"/>
        <v>Pune</v>
      </c>
      <c r="O160" t="str">
        <f t="shared" si="20"/>
        <v>West</v>
      </c>
      <c r="P160" t="str">
        <f t="shared" si="21"/>
        <v>Furniture</v>
      </c>
      <c r="Q160" t="str">
        <f t="shared" si="22"/>
        <v>Furniture</v>
      </c>
      <c r="R160" t="str">
        <f t="shared" si="23"/>
        <v>West</v>
      </c>
      <c r="S160" t="str">
        <f t="shared" si="24"/>
        <v>Pune</v>
      </c>
      <c r="T160">
        <f t="shared" si="25"/>
        <v>11337.3</v>
      </c>
      <c r="U160" t="str">
        <f t="shared" si="26"/>
        <v>OK</v>
      </c>
    </row>
    <row r="161" spans="1:21" x14ac:dyDescent="0.3">
      <c r="A161" t="s">
        <v>322</v>
      </c>
      <c r="B161" s="3">
        <v>46016</v>
      </c>
      <c r="C161" t="s">
        <v>323</v>
      </c>
      <c r="D161" t="s">
        <v>30</v>
      </c>
      <c r="E161" t="s">
        <v>15</v>
      </c>
      <c r="F161" t="s">
        <v>27</v>
      </c>
      <c r="G161" t="s">
        <v>40</v>
      </c>
      <c r="H161">
        <v>1</v>
      </c>
      <c r="I161">
        <v>11085</v>
      </c>
      <c r="J161">
        <v>0.15</v>
      </c>
      <c r="K161">
        <v>9422.25</v>
      </c>
      <c r="L161">
        <v>831.39</v>
      </c>
      <c r="M161" t="str">
        <f t="shared" si="18"/>
        <v>Bookshelf</v>
      </c>
      <c r="N161" t="str">
        <f t="shared" si="19"/>
        <v>Chennai</v>
      </c>
      <c r="O161" t="str">
        <f t="shared" si="20"/>
        <v>South</v>
      </c>
      <c r="P161" t="str">
        <f t="shared" si="21"/>
        <v>Furniture</v>
      </c>
      <c r="Q161" t="str">
        <f t="shared" si="22"/>
        <v>Furniture</v>
      </c>
      <c r="R161" t="str">
        <f t="shared" si="23"/>
        <v>South</v>
      </c>
      <c r="S161" t="str">
        <f t="shared" si="24"/>
        <v>Chennai</v>
      </c>
      <c r="T161">
        <f t="shared" si="25"/>
        <v>9422.25</v>
      </c>
      <c r="U161" t="str">
        <f t="shared" si="26"/>
        <v>OK</v>
      </c>
    </row>
    <row r="162" spans="1:21" x14ac:dyDescent="0.3">
      <c r="A162" t="s">
        <v>324</v>
      </c>
      <c r="B162" s="3">
        <v>45780</v>
      </c>
      <c r="C162" t="s">
        <v>109</v>
      </c>
      <c r="D162" t="s">
        <v>50</v>
      </c>
      <c r="E162" t="s">
        <v>51</v>
      </c>
      <c r="F162" t="s">
        <v>58</v>
      </c>
      <c r="G162" t="s">
        <v>59</v>
      </c>
      <c r="H162">
        <v>1</v>
      </c>
      <c r="I162">
        <v>3328</v>
      </c>
      <c r="J162">
        <v>0</v>
      </c>
      <c r="K162">
        <v>3328</v>
      </c>
      <c r="L162">
        <v>626.53</v>
      </c>
      <c r="M162" t="str">
        <f t="shared" si="18"/>
        <v>Keyboard</v>
      </c>
      <c r="N162" t="str">
        <f t="shared" si="19"/>
        <v>Chandigarh</v>
      </c>
      <c r="O162" t="str">
        <f t="shared" si="20"/>
        <v>North</v>
      </c>
      <c r="P162" t="str">
        <f t="shared" si="21"/>
        <v>Electronics</v>
      </c>
      <c r="Q162" t="str">
        <f t="shared" si="22"/>
        <v>Electronics</v>
      </c>
      <c r="R162" t="str">
        <f t="shared" si="23"/>
        <v>North</v>
      </c>
      <c r="S162" t="str">
        <f t="shared" si="24"/>
        <v>Chandigarh</v>
      </c>
      <c r="T162">
        <f t="shared" si="25"/>
        <v>3328</v>
      </c>
      <c r="U162" t="str">
        <f t="shared" si="26"/>
        <v>OK</v>
      </c>
    </row>
    <row r="163" spans="1:21" x14ac:dyDescent="0.3">
      <c r="A163" t="s">
        <v>325</v>
      </c>
      <c r="B163" s="3">
        <v>45741</v>
      </c>
      <c r="C163" t="s">
        <v>326</v>
      </c>
      <c r="D163" t="s">
        <v>43</v>
      </c>
      <c r="E163" t="s">
        <v>44</v>
      </c>
      <c r="F163" t="s">
        <v>27</v>
      </c>
      <c r="G163" t="s">
        <v>40</v>
      </c>
      <c r="H163">
        <v>1</v>
      </c>
      <c r="I163">
        <v>1278</v>
      </c>
      <c r="J163">
        <v>0</v>
      </c>
      <c r="K163">
        <v>1278</v>
      </c>
      <c r="L163">
        <v>330.96</v>
      </c>
      <c r="M163" t="str">
        <f t="shared" si="18"/>
        <v>Phone Holder</v>
      </c>
      <c r="N163" t="str">
        <f t="shared" si="19"/>
        <v>Chennai</v>
      </c>
      <c r="O163" t="str">
        <f t="shared" si="20"/>
        <v>South</v>
      </c>
      <c r="P163" t="str">
        <f t="shared" si="21"/>
        <v>Accessories</v>
      </c>
      <c r="Q163" t="str">
        <f t="shared" si="22"/>
        <v>Accessories</v>
      </c>
      <c r="R163" t="str">
        <f t="shared" si="23"/>
        <v>South</v>
      </c>
      <c r="S163" t="str">
        <f t="shared" si="24"/>
        <v>Chennai</v>
      </c>
      <c r="T163">
        <f t="shared" si="25"/>
        <v>1278</v>
      </c>
      <c r="U163" t="str">
        <f t="shared" si="26"/>
        <v>OK</v>
      </c>
    </row>
    <row r="164" spans="1:21" x14ac:dyDescent="0.3">
      <c r="A164" t="s">
        <v>327</v>
      </c>
      <c r="B164" s="3">
        <v>45660</v>
      </c>
      <c r="C164" t="s">
        <v>328</v>
      </c>
      <c r="D164" t="s">
        <v>25</v>
      </c>
      <c r="E164" t="s">
        <v>26</v>
      </c>
      <c r="F164" t="s">
        <v>27</v>
      </c>
      <c r="G164" t="s">
        <v>31</v>
      </c>
      <c r="H164">
        <v>1</v>
      </c>
      <c r="I164">
        <v>7968</v>
      </c>
      <c r="J164">
        <v>0.05</v>
      </c>
      <c r="K164">
        <v>7569.6</v>
      </c>
      <c r="L164">
        <v>1702.9</v>
      </c>
      <c r="M164" t="str">
        <f t="shared" si="18"/>
        <v>Microwave</v>
      </c>
      <c r="N164" t="str">
        <f t="shared" si="19"/>
        <v>Hyderabad</v>
      </c>
      <c r="O164" t="str">
        <f t="shared" si="20"/>
        <v>South</v>
      </c>
      <c r="P164" t="str">
        <f t="shared" si="21"/>
        <v>Home Appliances</v>
      </c>
      <c r="Q164" t="str">
        <f t="shared" si="22"/>
        <v>Home Appliances</v>
      </c>
      <c r="R164" t="str">
        <f t="shared" si="23"/>
        <v>South</v>
      </c>
      <c r="S164" t="str">
        <f t="shared" si="24"/>
        <v>Hyderabad</v>
      </c>
      <c r="T164">
        <f t="shared" si="25"/>
        <v>7569.5999999999995</v>
      </c>
      <c r="U164" t="str">
        <f t="shared" si="26"/>
        <v>OK</v>
      </c>
    </row>
    <row r="165" spans="1:21" x14ac:dyDescent="0.3">
      <c r="A165" t="s">
        <v>329</v>
      </c>
      <c r="B165" s="3">
        <v>45900</v>
      </c>
      <c r="C165" t="s">
        <v>100</v>
      </c>
      <c r="D165" t="s">
        <v>103</v>
      </c>
      <c r="E165" t="s">
        <v>51</v>
      </c>
      <c r="F165" t="s">
        <v>58</v>
      </c>
      <c r="G165" t="s">
        <v>126</v>
      </c>
      <c r="H165">
        <v>1</v>
      </c>
      <c r="I165">
        <v>8812</v>
      </c>
      <c r="J165">
        <v>0.05</v>
      </c>
      <c r="K165">
        <v>8371.4</v>
      </c>
      <c r="L165">
        <v>974.63</v>
      </c>
      <c r="M165" t="str">
        <f t="shared" si="18"/>
        <v>Headphones</v>
      </c>
      <c r="N165" t="str">
        <f t="shared" si="19"/>
        <v>Delhi</v>
      </c>
      <c r="O165" t="str">
        <f t="shared" si="20"/>
        <v>North</v>
      </c>
      <c r="P165" t="str">
        <f t="shared" si="21"/>
        <v>Electronics</v>
      </c>
      <c r="Q165" t="str">
        <f t="shared" si="22"/>
        <v>Electronics</v>
      </c>
      <c r="R165" t="str">
        <f t="shared" si="23"/>
        <v>North</v>
      </c>
      <c r="S165" t="str">
        <f t="shared" si="24"/>
        <v>Delhi</v>
      </c>
      <c r="T165">
        <f t="shared" si="25"/>
        <v>8371.4</v>
      </c>
      <c r="U165" t="str">
        <f t="shared" si="26"/>
        <v>OK</v>
      </c>
    </row>
    <row r="166" spans="1:21" x14ac:dyDescent="0.3">
      <c r="A166" t="s">
        <v>330</v>
      </c>
      <c r="B166" s="3">
        <v>45868</v>
      </c>
      <c r="C166" t="s">
        <v>136</v>
      </c>
      <c r="D166" t="s">
        <v>20</v>
      </c>
      <c r="E166" t="s">
        <v>15</v>
      </c>
      <c r="F166" t="s">
        <v>16</v>
      </c>
      <c r="G166" t="s">
        <v>104</v>
      </c>
      <c r="H166">
        <v>1</v>
      </c>
      <c r="I166">
        <v>15960</v>
      </c>
      <c r="J166">
        <v>0.25</v>
      </c>
      <c r="K166">
        <v>11970</v>
      </c>
      <c r="L166">
        <v>2514.48</v>
      </c>
      <c r="M166" t="str">
        <f t="shared" si="18"/>
        <v>Filing Cabinet</v>
      </c>
      <c r="N166" t="str">
        <f t="shared" si="19"/>
        <v>Bhubaneswar</v>
      </c>
      <c r="O166" t="str">
        <f t="shared" si="20"/>
        <v>East</v>
      </c>
      <c r="P166" t="str">
        <f t="shared" si="21"/>
        <v>Furniture</v>
      </c>
      <c r="Q166" t="str">
        <f t="shared" si="22"/>
        <v>Furniture</v>
      </c>
      <c r="R166" t="str">
        <f t="shared" si="23"/>
        <v>East</v>
      </c>
      <c r="S166" t="str">
        <f t="shared" si="24"/>
        <v>Bhubaneswar</v>
      </c>
      <c r="T166">
        <f t="shared" si="25"/>
        <v>11970</v>
      </c>
      <c r="U166" t="str">
        <f t="shared" si="26"/>
        <v>OK</v>
      </c>
    </row>
    <row r="167" spans="1:21" x14ac:dyDescent="0.3">
      <c r="A167" t="s">
        <v>331</v>
      </c>
      <c r="B167" s="3">
        <v>46007</v>
      </c>
      <c r="C167" t="s">
        <v>119</v>
      </c>
      <c r="D167" t="s">
        <v>80</v>
      </c>
      <c r="E167" t="s">
        <v>51</v>
      </c>
      <c r="F167" t="s">
        <v>16</v>
      </c>
      <c r="G167" t="s">
        <v>52</v>
      </c>
      <c r="H167">
        <v>5</v>
      </c>
      <c r="I167">
        <v>61636</v>
      </c>
      <c r="J167">
        <v>0.15</v>
      </c>
      <c r="K167">
        <v>261953</v>
      </c>
      <c r="L167">
        <v>53897.61</v>
      </c>
      <c r="M167" t="str">
        <f t="shared" si="18"/>
        <v>Laptop</v>
      </c>
      <c r="N167" t="str">
        <f t="shared" si="19"/>
        <v>Kolkata</v>
      </c>
      <c r="O167" t="str">
        <f t="shared" si="20"/>
        <v>East</v>
      </c>
      <c r="P167" t="str">
        <f t="shared" si="21"/>
        <v>Electronics</v>
      </c>
      <c r="Q167" t="str">
        <f t="shared" si="22"/>
        <v>Electronics</v>
      </c>
      <c r="R167" t="str">
        <f t="shared" si="23"/>
        <v>East</v>
      </c>
      <c r="S167" t="str">
        <f t="shared" si="24"/>
        <v>Kolkata</v>
      </c>
      <c r="T167">
        <f t="shared" si="25"/>
        <v>261953</v>
      </c>
      <c r="U167" t="str">
        <f t="shared" si="26"/>
        <v>OK</v>
      </c>
    </row>
    <row r="168" spans="1:21" x14ac:dyDescent="0.3">
      <c r="A168" t="s">
        <v>332</v>
      </c>
      <c r="B168" s="3">
        <v>45834</v>
      </c>
      <c r="C168" t="s">
        <v>333</v>
      </c>
      <c r="D168" t="s">
        <v>72</v>
      </c>
      <c r="E168" t="s">
        <v>73</v>
      </c>
      <c r="F168" t="s">
        <v>21</v>
      </c>
      <c r="G168" t="s">
        <v>55</v>
      </c>
      <c r="H168">
        <v>2</v>
      </c>
      <c r="I168">
        <v>809</v>
      </c>
      <c r="J168">
        <v>0</v>
      </c>
      <c r="K168">
        <v>1618</v>
      </c>
      <c r="L168">
        <v>257.43</v>
      </c>
      <c r="M168" t="str">
        <f t="shared" si="18"/>
        <v>Desk Organizer</v>
      </c>
      <c r="N168" t="str">
        <f t="shared" si="19"/>
        <v>Pune</v>
      </c>
      <c r="O168" t="str">
        <f t="shared" si="20"/>
        <v>West</v>
      </c>
      <c r="P168" t="str">
        <f t="shared" si="21"/>
        <v>Office Supplies</v>
      </c>
      <c r="Q168" t="str">
        <f t="shared" si="22"/>
        <v>Office Supplies</v>
      </c>
      <c r="R168" t="str">
        <f t="shared" si="23"/>
        <v>West</v>
      </c>
      <c r="S168" t="str">
        <f t="shared" si="24"/>
        <v>Pune</v>
      </c>
      <c r="T168">
        <f t="shared" si="25"/>
        <v>1618</v>
      </c>
      <c r="U168" t="str">
        <f t="shared" si="26"/>
        <v>OK</v>
      </c>
    </row>
    <row r="169" spans="1:21" x14ac:dyDescent="0.3">
      <c r="A169" t="s">
        <v>334</v>
      </c>
      <c r="B169" s="3">
        <v>45900</v>
      </c>
      <c r="C169" t="s">
        <v>253</v>
      </c>
      <c r="D169" t="s">
        <v>65</v>
      </c>
      <c r="E169" t="s">
        <v>26</v>
      </c>
      <c r="F169" t="s">
        <v>27</v>
      </c>
      <c r="G169" t="s">
        <v>31</v>
      </c>
      <c r="H169">
        <v>2</v>
      </c>
      <c r="I169">
        <v>4211</v>
      </c>
      <c r="J169">
        <v>0</v>
      </c>
      <c r="K169">
        <v>8422</v>
      </c>
      <c r="L169">
        <v>1723.08</v>
      </c>
      <c r="M169" t="str">
        <f t="shared" si="18"/>
        <v>Electric Kettle</v>
      </c>
      <c r="N169" t="str">
        <f t="shared" si="19"/>
        <v>Hyderabad</v>
      </c>
      <c r="O169" t="str">
        <f t="shared" si="20"/>
        <v>South</v>
      </c>
      <c r="P169" t="str">
        <f t="shared" si="21"/>
        <v>Home Appliances</v>
      </c>
      <c r="Q169" t="str">
        <f t="shared" si="22"/>
        <v>Home Appliances</v>
      </c>
      <c r="R169" t="str">
        <f t="shared" si="23"/>
        <v>South</v>
      </c>
      <c r="S169" t="str">
        <f t="shared" si="24"/>
        <v>Hyderabad</v>
      </c>
      <c r="T169">
        <f t="shared" si="25"/>
        <v>8422</v>
      </c>
      <c r="U169" t="str">
        <f t="shared" si="26"/>
        <v>OK</v>
      </c>
    </row>
    <row r="170" spans="1:21" x14ac:dyDescent="0.3">
      <c r="A170" t="s">
        <v>335</v>
      </c>
      <c r="B170" s="3">
        <v>45665</v>
      </c>
      <c r="C170" t="s">
        <v>37</v>
      </c>
      <c r="D170" t="s">
        <v>97</v>
      </c>
      <c r="E170" t="s">
        <v>44</v>
      </c>
      <c r="F170" t="s">
        <v>16</v>
      </c>
      <c r="G170" t="s">
        <v>104</v>
      </c>
      <c r="H170">
        <v>1</v>
      </c>
      <c r="I170">
        <v>822</v>
      </c>
      <c r="J170">
        <v>0.1</v>
      </c>
      <c r="K170">
        <v>739.8</v>
      </c>
      <c r="L170">
        <v>114.35</v>
      </c>
      <c r="M170" t="str">
        <f t="shared" si="18"/>
        <v>USB Cable</v>
      </c>
      <c r="N170" t="str">
        <f t="shared" si="19"/>
        <v>Bhubaneswar</v>
      </c>
      <c r="O170" t="str">
        <f t="shared" si="20"/>
        <v>East</v>
      </c>
      <c r="P170" t="str">
        <f t="shared" si="21"/>
        <v>Accessories</v>
      </c>
      <c r="Q170" t="str">
        <f t="shared" si="22"/>
        <v>Accessories</v>
      </c>
      <c r="R170" t="str">
        <f t="shared" si="23"/>
        <v>East</v>
      </c>
      <c r="S170" t="str">
        <f t="shared" si="24"/>
        <v>Bhubaneswar</v>
      </c>
      <c r="T170">
        <f t="shared" si="25"/>
        <v>739.80000000000007</v>
      </c>
      <c r="U170" t="str">
        <f t="shared" si="26"/>
        <v>OK</v>
      </c>
    </row>
    <row r="171" spans="1:21" x14ac:dyDescent="0.3">
      <c r="A171" t="s">
        <v>336</v>
      </c>
      <c r="B171" s="3">
        <v>45698</v>
      </c>
      <c r="C171" t="s">
        <v>337</v>
      </c>
      <c r="D171" t="s">
        <v>103</v>
      </c>
      <c r="E171" t="s">
        <v>51</v>
      </c>
      <c r="F171" t="s">
        <v>27</v>
      </c>
      <c r="G171" t="s">
        <v>28</v>
      </c>
      <c r="H171">
        <v>1</v>
      </c>
      <c r="I171">
        <v>7992</v>
      </c>
      <c r="J171">
        <v>0.05</v>
      </c>
      <c r="K171">
        <v>7592.4</v>
      </c>
      <c r="L171">
        <v>1389.13</v>
      </c>
      <c r="M171" t="str">
        <f t="shared" si="18"/>
        <v>Headphones</v>
      </c>
      <c r="N171" t="str">
        <f t="shared" si="19"/>
        <v>Bengaluru</v>
      </c>
      <c r="O171" t="str">
        <f t="shared" si="20"/>
        <v>South</v>
      </c>
      <c r="P171" t="str">
        <f t="shared" si="21"/>
        <v>Electronics</v>
      </c>
      <c r="Q171" t="str">
        <f t="shared" si="22"/>
        <v>Electronics</v>
      </c>
      <c r="R171" t="str">
        <f t="shared" si="23"/>
        <v>South</v>
      </c>
      <c r="S171" t="str">
        <f t="shared" si="24"/>
        <v>Bengaluru</v>
      </c>
      <c r="T171">
        <f t="shared" si="25"/>
        <v>7592.4</v>
      </c>
      <c r="U171" t="str">
        <f t="shared" si="26"/>
        <v>OK</v>
      </c>
    </row>
    <row r="172" spans="1:21" x14ac:dyDescent="0.3">
      <c r="A172" t="s">
        <v>338</v>
      </c>
      <c r="B172" s="3">
        <v>46002</v>
      </c>
      <c r="C172" t="s">
        <v>339</v>
      </c>
      <c r="D172" t="s">
        <v>25</v>
      </c>
      <c r="E172" t="s">
        <v>26</v>
      </c>
      <c r="F172" t="s">
        <v>58</v>
      </c>
      <c r="G172" t="s">
        <v>59</v>
      </c>
      <c r="H172">
        <v>5</v>
      </c>
      <c r="I172">
        <v>9098</v>
      </c>
      <c r="J172">
        <v>0.1</v>
      </c>
      <c r="K172">
        <v>40941</v>
      </c>
      <c r="L172">
        <v>5938</v>
      </c>
      <c r="M172" t="str">
        <f t="shared" si="18"/>
        <v>Microwave</v>
      </c>
      <c r="N172" t="str">
        <f t="shared" si="19"/>
        <v>Chandigarh</v>
      </c>
      <c r="O172" t="str">
        <f t="shared" si="20"/>
        <v>North</v>
      </c>
      <c r="P172" t="str">
        <f t="shared" si="21"/>
        <v>Home Appliances</v>
      </c>
      <c r="Q172" t="str">
        <f t="shared" si="22"/>
        <v>Home Appliances</v>
      </c>
      <c r="R172" t="str">
        <f t="shared" si="23"/>
        <v>North</v>
      </c>
      <c r="S172" t="str">
        <f t="shared" si="24"/>
        <v>Chandigarh</v>
      </c>
      <c r="T172">
        <f t="shared" si="25"/>
        <v>40941</v>
      </c>
      <c r="U172" t="str">
        <f t="shared" si="26"/>
        <v>OK</v>
      </c>
    </row>
    <row r="173" spans="1:21" x14ac:dyDescent="0.3">
      <c r="A173" t="s">
        <v>340</v>
      </c>
      <c r="B173" s="3">
        <v>45960</v>
      </c>
      <c r="C173" t="s">
        <v>96</v>
      </c>
      <c r="D173" t="s">
        <v>65</v>
      </c>
      <c r="E173" t="s">
        <v>26</v>
      </c>
      <c r="F173" t="s">
        <v>58</v>
      </c>
      <c r="G173" t="s">
        <v>59</v>
      </c>
      <c r="H173">
        <v>1</v>
      </c>
      <c r="I173">
        <v>4116</v>
      </c>
      <c r="J173">
        <v>0.05</v>
      </c>
      <c r="K173">
        <v>3910.2</v>
      </c>
      <c r="L173">
        <v>571.58000000000004</v>
      </c>
      <c r="M173" t="str">
        <f t="shared" si="18"/>
        <v>Electric Kettle</v>
      </c>
      <c r="N173" t="str">
        <f t="shared" si="19"/>
        <v>Chandigarh</v>
      </c>
      <c r="O173" t="str">
        <f t="shared" si="20"/>
        <v>North</v>
      </c>
      <c r="P173" t="str">
        <f t="shared" si="21"/>
        <v>Home Appliances</v>
      </c>
      <c r="Q173" t="str">
        <f t="shared" si="22"/>
        <v>Home Appliances</v>
      </c>
      <c r="R173" t="str">
        <f t="shared" si="23"/>
        <v>North</v>
      </c>
      <c r="S173" t="str">
        <f t="shared" si="24"/>
        <v>Chandigarh</v>
      </c>
      <c r="T173">
        <f t="shared" si="25"/>
        <v>3910.2</v>
      </c>
      <c r="U173" t="str">
        <f t="shared" si="26"/>
        <v>OK</v>
      </c>
    </row>
    <row r="174" spans="1:21" x14ac:dyDescent="0.3">
      <c r="A174" t="s">
        <v>341</v>
      </c>
      <c r="B174" s="3">
        <v>45790</v>
      </c>
      <c r="C174" t="s">
        <v>49</v>
      </c>
      <c r="D174" t="s">
        <v>34</v>
      </c>
      <c r="E174" t="s">
        <v>15</v>
      </c>
      <c r="F174" t="s">
        <v>58</v>
      </c>
      <c r="G174" t="s">
        <v>126</v>
      </c>
      <c r="H174">
        <v>1</v>
      </c>
      <c r="I174">
        <v>18109</v>
      </c>
      <c r="J174">
        <v>0.1</v>
      </c>
      <c r="K174">
        <v>16298.1</v>
      </c>
      <c r="L174">
        <v>1848.34</v>
      </c>
      <c r="M174" t="str">
        <f t="shared" si="18"/>
        <v>Desk</v>
      </c>
      <c r="N174" t="str">
        <f t="shared" si="19"/>
        <v>Delhi</v>
      </c>
      <c r="O174" t="str">
        <f t="shared" si="20"/>
        <v>North</v>
      </c>
      <c r="P174" t="str">
        <f t="shared" si="21"/>
        <v>Furniture</v>
      </c>
      <c r="Q174" t="str">
        <f t="shared" si="22"/>
        <v>Furniture</v>
      </c>
      <c r="R174" t="str">
        <f t="shared" si="23"/>
        <v>North</v>
      </c>
      <c r="S174" t="str">
        <f t="shared" si="24"/>
        <v>Delhi</v>
      </c>
      <c r="T174">
        <f t="shared" si="25"/>
        <v>16298.1</v>
      </c>
      <c r="U174" t="str">
        <f t="shared" si="26"/>
        <v>OK</v>
      </c>
    </row>
    <row r="175" spans="1:21" x14ac:dyDescent="0.3">
      <c r="A175" t="s">
        <v>342</v>
      </c>
      <c r="B175" s="3">
        <v>45861</v>
      </c>
      <c r="C175" t="s">
        <v>208</v>
      </c>
      <c r="D175" t="s">
        <v>103</v>
      </c>
      <c r="E175" t="s">
        <v>51</v>
      </c>
      <c r="F175" t="s">
        <v>16</v>
      </c>
      <c r="G175" t="s">
        <v>52</v>
      </c>
      <c r="H175">
        <v>2</v>
      </c>
      <c r="I175">
        <v>7785</v>
      </c>
      <c r="J175">
        <v>0.15</v>
      </c>
      <c r="K175">
        <v>13234.5</v>
      </c>
      <c r="L175">
        <v>2608.13</v>
      </c>
      <c r="M175" t="str">
        <f t="shared" si="18"/>
        <v>Headphones</v>
      </c>
      <c r="N175" t="str">
        <f t="shared" si="19"/>
        <v>Kolkata</v>
      </c>
      <c r="O175" t="str">
        <f t="shared" si="20"/>
        <v>East</v>
      </c>
      <c r="P175" t="str">
        <f t="shared" si="21"/>
        <v>Electronics</v>
      </c>
      <c r="Q175" t="str">
        <f t="shared" si="22"/>
        <v>Electronics</v>
      </c>
      <c r="R175" t="str">
        <f t="shared" si="23"/>
        <v>East</v>
      </c>
      <c r="S175" t="str">
        <f t="shared" si="24"/>
        <v>Kolkata</v>
      </c>
      <c r="T175">
        <f t="shared" si="25"/>
        <v>13234.5</v>
      </c>
      <c r="U175" t="str">
        <f t="shared" si="26"/>
        <v>OK</v>
      </c>
    </row>
    <row r="176" spans="1:21" x14ac:dyDescent="0.3">
      <c r="A176" t="s">
        <v>343</v>
      </c>
      <c r="B176" s="3">
        <v>45991</v>
      </c>
      <c r="C176" t="s">
        <v>100</v>
      </c>
      <c r="D176" t="s">
        <v>103</v>
      </c>
      <c r="E176" t="s">
        <v>51</v>
      </c>
      <c r="F176" t="s">
        <v>21</v>
      </c>
      <c r="G176" t="s">
        <v>55</v>
      </c>
      <c r="H176">
        <v>1</v>
      </c>
      <c r="I176">
        <v>5343</v>
      </c>
      <c r="J176">
        <v>0.2</v>
      </c>
      <c r="K176">
        <v>4274.3999999999996</v>
      </c>
      <c r="L176">
        <v>375.59</v>
      </c>
      <c r="M176" t="str">
        <f t="shared" si="18"/>
        <v>Headphones</v>
      </c>
      <c r="N176" t="str">
        <f t="shared" si="19"/>
        <v>Pune</v>
      </c>
      <c r="O176" t="str">
        <f t="shared" si="20"/>
        <v>West</v>
      </c>
      <c r="P176" t="str">
        <f t="shared" si="21"/>
        <v>Electronics</v>
      </c>
      <c r="Q176" t="str">
        <f t="shared" si="22"/>
        <v>Electronics</v>
      </c>
      <c r="R176" t="str">
        <f t="shared" si="23"/>
        <v>West</v>
      </c>
      <c r="S176" t="str">
        <f t="shared" si="24"/>
        <v>Pune</v>
      </c>
      <c r="T176">
        <f t="shared" si="25"/>
        <v>4274.4000000000005</v>
      </c>
      <c r="U176" t="str">
        <f t="shared" si="26"/>
        <v>OK</v>
      </c>
    </row>
    <row r="177" spans="1:21" x14ac:dyDescent="0.3">
      <c r="A177" t="s">
        <v>344</v>
      </c>
      <c r="B177" s="3">
        <v>45982</v>
      </c>
      <c r="C177" t="s">
        <v>111</v>
      </c>
      <c r="D177" t="s">
        <v>103</v>
      </c>
      <c r="E177" t="s">
        <v>51</v>
      </c>
      <c r="F177" t="s">
        <v>58</v>
      </c>
      <c r="G177" t="s">
        <v>59</v>
      </c>
      <c r="H177">
        <v>1</v>
      </c>
      <c r="I177">
        <v>5760</v>
      </c>
      <c r="J177">
        <v>0.1</v>
      </c>
      <c r="K177">
        <v>5184</v>
      </c>
      <c r="L177">
        <v>826.72</v>
      </c>
      <c r="M177" t="str">
        <f t="shared" si="18"/>
        <v>Headphones</v>
      </c>
      <c r="N177" t="str">
        <f t="shared" si="19"/>
        <v>Chandigarh</v>
      </c>
      <c r="O177" t="str">
        <f t="shared" si="20"/>
        <v>North</v>
      </c>
      <c r="P177" t="str">
        <f t="shared" si="21"/>
        <v>Electronics</v>
      </c>
      <c r="Q177" t="str">
        <f t="shared" si="22"/>
        <v>Electronics</v>
      </c>
      <c r="R177" t="str">
        <f t="shared" si="23"/>
        <v>North</v>
      </c>
      <c r="S177" t="str">
        <f t="shared" si="24"/>
        <v>Chandigarh</v>
      </c>
      <c r="T177">
        <f t="shared" si="25"/>
        <v>5184</v>
      </c>
      <c r="U177" t="str">
        <f t="shared" si="26"/>
        <v>OK</v>
      </c>
    </row>
    <row r="178" spans="1:21" x14ac:dyDescent="0.3">
      <c r="A178" t="s">
        <v>345</v>
      </c>
      <c r="B178" s="3">
        <v>45842</v>
      </c>
      <c r="C178" t="s">
        <v>346</v>
      </c>
      <c r="D178" t="s">
        <v>80</v>
      </c>
      <c r="E178" t="s">
        <v>51</v>
      </c>
      <c r="F178" t="s">
        <v>27</v>
      </c>
      <c r="G178" t="s">
        <v>28</v>
      </c>
      <c r="H178">
        <v>2</v>
      </c>
      <c r="I178">
        <v>55169</v>
      </c>
      <c r="J178">
        <v>0.1</v>
      </c>
      <c r="K178">
        <v>99304.2</v>
      </c>
      <c r="L178">
        <v>14749.72</v>
      </c>
      <c r="M178" t="str">
        <f t="shared" si="18"/>
        <v>Laptop</v>
      </c>
      <c r="N178" t="str">
        <f t="shared" si="19"/>
        <v>Bengaluru</v>
      </c>
      <c r="O178" t="str">
        <f t="shared" si="20"/>
        <v>South</v>
      </c>
      <c r="P178" t="str">
        <f t="shared" si="21"/>
        <v>Electronics</v>
      </c>
      <c r="Q178" t="str">
        <f t="shared" si="22"/>
        <v>Electronics</v>
      </c>
      <c r="R178" t="str">
        <f t="shared" si="23"/>
        <v>South</v>
      </c>
      <c r="S178" t="str">
        <f t="shared" si="24"/>
        <v>Bengaluru</v>
      </c>
      <c r="T178">
        <f t="shared" si="25"/>
        <v>99304.2</v>
      </c>
      <c r="U178" t="str">
        <f t="shared" si="26"/>
        <v>OK</v>
      </c>
    </row>
    <row r="179" spans="1:21" x14ac:dyDescent="0.3">
      <c r="A179" t="s">
        <v>347</v>
      </c>
      <c r="B179" s="3">
        <v>45891</v>
      </c>
      <c r="C179" t="s">
        <v>220</v>
      </c>
      <c r="D179" t="s">
        <v>103</v>
      </c>
      <c r="E179" t="s">
        <v>51</v>
      </c>
      <c r="F179" t="s">
        <v>21</v>
      </c>
      <c r="G179" t="s">
        <v>55</v>
      </c>
      <c r="H179">
        <v>3</v>
      </c>
      <c r="I179">
        <v>2467</v>
      </c>
      <c r="J179">
        <v>0</v>
      </c>
      <c r="K179">
        <v>7401</v>
      </c>
      <c r="L179">
        <v>1673.85</v>
      </c>
      <c r="M179" t="str">
        <f t="shared" si="18"/>
        <v>Headphones</v>
      </c>
      <c r="N179" t="str">
        <f t="shared" si="19"/>
        <v>Pune</v>
      </c>
      <c r="O179" t="str">
        <f t="shared" si="20"/>
        <v>West</v>
      </c>
      <c r="P179" t="str">
        <f t="shared" si="21"/>
        <v>Electronics</v>
      </c>
      <c r="Q179" t="str">
        <f t="shared" si="22"/>
        <v>Electronics</v>
      </c>
      <c r="R179" t="str">
        <f t="shared" si="23"/>
        <v>West</v>
      </c>
      <c r="S179" t="str">
        <f t="shared" si="24"/>
        <v>Pune</v>
      </c>
      <c r="T179">
        <f t="shared" si="25"/>
        <v>7401</v>
      </c>
      <c r="U179" t="str">
        <f t="shared" si="26"/>
        <v>OK</v>
      </c>
    </row>
    <row r="180" spans="1:21" x14ac:dyDescent="0.3">
      <c r="A180" t="s">
        <v>348</v>
      </c>
      <c r="B180" s="3">
        <v>45832</v>
      </c>
      <c r="C180" t="s">
        <v>109</v>
      </c>
      <c r="D180" t="s">
        <v>14</v>
      </c>
      <c r="E180" t="s">
        <v>15</v>
      </c>
      <c r="F180" t="s">
        <v>16</v>
      </c>
      <c r="G180" t="s">
        <v>104</v>
      </c>
      <c r="H180">
        <v>2</v>
      </c>
      <c r="I180">
        <v>16057</v>
      </c>
      <c r="J180">
        <v>0.2</v>
      </c>
      <c r="K180">
        <v>25691.200000000001</v>
      </c>
      <c r="L180">
        <v>5565.99</v>
      </c>
      <c r="M180" t="str">
        <f t="shared" si="18"/>
        <v>Office Chair</v>
      </c>
      <c r="N180" t="str">
        <f t="shared" si="19"/>
        <v>Bhubaneswar</v>
      </c>
      <c r="O180" t="str">
        <f t="shared" si="20"/>
        <v>East</v>
      </c>
      <c r="P180" t="str">
        <f t="shared" si="21"/>
        <v>Furniture</v>
      </c>
      <c r="Q180" t="str">
        <f t="shared" si="22"/>
        <v>Furniture</v>
      </c>
      <c r="R180" t="str">
        <f t="shared" si="23"/>
        <v>East</v>
      </c>
      <c r="S180" t="str">
        <f t="shared" si="24"/>
        <v>Bhubaneswar</v>
      </c>
      <c r="T180">
        <f t="shared" si="25"/>
        <v>25691.200000000001</v>
      </c>
      <c r="U180" t="str">
        <f t="shared" si="26"/>
        <v>OK</v>
      </c>
    </row>
    <row r="181" spans="1:21" x14ac:dyDescent="0.3">
      <c r="A181" t="s">
        <v>349</v>
      </c>
      <c r="B181" s="3">
        <v>45889</v>
      </c>
      <c r="C181" t="s">
        <v>240</v>
      </c>
      <c r="D181" t="s">
        <v>92</v>
      </c>
      <c r="E181" t="s">
        <v>51</v>
      </c>
      <c r="F181" t="s">
        <v>21</v>
      </c>
      <c r="G181" t="s">
        <v>22</v>
      </c>
      <c r="H181">
        <v>3</v>
      </c>
      <c r="I181">
        <v>10810</v>
      </c>
      <c r="J181">
        <v>0.15</v>
      </c>
      <c r="K181">
        <v>27565.5</v>
      </c>
      <c r="L181">
        <v>7270</v>
      </c>
      <c r="M181" t="str">
        <f t="shared" si="18"/>
        <v>Monitor</v>
      </c>
      <c r="N181" t="str">
        <f t="shared" si="19"/>
        <v>Ahmedabad</v>
      </c>
      <c r="O181" t="str">
        <f t="shared" si="20"/>
        <v>West</v>
      </c>
      <c r="P181" t="str">
        <f t="shared" si="21"/>
        <v>Electronics</v>
      </c>
      <c r="Q181" t="str">
        <f t="shared" si="22"/>
        <v>Electronics</v>
      </c>
      <c r="R181" t="str">
        <f t="shared" si="23"/>
        <v>West</v>
      </c>
      <c r="S181" t="str">
        <f t="shared" si="24"/>
        <v>Ahmedabad</v>
      </c>
      <c r="T181">
        <f t="shared" si="25"/>
        <v>27565.5</v>
      </c>
      <c r="U181" t="str">
        <f t="shared" si="26"/>
        <v>OK</v>
      </c>
    </row>
    <row r="182" spans="1:21" x14ac:dyDescent="0.3">
      <c r="A182" t="s">
        <v>350</v>
      </c>
      <c r="B182" s="3">
        <v>46018</v>
      </c>
      <c r="C182" t="s">
        <v>351</v>
      </c>
      <c r="D182" t="s">
        <v>103</v>
      </c>
      <c r="E182" t="s">
        <v>51</v>
      </c>
      <c r="F182" t="s">
        <v>21</v>
      </c>
      <c r="G182" t="s">
        <v>35</v>
      </c>
      <c r="H182">
        <v>1</v>
      </c>
      <c r="I182">
        <v>6331</v>
      </c>
      <c r="J182">
        <v>0.25</v>
      </c>
      <c r="K182">
        <v>4748.25</v>
      </c>
      <c r="L182">
        <v>425.64</v>
      </c>
      <c r="M182" t="str">
        <f t="shared" si="18"/>
        <v>Headphones</v>
      </c>
      <c r="N182" t="str">
        <f t="shared" si="19"/>
        <v>Mumbai</v>
      </c>
      <c r="O182" t="str">
        <f t="shared" si="20"/>
        <v>West</v>
      </c>
      <c r="P182" t="str">
        <f t="shared" si="21"/>
        <v>Electronics</v>
      </c>
      <c r="Q182" t="str">
        <f t="shared" si="22"/>
        <v>Electronics</v>
      </c>
      <c r="R182" t="str">
        <f t="shared" si="23"/>
        <v>West</v>
      </c>
      <c r="S182" t="str">
        <f t="shared" si="24"/>
        <v>Mumbai</v>
      </c>
      <c r="T182">
        <f t="shared" si="25"/>
        <v>4748.25</v>
      </c>
      <c r="U182" t="str">
        <f t="shared" si="26"/>
        <v>OK</v>
      </c>
    </row>
    <row r="183" spans="1:21" x14ac:dyDescent="0.3">
      <c r="A183" t="s">
        <v>352</v>
      </c>
      <c r="B183" s="3">
        <v>45730</v>
      </c>
      <c r="C183" t="s">
        <v>161</v>
      </c>
      <c r="D183" t="s">
        <v>97</v>
      </c>
      <c r="E183" t="s">
        <v>44</v>
      </c>
      <c r="F183" t="s">
        <v>21</v>
      </c>
      <c r="G183" t="s">
        <v>35</v>
      </c>
      <c r="H183">
        <v>1</v>
      </c>
      <c r="I183">
        <v>524</v>
      </c>
      <c r="J183">
        <v>0</v>
      </c>
      <c r="K183">
        <v>524</v>
      </c>
      <c r="L183">
        <v>110.09</v>
      </c>
      <c r="M183" t="str">
        <f t="shared" si="18"/>
        <v>USB Cable</v>
      </c>
      <c r="N183" t="str">
        <f t="shared" si="19"/>
        <v>Mumbai</v>
      </c>
      <c r="O183" t="str">
        <f t="shared" si="20"/>
        <v>West</v>
      </c>
      <c r="P183" t="str">
        <f t="shared" si="21"/>
        <v>Accessories</v>
      </c>
      <c r="Q183" t="str">
        <f t="shared" si="22"/>
        <v>Accessories</v>
      </c>
      <c r="R183" t="str">
        <f t="shared" si="23"/>
        <v>West</v>
      </c>
      <c r="S183" t="str">
        <f t="shared" si="24"/>
        <v>Mumbai</v>
      </c>
      <c r="T183">
        <f t="shared" si="25"/>
        <v>524</v>
      </c>
      <c r="U183" t="str">
        <f t="shared" si="26"/>
        <v>OK</v>
      </c>
    </row>
    <row r="184" spans="1:21" x14ac:dyDescent="0.3">
      <c r="A184" t="s">
        <v>353</v>
      </c>
      <c r="B184" s="3">
        <v>45739</v>
      </c>
      <c r="C184" t="s">
        <v>354</v>
      </c>
      <c r="D184" t="s">
        <v>34</v>
      </c>
      <c r="E184" t="s">
        <v>15</v>
      </c>
      <c r="F184" t="s">
        <v>16</v>
      </c>
      <c r="G184" t="s">
        <v>104</v>
      </c>
      <c r="H184">
        <v>4</v>
      </c>
      <c r="I184">
        <v>12710</v>
      </c>
      <c r="J184">
        <v>0.15</v>
      </c>
      <c r="K184">
        <v>43214</v>
      </c>
      <c r="L184">
        <v>6703.98</v>
      </c>
      <c r="M184" t="str">
        <f t="shared" si="18"/>
        <v>Desk</v>
      </c>
      <c r="N184" t="str">
        <f t="shared" si="19"/>
        <v>Bhubaneswar</v>
      </c>
      <c r="O184" t="str">
        <f t="shared" si="20"/>
        <v>East</v>
      </c>
      <c r="P184" t="str">
        <f t="shared" si="21"/>
        <v>Furniture</v>
      </c>
      <c r="Q184" t="str">
        <f t="shared" si="22"/>
        <v>Furniture</v>
      </c>
      <c r="R184" t="str">
        <f t="shared" si="23"/>
        <v>East</v>
      </c>
      <c r="S184" t="str">
        <f t="shared" si="24"/>
        <v>Bhubaneswar</v>
      </c>
      <c r="T184">
        <f t="shared" si="25"/>
        <v>43214</v>
      </c>
      <c r="U184" t="str">
        <f t="shared" si="26"/>
        <v>OK</v>
      </c>
    </row>
    <row r="185" spans="1:21" x14ac:dyDescent="0.3">
      <c r="A185" t="s">
        <v>355</v>
      </c>
      <c r="B185" s="3">
        <v>45733</v>
      </c>
      <c r="C185" t="s">
        <v>87</v>
      </c>
      <c r="D185" t="s">
        <v>47</v>
      </c>
      <c r="E185" t="s">
        <v>26</v>
      </c>
      <c r="F185" t="s">
        <v>16</v>
      </c>
      <c r="G185" t="s">
        <v>52</v>
      </c>
      <c r="H185">
        <v>2</v>
      </c>
      <c r="I185">
        <v>15452</v>
      </c>
      <c r="J185">
        <v>0.05</v>
      </c>
      <c r="K185">
        <v>29358.799999999999</v>
      </c>
      <c r="L185">
        <v>5569.36</v>
      </c>
      <c r="M185" t="str">
        <f t="shared" si="18"/>
        <v>Air Purifier</v>
      </c>
      <c r="N185" t="str">
        <f t="shared" si="19"/>
        <v>Kolkata</v>
      </c>
      <c r="O185" t="str">
        <f t="shared" si="20"/>
        <v>East</v>
      </c>
      <c r="P185" t="str">
        <f t="shared" si="21"/>
        <v>Home Appliances</v>
      </c>
      <c r="Q185" t="str">
        <f t="shared" si="22"/>
        <v>Home Appliances</v>
      </c>
      <c r="R185" t="str">
        <f t="shared" si="23"/>
        <v>East</v>
      </c>
      <c r="S185" t="str">
        <f t="shared" si="24"/>
        <v>Kolkata</v>
      </c>
      <c r="T185">
        <f t="shared" si="25"/>
        <v>29358.799999999999</v>
      </c>
      <c r="U185" t="str">
        <f t="shared" si="26"/>
        <v>OK</v>
      </c>
    </row>
    <row r="186" spans="1:21" x14ac:dyDescent="0.3">
      <c r="A186" t="s">
        <v>356</v>
      </c>
      <c r="B186" s="3">
        <v>45924</v>
      </c>
      <c r="C186" t="s">
        <v>71</v>
      </c>
      <c r="D186" t="s">
        <v>80</v>
      </c>
      <c r="E186" t="s">
        <v>51</v>
      </c>
      <c r="F186" t="s">
        <v>16</v>
      </c>
      <c r="G186" t="s">
        <v>104</v>
      </c>
      <c r="H186">
        <v>2</v>
      </c>
      <c r="I186">
        <v>71729</v>
      </c>
      <c r="J186">
        <v>0.1</v>
      </c>
      <c r="K186">
        <v>129112.2</v>
      </c>
      <c r="L186">
        <v>22297.52</v>
      </c>
      <c r="M186" t="str">
        <f t="shared" si="18"/>
        <v>Laptop</v>
      </c>
      <c r="N186" t="str">
        <f t="shared" si="19"/>
        <v>Bhubaneswar</v>
      </c>
      <c r="O186" t="str">
        <f t="shared" si="20"/>
        <v>East</v>
      </c>
      <c r="P186" t="str">
        <f t="shared" si="21"/>
        <v>Electronics</v>
      </c>
      <c r="Q186" t="str">
        <f t="shared" si="22"/>
        <v>Electronics</v>
      </c>
      <c r="R186" t="str">
        <f t="shared" si="23"/>
        <v>East</v>
      </c>
      <c r="S186" t="str">
        <f t="shared" si="24"/>
        <v>Bhubaneswar</v>
      </c>
      <c r="T186">
        <f t="shared" si="25"/>
        <v>129112.2</v>
      </c>
      <c r="U186" t="str">
        <f t="shared" si="26"/>
        <v>OK</v>
      </c>
    </row>
    <row r="187" spans="1:21" x14ac:dyDescent="0.3">
      <c r="A187" t="s">
        <v>357</v>
      </c>
      <c r="B187" s="3">
        <v>45774</v>
      </c>
      <c r="C187" t="s">
        <v>358</v>
      </c>
      <c r="D187" t="s">
        <v>65</v>
      </c>
      <c r="E187" t="s">
        <v>26</v>
      </c>
      <c r="F187" t="s">
        <v>21</v>
      </c>
      <c r="G187" t="s">
        <v>55</v>
      </c>
      <c r="H187">
        <v>3</v>
      </c>
      <c r="I187">
        <v>1559</v>
      </c>
      <c r="J187">
        <v>0</v>
      </c>
      <c r="K187">
        <v>4677</v>
      </c>
      <c r="L187">
        <v>866.76</v>
      </c>
      <c r="M187" t="str">
        <f t="shared" si="18"/>
        <v>Electric Kettle</v>
      </c>
      <c r="N187" t="str">
        <f t="shared" si="19"/>
        <v>Pune</v>
      </c>
      <c r="O187" t="str">
        <f t="shared" si="20"/>
        <v>West</v>
      </c>
      <c r="P187" t="str">
        <f t="shared" si="21"/>
        <v>Home Appliances</v>
      </c>
      <c r="Q187" t="str">
        <f t="shared" si="22"/>
        <v>Home Appliances</v>
      </c>
      <c r="R187" t="str">
        <f t="shared" si="23"/>
        <v>West</v>
      </c>
      <c r="S187" t="str">
        <f t="shared" si="24"/>
        <v>Pune</v>
      </c>
      <c r="T187">
        <f t="shared" si="25"/>
        <v>4677</v>
      </c>
      <c r="U187" t="str">
        <f t="shared" si="26"/>
        <v>OK</v>
      </c>
    </row>
    <row r="188" spans="1:21" x14ac:dyDescent="0.3">
      <c r="A188" t="s">
        <v>359</v>
      </c>
      <c r="B188" s="3">
        <v>45983</v>
      </c>
      <c r="C188" t="s">
        <v>187</v>
      </c>
      <c r="D188" t="s">
        <v>153</v>
      </c>
      <c r="E188" t="s">
        <v>26</v>
      </c>
      <c r="F188" t="s">
        <v>21</v>
      </c>
      <c r="G188" t="s">
        <v>22</v>
      </c>
      <c r="H188">
        <v>3</v>
      </c>
      <c r="I188">
        <v>7866</v>
      </c>
      <c r="J188">
        <v>0.1</v>
      </c>
      <c r="K188">
        <v>21238.2</v>
      </c>
      <c r="L188">
        <v>5192.29</v>
      </c>
      <c r="M188" t="str">
        <f t="shared" si="18"/>
        <v>Coffee Maker</v>
      </c>
      <c r="N188" t="str">
        <f t="shared" si="19"/>
        <v>Ahmedabad</v>
      </c>
      <c r="O188" t="str">
        <f t="shared" si="20"/>
        <v>West</v>
      </c>
      <c r="P188" t="str">
        <f t="shared" si="21"/>
        <v>Home Appliances</v>
      </c>
      <c r="Q188" t="str">
        <f t="shared" si="22"/>
        <v>Home Appliances</v>
      </c>
      <c r="R188" t="str">
        <f t="shared" si="23"/>
        <v>West</v>
      </c>
      <c r="S188" t="str">
        <f t="shared" si="24"/>
        <v>Ahmedabad</v>
      </c>
      <c r="T188">
        <f t="shared" si="25"/>
        <v>21238.2</v>
      </c>
      <c r="U188" t="str">
        <f t="shared" si="26"/>
        <v>OK</v>
      </c>
    </row>
    <row r="189" spans="1:21" x14ac:dyDescent="0.3">
      <c r="A189" t="s">
        <v>360</v>
      </c>
      <c r="B189" s="3">
        <v>45938</v>
      </c>
      <c r="C189" t="s">
        <v>143</v>
      </c>
      <c r="D189" t="s">
        <v>103</v>
      </c>
      <c r="E189" t="s">
        <v>51</v>
      </c>
      <c r="F189" t="s">
        <v>21</v>
      </c>
      <c r="G189" t="s">
        <v>22</v>
      </c>
      <c r="H189">
        <v>2</v>
      </c>
      <c r="I189">
        <v>4165</v>
      </c>
      <c r="J189">
        <v>0</v>
      </c>
      <c r="K189">
        <v>8330</v>
      </c>
      <c r="L189">
        <v>1464.72</v>
      </c>
      <c r="M189" t="str">
        <f t="shared" si="18"/>
        <v>Headphones</v>
      </c>
      <c r="N189" t="str">
        <f t="shared" si="19"/>
        <v>Ahmedabad</v>
      </c>
      <c r="O189" t="str">
        <f t="shared" si="20"/>
        <v>West</v>
      </c>
      <c r="P189" t="str">
        <f t="shared" si="21"/>
        <v>Electronics</v>
      </c>
      <c r="Q189" t="str">
        <f t="shared" si="22"/>
        <v>Electronics</v>
      </c>
      <c r="R189" t="str">
        <f t="shared" si="23"/>
        <v>West</v>
      </c>
      <c r="S189" t="str">
        <f t="shared" si="24"/>
        <v>Ahmedabad</v>
      </c>
      <c r="T189">
        <f t="shared" si="25"/>
        <v>8330</v>
      </c>
      <c r="U189" t="str">
        <f t="shared" si="26"/>
        <v>OK</v>
      </c>
    </row>
    <row r="190" spans="1:21" x14ac:dyDescent="0.3">
      <c r="A190" t="s">
        <v>361</v>
      </c>
      <c r="B190" s="3">
        <v>45709</v>
      </c>
      <c r="C190" t="s">
        <v>178</v>
      </c>
      <c r="D190" t="s">
        <v>103</v>
      </c>
      <c r="E190" t="s">
        <v>51</v>
      </c>
      <c r="F190" t="s">
        <v>21</v>
      </c>
      <c r="G190" t="s">
        <v>35</v>
      </c>
      <c r="H190">
        <v>2</v>
      </c>
      <c r="I190">
        <v>8451</v>
      </c>
      <c r="J190">
        <v>0.1</v>
      </c>
      <c r="K190">
        <v>15211.8</v>
      </c>
      <c r="L190">
        <v>2984.35</v>
      </c>
      <c r="M190" t="str">
        <f t="shared" si="18"/>
        <v>Headphones</v>
      </c>
      <c r="N190" t="str">
        <f t="shared" si="19"/>
        <v>Mumbai</v>
      </c>
      <c r="O190" t="str">
        <f t="shared" si="20"/>
        <v>West</v>
      </c>
      <c r="P190" t="str">
        <f t="shared" si="21"/>
        <v>Electronics</v>
      </c>
      <c r="Q190" t="str">
        <f t="shared" si="22"/>
        <v>Electronics</v>
      </c>
      <c r="R190" t="str">
        <f t="shared" si="23"/>
        <v>West</v>
      </c>
      <c r="S190" t="str">
        <f t="shared" si="24"/>
        <v>Mumbai</v>
      </c>
      <c r="T190">
        <f t="shared" si="25"/>
        <v>15211.800000000001</v>
      </c>
      <c r="U190" t="str">
        <f t="shared" si="26"/>
        <v>OK</v>
      </c>
    </row>
    <row r="191" spans="1:21" x14ac:dyDescent="0.3">
      <c r="A191" t="s">
        <v>362</v>
      </c>
      <c r="B191" s="3">
        <v>45734</v>
      </c>
      <c r="C191" t="s">
        <v>363</v>
      </c>
      <c r="D191" t="s">
        <v>25</v>
      </c>
      <c r="E191" t="s">
        <v>26</v>
      </c>
      <c r="F191" t="s">
        <v>27</v>
      </c>
      <c r="G191" t="s">
        <v>28</v>
      </c>
      <c r="H191">
        <v>1</v>
      </c>
      <c r="I191">
        <v>7463</v>
      </c>
      <c r="J191">
        <v>0</v>
      </c>
      <c r="K191">
        <v>7463</v>
      </c>
      <c r="L191">
        <v>1613.68</v>
      </c>
      <c r="M191" t="str">
        <f t="shared" si="18"/>
        <v>Microwave</v>
      </c>
      <c r="N191" t="str">
        <f t="shared" si="19"/>
        <v>Bengaluru</v>
      </c>
      <c r="O191" t="str">
        <f t="shared" si="20"/>
        <v>South</v>
      </c>
      <c r="P191" t="str">
        <f t="shared" si="21"/>
        <v>Home Appliances</v>
      </c>
      <c r="Q191" t="str">
        <f t="shared" si="22"/>
        <v>Home Appliances</v>
      </c>
      <c r="R191" t="str">
        <f t="shared" si="23"/>
        <v>South</v>
      </c>
      <c r="S191" t="str">
        <f t="shared" si="24"/>
        <v>Bengaluru</v>
      </c>
      <c r="T191">
        <f t="shared" si="25"/>
        <v>7463</v>
      </c>
      <c r="U191" t="str">
        <f t="shared" si="26"/>
        <v>OK</v>
      </c>
    </row>
    <row r="192" spans="1:21" x14ac:dyDescent="0.3">
      <c r="A192" t="s">
        <v>364</v>
      </c>
      <c r="B192" s="3">
        <v>45969</v>
      </c>
      <c r="C192" t="s">
        <v>172</v>
      </c>
      <c r="D192" t="s">
        <v>88</v>
      </c>
      <c r="E192" t="s">
        <v>73</v>
      </c>
      <c r="F192" t="s">
        <v>16</v>
      </c>
      <c r="G192" t="s">
        <v>17</v>
      </c>
      <c r="H192">
        <v>3</v>
      </c>
      <c r="I192">
        <v>193</v>
      </c>
      <c r="J192">
        <v>0.2</v>
      </c>
      <c r="K192">
        <v>463.2</v>
      </c>
      <c r="L192">
        <v>76.38</v>
      </c>
      <c r="M192" t="str">
        <f t="shared" si="18"/>
        <v>Stapler</v>
      </c>
      <c r="N192" t="str">
        <f t="shared" si="19"/>
        <v>Guwahati</v>
      </c>
      <c r="O192" t="str">
        <f t="shared" si="20"/>
        <v>East</v>
      </c>
      <c r="P192" t="str">
        <f t="shared" si="21"/>
        <v>Office Supplies</v>
      </c>
      <c r="Q192" t="str">
        <f t="shared" si="22"/>
        <v>Office Supplies</v>
      </c>
      <c r="R192" t="str">
        <f t="shared" si="23"/>
        <v>East</v>
      </c>
      <c r="S192" t="str">
        <f t="shared" si="24"/>
        <v>Guwahati</v>
      </c>
      <c r="T192">
        <f t="shared" si="25"/>
        <v>463.20000000000005</v>
      </c>
      <c r="U192" t="str">
        <f t="shared" si="26"/>
        <v>OK</v>
      </c>
    </row>
    <row r="193" spans="1:21" x14ac:dyDescent="0.3">
      <c r="A193" t="s">
        <v>365</v>
      </c>
      <c r="B193" s="3">
        <v>46019</v>
      </c>
      <c r="C193" t="s">
        <v>272</v>
      </c>
      <c r="D193" t="s">
        <v>83</v>
      </c>
      <c r="E193" t="s">
        <v>73</v>
      </c>
      <c r="F193" t="s">
        <v>21</v>
      </c>
      <c r="G193" t="s">
        <v>35</v>
      </c>
      <c r="H193">
        <v>1</v>
      </c>
      <c r="I193">
        <v>252</v>
      </c>
      <c r="J193">
        <v>0.1</v>
      </c>
      <c r="K193">
        <v>226.8</v>
      </c>
      <c r="L193">
        <v>41.51</v>
      </c>
      <c r="M193" t="str">
        <f t="shared" si="18"/>
        <v>Printer Paper</v>
      </c>
      <c r="N193" t="str">
        <f t="shared" si="19"/>
        <v>Mumbai</v>
      </c>
      <c r="O193" t="str">
        <f t="shared" si="20"/>
        <v>West</v>
      </c>
      <c r="P193" t="str">
        <f t="shared" si="21"/>
        <v>Office Supplies</v>
      </c>
      <c r="Q193" t="str">
        <f t="shared" si="22"/>
        <v>Office Supplies</v>
      </c>
      <c r="R193" t="str">
        <f t="shared" si="23"/>
        <v>West</v>
      </c>
      <c r="S193" t="str">
        <f t="shared" si="24"/>
        <v>Mumbai</v>
      </c>
      <c r="T193">
        <f t="shared" si="25"/>
        <v>226.8</v>
      </c>
      <c r="U193" t="str">
        <f t="shared" si="26"/>
        <v>OK</v>
      </c>
    </row>
    <row r="194" spans="1:21" x14ac:dyDescent="0.3">
      <c r="A194" t="s">
        <v>366</v>
      </c>
      <c r="B194" s="3">
        <v>45778</v>
      </c>
      <c r="C194" t="s">
        <v>282</v>
      </c>
      <c r="D194" t="s">
        <v>88</v>
      </c>
      <c r="E194" t="s">
        <v>73</v>
      </c>
      <c r="F194" t="s">
        <v>27</v>
      </c>
      <c r="G194" t="s">
        <v>40</v>
      </c>
      <c r="H194">
        <v>3</v>
      </c>
      <c r="I194">
        <v>550</v>
      </c>
      <c r="J194">
        <v>0.05</v>
      </c>
      <c r="K194">
        <v>1567.5</v>
      </c>
      <c r="L194">
        <v>199.66</v>
      </c>
      <c r="M194" t="str">
        <f t="shared" si="18"/>
        <v>Stapler</v>
      </c>
      <c r="N194" t="str">
        <f t="shared" si="19"/>
        <v>Chennai</v>
      </c>
      <c r="O194" t="str">
        <f t="shared" si="20"/>
        <v>South</v>
      </c>
      <c r="P194" t="str">
        <f t="shared" si="21"/>
        <v>Office Supplies</v>
      </c>
      <c r="Q194" t="str">
        <f t="shared" si="22"/>
        <v>Office Supplies</v>
      </c>
      <c r="R194" t="str">
        <f t="shared" si="23"/>
        <v>South</v>
      </c>
      <c r="S194" t="str">
        <f t="shared" si="24"/>
        <v>Chennai</v>
      </c>
      <c r="T194">
        <f t="shared" si="25"/>
        <v>1567.5</v>
      </c>
      <c r="U194" t="str">
        <f t="shared" si="26"/>
        <v>OK</v>
      </c>
    </row>
    <row r="195" spans="1:21" x14ac:dyDescent="0.3">
      <c r="A195" t="s">
        <v>367</v>
      </c>
      <c r="B195" s="3">
        <v>45859</v>
      </c>
      <c r="C195" t="s">
        <v>368</v>
      </c>
      <c r="D195" t="s">
        <v>20</v>
      </c>
      <c r="E195" t="s">
        <v>15</v>
      </c>
      <c r="F195" t="s">
        <v>16</v>
      </c>
      <c r="G195" t="s">
        <v>17</v>
      </c>
      <c r="H195">
        <v>3</v>
      </c>
      <c r="I195">
        <v>13433</v>
      </c>
      <c r="J195">
        <v>0</v>
      </c>
      <c r="K195">
        <v>40299</v>
      </c>
      <c r="L195">
        <v>6640.83</v>
      </c>
      <c r="M195" t="str">
        <f t="shared" ref="M195:M258" si="27">TRIM(D195)</f>
        <v>Filing Cabinet</v>
      </c>
      <c r="N195" t="str">
        <f t="shared" ref="N195:N258" si="28">TRIM(G195)</f>
        <v>Guwahati</v>
      </c>
      <c r="O195" t="str">
        <f t="shared" ref="O195:O258" si="29">TRIM(F:F)</f>
        <v>East</v>
      </c>
      <c r="P195" t="str">
        <f t="shared" ref="P195:P258" si="30">TRIM(E195)</f>
        <v>Furniture</v>
      </c>
      <c r="Q195" t="str">
        <f t="shared" ref="Q195:Q258" si="31">PROPER(E195)</f>
        <v>Furniture</v>
      </c>
      <c r="R195" t="str">
        <f t="shared" ref="R195:R258" si="32">PROPER(F195)</f>
        <v>East</v>
      </c>
      <c r="S195" t="str">
        <f t="shared" ref="S195:S258" si="33">PROPER(G195)</f>
        <v>Guwahati</v>
      </c>
      <c r="T195">
        <f t="shared" ref="T195:T258" si="34">H195*I195*(1-J195)</f>
        <v>40299</v>
      </c>
      <c r="U195" t="str">
        <f t="shared" ref="U195:U258" si="35">IF(ROUND(K195,2)=ROUND(T195,2),"OK","CHECK")</f>
        <v>OK</v>
      </c>
    </row>
    <row r="196" spans="1:21" x14ac:dyDescent="0.3">
      <c r="A196" t="s">
        <v>369</v>
      </c>
      <c r="B196" s="3">
        <v>45818</v>
      </c>
      <c r="C196" t="s">
        <v>75</v>
      </c>
      <c r="D196" t="s">
        <v>50</v>
      </c>
      <c r="E196" t="s">
        <v>51</v>
      </c>
      <c r="F196" t="s">
        <v>21</v>
      </c>
      <c r="G196" t="s">
        <v>55</v>
      </c>
      <c r="H196">
        <v>1</v>
      </c>
      <c r="I196">
        <v>1058</v>
      </c>
      <c r="J196">
        <v>0</v>
      </c>
      <c r="K196">
        <v>1058</v>
      </c>
      <c r="L196">
        <v>220.48</v>
      </c>
      <c r="M196" t="str">
        <f t="shared" si="27"/>
        <v>Keyboard</v>
      </c>
      <c r="N196" t="str">
        <f t="shared" si="28"/>
        <v>Pune</v>
      </c>
      <c r="O196" t="str">
        <f t="shared" si="29"/>
        <v>West</v>
      </c>
      <c r="P196" t="str">
        <f t="shared" si="30"/>
        <v>Electronics</v>
      </c>
      <c r="Q196" t="str">
        <f t="shared" si="31"/>
        <v>Electronics</v>
      </c>
      <c r="R196" t="str">
        <f t="shared" si="32"/>
        <v>West</v>
      </c>
      <c r="S196" t="str">
        <f t="shared" si="33"/>
        <v>Pune</v>
      </c>
      <c r="T196">
        <f t="shared" si="34"/>
        <v>1058</v>
      </c>
      <c r="U196" t="str">
        <f t="shared" si="35"/>
        <v>OK</v>
      </c>
    </row>
    <row r="197" spans="1:21" x14ac:dyDescent="0.3">
      <c r="A197" t="s">
        <v>370</v>
      </c>
      <c r="B197" s="3">
        <v>45911</v>
      </c>
      <c r="C197" t="s">
        <v>371</v>
      </c>
      <c r="D197" t="s">
        <v>47</v>
      </c>
      <c r="E197" t="s">
        <v>26</v>
      </c>
      <c r="F197" t="s">
        <v>27</v>
      </c>
      <c r="G197" t="s">
        <v>28</v>
      </c>
      <c r="H197">
        <v>1</v>
      </c>
      <c r="I197">
        <v>11118</v>
      </c>
      <c r="J197">
        <v>0.1</v>
      </c>
      <c r="K197">
        <v>10006.200000000001</v>
      </c>
      <c r="L197">
        <v>2153.02</v>
      </c>
      <c r="M197" t="str">
        <f t="shared" si="27"/>
        <v>Air Purifier</v>
      </c>
      <c r="N197" t="str">
        <f t="shared" si="28"/>
        <v>Bengaluru</v>
      </c>
      <c r="O197" t="str">
        <f t="shared" si="29"/>
        <v>South</v>
      </c>
      <c r="P197" t="str">
        <f t="shared" si="30"/>
        <v>Home Appliances</v>
      </c>
      <c r="Q197" t="str">
        <f t="shared" si="31"/>
        <v>Home Appliances</v>
      </c>
      <c r="R197" t="str">
        <f t="shared" si="32"/>
        <v>South</v>
      </c>
      <c r="S197" t="str">
        <f t="shared" si="33"/>
        <v>Bengaluru</v>
      </c>
      <c r="T197">
        <f t="shared" si="34"/>
        <v>10006.200000000001</v>
      </c>
      <c r="U197" t="str">
        <f t="shared" si="35"/>
        <v>OK</v>
      </c>
    </row>
    <row r="198" spans="1:21" x14ac:dyDescent="0.3">
      <c r="A198" t="s">
        <v>372</v>
      </c>
      <c r="B198" s="3">
        <v>45937</v>
      </c>
      <c r="C198" t="s">
        <v>147</v>
      </c>
      <c r="D198" t="s">
        <v>30</v>
      </c>
      <c r="E198" t="s">
        <v>15</v>
      </c>
      <c r="F198" t="s">
        <v>58</v>
      </c>
      <c r="G198" t="s">
        <v>126</v>
      </c>
      <c r="H198">
        <v>1</v>
      </c>
      <c r="I198">
        <v>5489</v>
      </c>
      <c r="J198">
        <v>0.15</v>
      </c>
      <c r="K198">
        <v>4665.6499999999996</v>
      </c>
      <c r="L198">
        <v>912.96</v>
      </c>
      <c r="M198" t="str">
        <f t="shared" si="27"/>
        <v>Bookshelf</v>
      </c>
      <c r="N198" t="str">
        <f t="shared" si="28"/>
        <v>Delhi</v>
      </c>
      <c r="O198" t="str">
        <f t="shared" si="29"/>
        <v>North</v>
      </c>
      <c r="P198" t="str">
        <f t="shared" si="30"/>
        <v>Furniture</v>
      </c>
      <c r="Q198" t="str">
        <f t="shared" si="31"/>
        <v>Furniture</v>
      </c>
      <c r="R198" t="str">
        <f t="shared" si="32"/>
        <v>North</v>
      </c>
      <c r="S198" t="str">
        <f t="shared" si="33"/>
        <v>Delhi</v>
      </c>
      <c r="T198">
        <f t="shared" si="34"/>
        <v>4665.6499999999996</v>
      </c>
      <c r="U198" t="str">
        <f t="shared" si="35"/>
        <v>OK</v>
      </c>
    </row>
    <row r="199" spans="1:21" x14ac:dyDescent="0.3">
      <c r="A199" t="s">
        <v>373</v>
      </c>
      <c r="B199" s="3">
        <v>46010</v>
      </c>
      <c r="C199" t="s">
        <v>141</v>
      </c>
      <c r="D199" t="s">
        <v>72</v>
      </c>
      <c r="E199" t="s">
        <v>73</v>
      </c>
      <c r="F199" t="s">
        <v>21</v>
      </c>
      <c r="G199" t="s">
        <v>35</v>
      </c>
      <c r="H199">
        <v>2</v>
      </c>
      <c r="I199">
        <v>631</v>
      </c>
      <c r="J199">
        <v>0.05</v>
      </c>
      <c r="K199">
        <v>1198.9000000000001</v>
      </c>
      <c r="L199">
        <v>178.29</v>
      </c>
      <c r="M199" t="str">
        <f t="shared" si="27"/>
        <v>Desk Organizer</v>
      </c>
      <c r="N199" t="str">
        <f t="shared" si="28"/>
        <v>Mumbai</v>
      </c>
      <c r="O199" t="str">
        <f t="shared" si="29"/>
        <v>West</v>
      </c>
      <c r="P199" t="str">
        <f t="shared" si="30"/>
        <v>Office Supplies</v>
      </c>
      <c r="Q199" t="str">
        <f t="shared" si="31"/>
        <v>Office Supplies</v>
      </c>
      <c r="R199" t="str">
        <f t="shared" si="32"/>
        <v>West</v>
      </c>
      <c r="S199" t="str">
        <f t="shared" si="33"/>
        <v>Mumbai</v>
      </c>
      <c r="T199">
        <f t="shared" si="34"/>
        <v>1198.8999999999999</v>
      </c>
      <c r="U199" t="str">
        <f t="shared" si="35"/>
        <v>OK</v>
      </c>
    </row>
    <row r="200" spans="1:21" x14ac:dyDescent="0.3">
      <c r="A200" t="s">
        <v>374</v>
      </c>
      <c r="B200" s="3">
        <v>45684</v>
      </c>
      <c r="C200" t="s">
        <v>358</v>
      </c>
      <c r="D200" t="s">
        <v>25</v>
      </c>
      <c r="E200" t="s">
        <v>26</v>
      </c>
      <c r="F200" t="s">
        <v>21</v>
      </c>
      <c r="G200" t="s">
        <v>35</v>
      </c>
      <c r="H200">
        <v>2</v>
      </c>
      <c r="I200">
        <v>9254</v>
      </c>
      <c r="J200">
        <v>0.1</v>
      </c>
      <c r="K200">
        <v>16657.2</v>
      </c>
      <c r="L200">
        <v>3598.39</v>
      </c>
      <c r="M200" t="str">
        <f t="shared" si="27"/>
        <v>Microwave</v>
      </c>
      <c r="N200" t="str">
        <f t="shared" si="28"/>
        <v>Mumbai</v>
      </c>
      <c r="O200" t="str">
        <f t="shared" si="29"/>
        <v>West</v>
      </c>
      <c r="P200" t="str">
        <f t="shared" si="30"/>
        <v>Home Appliances</v>
      </c>
      <c r="Q200" t="str">
        <f t="shared" si="31"/>
        <v>Home Appliances</v>
      </c>
      <c r="R200" t="str">
        <f t="shared" si="32"/>
        <v>West</v>
      </c>
      <c r="S200" t="str">
        <f t="shared" si="33"/>
        <v>Mumbai</v>
      </c>
      <c r="T200">
        <f t="shared" si="34"/>
        <v>16657.2</v>
      </c>
      <c r="U200" t="str">
        <f t="shared" si="35"/>
        <v>OK</v>
      </c>
    </row>
    <row r="201" spans="1:21" x14ac:dyDescent="0.3">
      <c r="A201" t="s">
        <v>375</v>
      </c>
      <c r="B201" s="3">
        <v>45787</v>
      </c>
      <c r="C201" t="s">
        <v>376</v>
      </c>
      <c r="D201" t="s">
        <v>30</v>
      </c>
      <c r="E201" t="s">
        <v>15</v>
      </c>
      <c r="F201" t="s">
        <v>27</v>
      </c>
      <c r="G201" t="s">
        <v>40</v>
      </c>
      <c r="H201">
        <v>5</v>
      </c>
      <c r="I201">
        <v>10787</v>
      </c>
      <c r="J201">
        <v>0.1</v>
      </c>
      <c r="K201">
        <v>48541.5</v>
      </c>
      <c r="L201">
        <v>10976.69</v>
      </c>
      <c r="M201" t="str">
        <f t="shared" si="27"/>
        <v>Bookshelf</v>
      </c>
      <c r="N201" t="str">
        <f t="shared" si="28"/>
        <v>Chennai</v>
      </c>
      <c r="O201" t="str">
        <f t="shared" si="29"/>
        <v>South</v>
      </c>
      <c r="P201" t="str">
        <f t="shared" si="30"/>
        <v>Furniture</v>
      </c>
      <c r="Q201" t="str">
        <f t="shared" si="31"/>
        <v>Furniture</v>
      </c>
      <c r="R201" t="str">
        <f t="shared" si="32"/>
        <v>South</v>
      </c>
      <c r="S201" t="str">
        <f t="shared" si="33"/>
        <v>Chennai</v>
      </c>
      <c r="T201">
        <f t="shared" si="34"/>
        <v>48541.5</v>
      </c>
      <c r="U201" t="str">
        <f t="shared" si="35"/>
        <v>OK</v>
      </c>
    </row>
    <row r="202" spans="1:21" x14ac:dyDescent="0.3">
      <c r="A202" t="s">
        <v>377</v>
      </c>
      <c r="B202" s="3">
        <v>45693</v>
      </c>
      <c r="C202" t="s">
        <v>178</v>
      </c>
      <c r="D202" t="s">
        <v>34</v>
      </c>
      <c r="E202" t="s">
        <v>15</v>
      </c>
      <c r="F202" t="s">
        <v>21</v>
      </c>
      <c r="G202" t="s">
        <v>55</v>
      </c>
      <c r="H202">
        <v>5</v>
      </c>
      <c r="I202">
        <v>18429</v>
      </c>
      <c r="J202">
        <v>0.15</v>
      </c>
      <c r="K202">
        <v>78323.25</v>
      </c>
      <c r="L202">
        <v>8936.34</v>
      </c>
      <c r="M202" t="str">
        <f t="shared" si="27"/>
        <v>Desk</v>
      </c>
      <c r="N202" t="str">
        <f t="shared" si="28"/>
        <v>Pune</v>
      </c>
      <c r="O202" t="str">
        <f t="shared" si="29"/>
        <v>West</v>
      </c>
      <c r="P202" t="str">
        <f t="shared" si="30"/>
        <v>Furniture</v>
      </c>
      <c r="Q202" t="str">
        <f t="shared" si="31"/>
        <v>Furniture</v>
      </c>
      <c r="R202" t="str">
        <f t="shared" si="32"/>
        <v>West</v>
      </c>
      <c r="S202" t="str">
        <f t="shared" si="33"/>
        <v>Pune</v>
      </c>
      <c r="T202">
        <f t="shared" si="34"/>
        <v>78323.25</v>
      </c>
      <c r="U202" t="str">
        <f t="shared" si="35"/>
        <v>OK</v>
      </c>
    </row>
    <row r="203" spans="1:21" x14ac:dyDescent="0.3">
      <c r="A203" t="s">
        <v>378</v>
      </c>
      <c r="B203" s="3">
        <v>45793</v>
      </c>
      <c r="C203" t="s">
        <v>54</v>
      </c>
      <c r="D203" t="s">
        <v>80</v>
      </c>
      <c r="E203" t="s">
        <v>51</v>
      </c>
      <c r="F203" t="s">
        <v>16</v>
      </c>
      <c r="G203" t="s">
        <v>52</v>
      </c>
      <c r="H203">
        <v>3</v>
      </c>
      <c r="I203">
        <v>82087</v>
      </c>
      <c r="J203">
        <v>0.05</v>
      </c>
      <c r="K203">
        <v>233947.95</v>
      </c>
      <c r="L203">
        <v>37399.660000000003</v>
      </c>
      <c r="M203" t="str">
        <f t="shared" si="27"/>
        <v>Laptop</v>
      </c>
      <c r="N203" t="str">
        <f t="shared" si="28"/>
        <v>Kolkata</v>
      </c>
      <c r="O203" t="str">
        <f t="shared" si="29"/>
        <v>East</v>
      </c>
      <c r="P203" t="str">
        <f t="shared" si="30"/>
        <v>Electronics</v>
      </c>
      <c r="Q203" t="str">
        <f t="shared" si="31"/>
        <v>Electronics</v>
      </c>
      <c r="R203" t="str">
        <f t="shared" si="32"/>
        <v>East</v>
      </c>
      <c r="S203" t="str">
        <f t="shared" si="33"/>
        <v>Kolkata</v>
      </c>
      <c r="T203">
        <f t="shared" si="34"/>
        <v>233947.94999999998</v>
      </c>
      <c r="U203" t="str">
        <f t="shared" si="35"/>
        <v>OK</v>
      </c>
    </row>
    <row r="204" spans="1:21" x14ac:dyDescent="0.3">
      <c r="A204" t="s">
        <v>379</v>
      </c>
      <c r="B204" s="3">
        <v>45778</v>
      </c>
      <c r="C204" t="s">
        <v>270</v>
      </c>
      <c r="D204" t="s">
        <v>120</v>
      </c>
      <c r="E204" t="s">
        <v>51</v>
      </c>
      <c r="F204" t="s">
        <v>21</v>
      </c>
      <c r="G204" t="s">
        <v>35</v>
      </c>
      <c r="H204">
        <v>2</v>
      </c>
      <c r="I204">
        <v>567</v>
      </c>
      <c r="J204">
        <v>0.05</v>
      </c>
      <c r="K204">
        <v>1077.3</v>
      </c>
      <c r="L204">
        <v>255.95</v>
      </c>
      <c r="M204" t="str">
        <f t="shared" si="27"/>
        <v>Mouse</v>
      </c>
      <c r="N204" t="str">
        <f t="shared" si="28"/>
        <v>Mumbai</v>
      </c>
      <c r="O204" t="str">
        <f t="shared" si="29"/>
        <v>West</v>
      </c>
      <c r="P204" t="str">
        <f t="shared" si="30"/>
        <v>Electronics</v>
      </c>
      <c r="Q204" t="str">
        <f t="shared" si="31"/>
        <v>Electronics</v>
      </c>
      <c r="R204" t="str">
        <f t="shared" si="32"/>
        <v>West</v>
      </c>
      <c r="S204" t="str">
        <f t="shared" si="33"/>
        <v>Mumbai</v>
      </c>
      <c r="T204">
        <f t="shared" si="34"/>
        <v>1077.3</v>
      </c>
      <c r="U204" t="str">
        <f t="shared" si="35"/>
        <v>OK</v>
      </c>
    </row>
    <row r="205" spans="1:21" x14ac:dyDescent="0.3">
      <c r="A205" t="s">
        <v>380</v>
      </c>
      <c r="B205" s="3">
        <v>45799</v>
      </c>
      <c r="C205" t="s">
        <v>37</v>
      </c>
      <c r="D205" t="s">
        <v>120</v>
      </c>
      <c r="E205" t="s">
        <v>51</v>
      </c>
      <c r="F205" t="s">
        <v>27</v>
      </c>
      <c r="G205" t="s">
        <v>40</v>
      </c>
      <c r="H205">
        <v>1</v>
      </c>
      <c r="I205">
        <v>809</v>
      </c>
      <c r="J205">
        <v>0.05</v>
      </c>
      <c r="K205">
        <v>768.55</v>
      </c>
      <c r="L205">
        <v>120.03</v>
      </c>
      <c r="M205" t="str">
        <f t="shared" si="27"/>
        <v>Mouse</v>
      </c>
      <c r="N205" t="str">
        <f t="shared" si="28"/>
        <v>Chennai</v>
      </c>
      <c r="O205" t="str">
        <f t="shared" si="29"/>
        <v>South</v>
      </c>
      <c r="P205" t="str">
        <f t="shared" si="30"/>
        <v>Electronics</v>
      </c>
      <c r="Q205" t="str">
        <f t="shared" si="31"/>
        <v>Electronics</v>
      </c>
      <c r="R205" t="str">
        <f t="shared" si="32"/>
        <v>South</v>
      </c>
      <c r="S205" t="str">
        <f t="shared" si="33"/>
        <v>Chennai</v>
      </c>
      <c r="T205">
        <f t="shared" si="34"/>
        <v>768.55</v>
      </c>
      <c r="U205" t="str">
        <f t="shared" si="35"/>
        <v>OK</v>
      </c>
    </row>
    <row r="206" spans="1:21" x14ac:dyDescent="0.3">
      <c r="A206" t="s">
        <v>381</v>
      </c>
      <c r="B206" s="3">
        <v>45980</v>
      </c>
      <c r="C206" t="s">
        <v>382</v>
      </c>
      <c r="D206" t="s">
        <v>97</v>
      </c>
      <c r="E206" t="s">
        <v>44</v>
      </c>
      <c r="F206" t="s">
        <v>58</v>
      </c>
      <c r="G206" t="s">
        <v>59</v>
      </c>
      <c r="H206">
        <v>1</v>
      </c>
      <c r="I206">
        <v>675</v>
      </c>
      <c r="J206">
        <v>0.1</v>
      </c>
      <c r="K206">
        <v>607.5</v>
      </c>
      <c r="L206">
        <v>111.26</v>
      </c>
      <c r="M206" t="str">
        <f t="shared" si="27"/>
        <v>USB Cable</v>
      </c>
      <c r="N206" t="str">
        <f t="shared" si="28"/>
        <v>Chandigarh</v>
      </c>
      <c r="O206" t="str">
        <f t="shared" si="29"/>
        <v>North</v>
      </c>
      <c r="P206" t="str">
        <f t="shared" si="30"/>
        <v>Accessories</v>
      </c>
      <c r="Q206" t="str">
        <f t="shared" si="31"/>
        <v>Accessories</v>
      </c>
      <c r="R206" t="str">
        <f t="shared" si="32"/>
        <v>North</v>
      </c>
      <c r="S206" t="str">
        <f t="shared" si="33"/>
        <v>Chandigarh</v>
      </c>
      <c r="T206">
        <f t="shared" si="34"/>
        <v>607.5</v>
      </c>
      <c r="U206" t="str">
        <f t="shared" si="35"/>
        <v>OK</v>
      </c>
    </row>
    <row r="207" spans="1:21" x14ac:dyDescent="0.3">
      <c r="A207" t="s">
        <v>383</v>
      </c>
      <c r="B207" s="3">
        <v>45901</v>
      </c>
      <c r="C207" t="s">
        <v>136</v>
      </c>
      <c r="D207" t="s">
        <v>88</v>
      </c>
      <c r="E207" t="s">
        <v>73</v>
      </c>
      <c r="F207" t="s">
        <v>27</v>
      </c>
      <c r="G207" t="s">
        <v>28</v>
      </c>
      <c r="H207">
        <v>1</v>
      </c>
      <c r="I207">
        <v>565</v>
      </c>
      <c r="J207">
        <v>0</v>
      </c>
      <c r="K207">
        <v>565</v>
      </c>
      <c r="L207">
        <v>137.57</v>
      </c>
      <c r="M207" t="str">
        <f t="shared" si="27"/>
        <v>Stapler</v>
      </c>
      <c r="N207" t="str">
        <f t="shared" si="28"/>
        <v>Bengaluru</v>
      </c>
      <c r="O207" t="str">
        <f t="shared" si="29"/>
        <v>South</v>
      </c>
      <c r="P207" t="str">
        <f t="shared" si="30"/>
        <v>Office Supplies</v>
      </c>
      <c r="Q207" t="str">
        <f t="shared" si="31"/>
        <v>Office Supplies</v>
      </c>
      <c r="R207" t="str">
        <f t="shared" si="32"/>
        <v>South</v>
      </c>
      <c r="S207" t="str">
        <f t="shared" si="33"/>
        <v>Bengaluru</v>
      </c>
      <c r="T207">
        <f t="shared" si="34"/>
        <v>565</v>
      </c>
      <c r="U207" t="str">
        <f t="shared" si="35"/>
        <v>OK</v>
      </c>
    </row>
    <row r="208" spans="1:21" x14ac:dyDescent="0.3">
      <c r="A208" t="s">
        <v>384</v>
      </c>
      <c r="B208" s="3">
        <v>45791</v>
      </c>
      <c r="C208" t="s">
        <v>382</v>
      </c>
      <c r="D208" t="s">
        <v>307</v>
      </c>
      <c r="E208" t="s">
        <v>73</v>
      </c>
      <c r="F208" t="s">
        <v>27</v>
      </c>
      <c r="G208" t="s">
        <v>40</v>
      </c>
      <c r="H208">
        <v>1</v>
      </c>
      <c r="I208">
        <v>158</v>
      </c>
      <c r="J208">
        <v>0.15</v>
      </c>
      <c r="K208">
        <v>134.30000000000001</v>
      </c>
      <c r="L208">
        <v>19.41</v>
      </c>
      <c r="M208" t="str">
        <f t="shared" si="27"/>
        <v>Notebook</v>
      </c>
      <c r="N208" t="str">
        <f t="shared" si="28"/>
        <v>Chennai</v>
      </c>
      <c r="O208" t="str">
        <f t="shared" si="29"/>
        <v>South</v>
      </c>
      <c r="P208" t="str">
        <f t="shared" si="30"/>
        <v>Office Supplies</v>
      </c>
      <c r="Q208" t="str">
        <f t="shared" si="31"/>
        <v>Office Supplies</v>
      </c>
      <c r="R208" t="str">
        <f t="shared" si="32"/>
        <v>South</v>
      </c>
      <c r="S208" t="str">
        <f t="shared" si="33"/>
        <v>Chennai</v>
      </c>
      <c r="T208">
        <f t="shared" si="34"/>
        <v>134.29999999999998</v>
      </c>
      <c r="U208" t="str">
        <f t="shared" si="35"/>
        <v>OK</v>
      </c>
    </row>
    <row r="209" spans="1:21" x14ac:dyDescent="0.3">
      <c r="A209" t="s">
        <v>385</v>
      </c>
      <c r="B209" s="3">
        <v>45863</v>
      </c>
      <c r="C209" t="s">
        <v>354</v>
      </c>
      <c r="D209" t="s">
        <v>92</v>
      </c>
      <c r="E209" t="s">
        <v>51</v>
      </c>
      <c r="F209" t="s">
        <v>16</v>
      </c>
      <c r="G209" t="s">
        <v>104</v>
      </c>
      <c r="H209">
        <v>5</v>
      </c>
      <c r="I209">
        <v>19256</v>
      </c>
      <c r="J209">
        <v>0.15</v>
      </c>
      <c r="K209">
        <v>81838</v>
      </c>
      <c r="L209">
        <v>8716.15</v>
      </c>
      <c r="M209" t="str">
        <f t="shared" si="27"/>
        <v>Monitor</v>
      </c>
      <c r="N209" t="str">
        <f t="shared" si="28"/>
        <v>Bhubaneswar</v>
      </c>
      <c r="O209" t="str">
        <f t="shared" si="29"/>
        <v>East</v>
      </c>
      <c r="P209" t="str">
        <f t="shared" si="30"/>
        <v>Electronics</v>
      </c>
      <c r="Q209" t="str">
        <f t="shared" si="31"/>
        <v>Electronics</v>
      </c>
      <c r="R209" t="str">
        <f t="shared" si="32"/>
        <v>East</v>
      </c>
      <c r="S209" t="str">
        <f t="shared" si="33"/>
        <v>Bhubaneswar</v>
      </c>
      <c r="T209">
        <f t="shared" si="34"/>
        <v>81838</v>
      </c>
      <c r="U209" t="str">
        <f t="shared" si="35"/>
        <v>OK</v>
      </c>
    </row>
    <row r="210" spans="1:21" x14ac:dyDescent="0.3">
      <c r="A210" t="s">
        <v>386</v>
      </c>
      <c r="B210" s="3">
        <v>45767</v>
      </c>
      <c r="C210" t="s">
        <v>208</v>
      </c>
      <c r="D210" t="s">
        <v>30</v>
      </c>
      <c r="E210" t="s">
        <v>15</v>
      </c>
      <c r="F210" t="s">
        <v>27</v>
      </c>
      <c r="G210" t="s">
        <v>28</v>
      </c>
      <c r="H210">
        <v>4</v>
      </c>
      <c r="I210">
        <v>12379</v>
      </c>
      <c r="J210">
        <v>0.05</v>
      </c>
      <c r="K210">
        <v>47040.2</v>
      </c>
      <c r="L210">
        <v>12727.17</v>
      </c>
      <c r="M210" t="str">
        <f t="shared" si="27"/>
        <v>Bookshelf</v>
      </c>
      <c r="N210" t="str">
        <f t="shared" si="28"/>
        <v>Bengaluru</v>
      </c>
      <c r="O210" t="str">
        <f t="shared" si="29"/>
        <v>South</v>
      </c>
      <c r="P210" t="str">
        <f t="shared" si="30"/>
        <v>Furniture</v>
      </c>
      <c r="Q210" t="str">
        <f t="shared" si="31"/>
        <v>Furniture</v>
      </c>
      <c r="R210" t="str">
        <f t="shared" si="32"/>
        <v>South</v>
      </c>
      <c r="S210" t="str">
        <f t="shared" si="33"/>
        <v>Bengaluru</v>
      </c>
      <c r="T210">
        <f t="shared" si="34"/>
        <v>47040.2</v>
      </c>
      <c r="U210" t="str">
        <f t="shared" si="35"/>
        <v>OK</v>
      </c>
    </row>
    <row r="211" spans="1:21" x14ac:dyDescent="0.3">
      <c r="A211" t="s">
        <v>387</v>
      </c>
      <c r="B211" s="3">
        <v>45682</v>
      </c>
      <c r="C211" t="s">
        <v>33</v>
      </c>
      <c r="D211" t="s">
        <v>103</v>
      </c>
      <c r="E211" t="s">
        <v>51</v>
      </c>
      <c r="F211" t="s">
        <v>27</v>
      </c>
      <c r="G211" t="s">
        <v>28</v>
      </c>
      <c r="H211">
        <v>1</v>
      </c>
      <c r="I211">
        <v>1824</v>
      </c>
      <c r="J211">
        <v>0.15</v>
      </c>
      <c r="K211">
        <v>1550.4</v>
      </c>
      <c r="L211">
        <v>161.87</v>
      </c>
      <c r="M211" t="str">
        <f t="shared" si="27"/>
        <v>Headphones</v>
      </c>
      <c r="N211" t="str">
        <f t="shared" si="28"/>
        <v>Bengaluru</v>
      </c>
      <c r="O211" t="str">
        <f t="shared" si="29"/>
        <v>South</v>
      </c>
      <c r="P211" t="str">
        <f t="shared" si="30"/>
        <v>Electronics</v>
      </c>
      <c r="Q211" t="str">
        <f t="shared" si="31"/>
        <v>Electronics</v>
      </c>
      <c r="R211" t="str">
        <f t="shared" si="32"/>
        <v>South</v>
      </c>
      <c r="S211" t="str">
        <f t="shared" si="33"/>
        <v>Bengaluru</v>
      </c>
      <c r="T211">
        <f t="shared" si="34"/>
        <v>1550.3999999999999</v>
      </c>
      <c r="U211" t="str">
        <f t="shared" si="35"/>
        <v>OK</v>
      </c>
    </row>
    <row r="212" spans="1:21" x14ac:dyDescent="0.3">
      <c r="A212" t="s">
        <v>388</v>
      </c>
      <c r="B212" s="3">
        <v>45973</v>
      </c>
      <c r="C212" t="s">
        <v>389</v>
      </c>
      <c r="D212" t="s">
        <v>34</v>
      </c>
      <c r="E212" t="s">
        <v>15</v>
      </c>
      <c r="F212" t="s">
        <v>21</v>
      </c>
      <c r="G212" t="s">
        <v>55</v>
      </c>
      <c r="H212">
        <v>3</v>
      </c>
      <c r="I212">
        <v>7006</v>
      </c>
      <c r="J212">
        <v>0</v>
      </c>
      <c r="K212">
        <v>21018</v>
      </c>
      <c r="L212">
        <v>4214.33</v>
      </c>
      <c r="M212" t="str">
        <f t="shared" si="27"/>
        <v>Desk</v>
      </c>
      <c r="N212" t="str">
        <f t="shared" si="28"/>
        <v>Pune</v>
      </c>
      <c r="O212" t="str">
        <f t="shared" si="29"/>
        <v>West</v>
      </c>
      <c r="P212" t="str">
        <f t="shared" si="30"/>
        <v>Furniture</v>
      </c>
      <c r="Q212" t="str">
        <f t="shared" si="31"/>
        <v>Furniture</v>
      </c>
      <c r="R212" t="str">
        <f t="shared" si="32"/>
        <v>West</v>
      </c>
      <c r="S212" t="str">
        <f t="shared" si="33"/>
        <v>Pune</v>
      </c>
      <c r="T212">
        <f t="shared" si="34"/>
        <v>21018</v>
      </c>
      <c r="U212" t="str">
        <f t="shared" si="35"/>
        <v>OK</v>
      </c>
    </row>
    <row r="213" spans="1:21" x14ac:dyDescent="0.3">
      <c r="A213" t="s">
        <v>390</v>
      </c>
      <c r="B213" s="3">
        <v>45923</v>
      </c>
      <c r="C213" t="s">
        <v>391</v>
      </c>
      <c r="D213" t="s">
        <v>50</v>
      </c>
      <c r="E213" t="s">
        <v>51</v>
      </c>
      <c r="F213" t="s">
        <v>58</v>
      </c>
      <c r="G213" t="s">
        <v>59</v>
      </c>
      <c r="H213">
        <v>1</v>
      </c>
      <c r="I213">
        <v>2108</v>
      </c>
      <c r="J213">
        <v>0.15</v>
      </c>
      <c r="K213">
        <v>1791.8</v>
      </c>
      <c r="L213">
        <v>365.35</v>
      </c>
      <c r="M213" t="str">
        <f t="shared" si="27"/>
        <v>Keyboard</v>
      </c>
      <c r="N213" t="str">
        <f t="shared" si="28"/>
        <v>Chandigarh</v>
      </c>
      <c r="O213" t="str">
        <f t="shared" si="29"/>
        <v>North</v>
      </c>
      <c r="P213" t="str">
        <f t="shared" si="30"/>
        <v>Electronics</v>
      </c>
      <c r="Q213" t="str">
        <f t="shared" si="31"/>
        <v>Electronics</v>
      </c>
      <c r="R213" t="str">
        <f t="shared" si="32"/>
        <v>North</v>
      </c>
      <c r="S213" t="str">
        <f t="shared" si="33"/>
        <v>Chandigarh</v>
      </c>
      <c r="T213">
        <f t="shared" si="34"/>
        <v>1791.8</v>
      </c>
      <c r="U213" t="str">
        <f t="shared" si="35"/>
        <v>OK</v>
      </c>
    </row>
    <row r="214" spans="1:21" x14ac:dyDescent="0.3">
      <c r="A214" t="s">
        <v>392</v>
      </c>
      <c r="B214" s="3">
        <v>45920</v>
      </c>
      <c r="C214" t="s">
        <v>234</v>
      </c>
      <c r="D214" t="s">
        <v>103</v>
      </c>
      <c r="E214" t="s">
        <v>51</v>
      </c>
      <c r="F214" t="s">
        <v>58</v>
      </c>
      <c r="G214" t="s">
        <v>69</v>
      </c>
      <c r="H214">
        <v>2</v>
      </c>
      <c r="I214">
        <v>1686</v>
      </c>
      <c r="J214">
        <v>0.1</v>
      </c>
      <c r="K214">
        <v>3034.8</v>
      </c>
      <c r="L214">
        <v>847.74</v>
      </c>
      <c r="M214" t="str">
        <f t="shared" si="27"/>
        <v>Headphones</v>
      </c>
      <c r="N214" t="str">
        <f t="shared" si="28"/>
        <v>Jaipur</v>
      </c>
      <c r="O214" t="str">
        <f t="shared" si="29"/>
        <v>North</v>
      </c>
      <c r="P214" t="str">
        <f t="shared" si="30"/>
        <v>Electronics</v>
      </c>
      <c r="Q214" t="str">
        <f t="shared" si="31"/>
        <v>Electronics</v>
      </c>
      <c r="R214" t="str">
        <f t="shared" si="32"/>
        <v>North</v>
      </c>
      <c r="S214" t="str">
        <f t="shared" si="33"/>
        <v>Jaipur</v>
      </c>
      <c r="T214">
        <f t="shared" si="34"/>
        <v>3034.8</v>
      </c>
      <c r="U214" t="str">
        <f t="shared" si="35"/>
        <v>OK</v>
      </c>
    </row>
    <row r="215" spans="1:21" x14ac:dyDescent="0.3">
      <c r="A215" t="s">
        <v>393</v>
      </c>
      <c r="B215" s="3">
        <v>45965</v>
      </c>
      <c r="C215" t="s">
        <v>394</v>
      </c>
      <c r="D215" t="s">
        <v>120</v>
      </c>
      <c r="E215" t="s">
        <v>51</v>
      </c>
      <c r="F215" t="s">
        <v>21</v>
      </c>
      <c r="G215" t="s">
        <v>35</v>
      </c>
      <c r="H215">
        <v>2</v>
      </c>
      <c r="I215">
        <v>1926</v>
      </c>
      <c r="J215">
        <v>0.15</v>
      </c>
      <c r="K215">
        <v>3274.2</v>
      </c>
      <c r="L215">
        <v>780.63</v>
      </c>
      <c r="M215" t="str">
        <f t="shared" si="27"/>
        <v>Mouse</v>
      </c>
      <c r="N215" t="str">
        <f t="shared" si="28"/>
        <v>Mumbai</v>
      </c>
      <c r="O215" t="str">
        <f t="shared" si="29"/>
        <v>West</v>
      </c>
      <c r="P215" t="str">
        <f t="shared" si="30"/>
        <v>Electronics</v>
      </c>
      <c r="Q215" t="str">
        <f t="shared" si="31"/>
        <v>Electronics</v>
      </c>
      <c r="R215" t="str">
        <f t="shared" si="32"/>
        <v>West</v>
      </c>
      <c r="S215" t="str">
        <f t="shared" si="33"/>
        <v>Mumbai</v>
      </c>
      <c r="T215">
        <f t="shared" si="34"/>
        <v>3274.2</v>
      </c>
      <c r="U215" t="str">
        <f t="shared" si="35"/>
        <v>OK</v>
      </c>
    </row>
    <row r="216" spans="1:21" x14ac:dyDescent="0.3">
      <c r="A216" t="s">
        <v>395</v>
      </c>
      <c r="B216" s="3">
        <v>45749</v>
      </c>
      <c r="C216" t="s">
        <v>260</v>
      </c>
      <c r="D216" t="s">
        <v>153</v>
      </c>
      <c r="E216" t="s">
        <v>26</v>
      </c>
      <c r="F216" t="s">
        <v>16</v>
      </c>
      <c r="G216" t="s">
        <v>17</v>
      </c>
      <c r="H216">
        <v>2</v>
      </c>
      <c r="I216">
        <v>3827</v>
      </c>
      <c r="J216">
        <v>0.05</v>
      </c>
      <c r="K216">
        <v>7271.3</v>
      </c>
      <c r="L216">
        <v>1983.35</v>
      </c>
      <c r="M216" t="str">
        <f t="shared" si="27"/>
        <v>Coffee Maker</v>
      </c>
      <c r="N216" t="str">
        <f t="shared" si="28"/>
        <v>Guwahati</v>
      </c>
      <c r="O216" t="str">
        <f t="shared" si="29"/>
        <v>East</v>
      </c>
      <c r="P216" t="str">
        <f t="shared" si="30"/>
        <v>Home Appliances</v>
      </c>
      <c r="Q216" t="str">
        <f t="shared" si="31"/>
        <v>Home Appliances</v>
      </c>
      <c r="R216" t="str">
        <f t="shared" si="32"/>
        <v>East</v>
      </c>
      <c r="S216" t="str">
        <f t="shared" si="33"/>
        <v>Guwahati</v>
      </c>
      <c r="T216">
        <f t="shared" si="34"/>
        <v>7271.2999999999993</v>
      </c>
      <c r="U216" t="str">
        <f t="shared" si="35"/>
        <v>OK</v>
      </c>
    </row>
    <row r="217" spans="1:21" x14ac:dyDescent="0.3">
      <c r="A217" t="s">
        <v>396</v>
      </c>
      <c r="B217" s="3">
        <v>45736</v>
      </c>
      <c r="C217" t="s">
        <v>141</v>
      </c>
      <c r="D217" t="s">
        <v>103</v>
      </c>
      <c r="E217" t="s">
        <v>51</v>
      </c>
      <c r="F217" t="s">
        <v>27</v>
      </c>
      <c r="G217" t="s">
        <v>40</v>
      </c>
      <c r="H217">
        <v>2</v>
      </c>
      <c r="I217">
        <v>6512</v>
      </c>
      <c r="J217">
        <v>0</v>
      </c>
      <c r="K217">
        <v>13024</v>
      </c>
      <c r="L217">
        <v>2654.16</v>
      </c>
      <c r="M217" t="str">
        <f t="shared" si="27"/>
        <v>Headphones</v>
      </c>
      <c r="N217" t="str">
        <f t="shared" si="28"/>
        <v>Chennai</v>
      </c>
      <c r="O217" t="str">
        <f t="shared" si="29"/>
        <v>South</v>
      </c>
      <c r="P217" t="str">
        <f t="shared" si="30"/>
        <v>Electronics</v>
      </c>
      <c r="Q217" t="str">
        <f t="shared" si="31"/>
        <v>Electronics</v>
      </c>
      <c r="R217" t="str">
        <f t="shared" si="32"/>
        <v>South</v>
      </c>
      <c r="S217" t="str">
        <f t="shared" si="33"/>
        <v>Chennai</v>
      </c>
      <c r="T217">
        <f t="shared" si="34"/>
        <v>13024</v>
      </c>
      <c r="U217" t="str">
        <f t="shared" si="35"/>
        <v>OK</v>
      </c>
    </row>
    <row r="218" spans="1:21" x14ac:dyDescent="0.3">
      <c r="A218" t="s">
        <v>397</v>
      </c>
      <c r="B218" s="3">
        <v>45838</v>
      </c>
      <c r="C218" t="s">
        <v>398</v>
      </c>
      <c r="D218" t="s">
        <v>92</v>
      </c>
      <c r="E218" t="s">
        <v>51</v>
      </c>
      <c r="F218" t="s">
        <v>58</v>
      </c>
      <c r="G218" t="s">
        <v>126</v>
      </c>
      <c r="H218">
        <v>3</v>
      </c>
      <c r="I218">
        <v>24353</v>
      </c>
      <c r="J218">
        <v>0.1</v>
      </c>
      <c r="K218">
        <v>65753.100000000006</v>
      </c>
      <c r="L218">
        <v>6703.35</v>
      </c>
      <c r="M218" t="str">
        <f t="shared" si="27"/>
        <v>Monitor</v>
      </c>
      <c r="N218" t="str">
        <f t="shared" si="28"/>
        <v>Delhi</v>
      </c>
      <c r="O218" t="str">
        <f t="shared" si="29"/>
        <v>North</v>
      </c>
      <c r="P218" t="str">
        <f t="shared" si="30"/>
        <v>Electronics</v>
      </c>
      <c r="Q218" t="str">
        <f t="shared" si="31"/>
        <v>Electronics</v>
      </c>
      <c r="R218" t="str">
        <f t="shared" si="32"/>
        <v>North</v>
      </c>
      <c r="S218" t="str">
        <f t="shared" si="33"/>
        <v>Delhi</v>
      </c>
      <c r="T218">
        <f t="shared" si="34"/>
        <v>65753.100000000006</v>
      </c>
      <c r="U218" t="str">
        <f t="shared" si="35"/>
        <v>OK</v>
      </c>
    </row>
    <row r="219" spans="1:21" x14ac:dyDescent="0.3">
      <c r="A219" t="s">
        <v>399</v>
      </c>
      <c r="B219" s="3">
        <v>45774</v>
      </c>
      <c r="C219" t="s">
        <v>223</v>
      </c>
      <c r="D219" t="s">
        <v>20</v>
      </c>
      <c r="E219" t="s">
        <v>15</v>
      </c>
      <c r="F219" t="s">
        <v>21</v>
      </c>
      <c r="G219" t="s">
        <v>22</v>
      </c>
      <c r="H219">
        <v>2</v>
      </c>
      <c r="I219">
        <v>6651</v>
      </c>
      <c r="J219">
        <v>0.05</v>
      </c>
      <c r="K219">
        <v>12636.9</v>
      </c>
      <c r="L219">
        <v>2874.53</v>
      </c>
      <c r="M219" t="str">
        <f t="shared" si="27"/>
        <v>Filing Cabinet</v>
      </c>
      <c r="N219" t="str">
        <f t="shared" si="28"/>
        <v>Ahmedabad</v>
      </c>
      <c r="O219" t="str">
        <f t="shared" si="29"/>
        <v>West</v>
      </c>
      <c r="P219" t="str">
        <f t="shared" si="30"/>
        <v>Furniture</v>
      </c>
      <c r="Q219" t="str">
        <f t="shared" si="31"/>
        <v>Furniture</v>
      </c>
      <c r="R219" t="str">
        <f t="shared" si="32"/>
        <v>West</v>
      </c>
      <c r="S219" t="str">
        <f t="shared" si="33"/>
        <v>Ahmedabad</v>
      </c>
      <c r="T219">
        <f t="shared" si="34"/>
        <v>12636.9</v>
      </c>
      <c r="U219" t="str">
        <f t="shared" si="35"/>
        <v>OK</v>
      </c>
    </row>
    <row r="220" spans="1:21" x14ac:dyDescent="0.3">
      <c r="A220" t="s">
        <v>400</v>
      </c>
      <c r="B220" s="3">
        <v>45770</v>
      </c>
      <c r="C220" t="s">
        <v>401</v>
      </c>
      <c r="D220" t="s">
        <v>68</v>
      </c>
      <c r="E220" t="s">
        <v>44</v>
      </c>
      <c r="F220" t="s">
        <v>58</v>
      </c>
      <c r="G220" t="s">
        <v>69</v>
      </c>
      <c r="H220">
        <v>5</v>
      </c>
      <c r="I220">
        <v>6679</v>
      </c>
      <c r="J220">
        <v>0.05</v>
      </c>
      <c r="K220">
        <v>31725.25</v>
      </c>
      <c r="L220">
        <v>6904.27</v>
      </c>
      <c r="M220" t="str">
        <f t="shared" si="27"/>
        <v>Webcam</v>
      </c>
      <c r="N220" t="str">
        <f t="shared" si="28"/>
        <v>Jaipur</v>
      </c>
      <c r="O220" t="str">
        <f t="shared" si="29"/>
        <v>North</v>
      </c>
      <c r="P220" t="str">
        <f t="shared" si="30"/>
        <v>Accessories</v>
      </c>
      <c r="Q220" t="str">
        <f t="shared" si="31"/>
        <v>Accessories</v>
      </c>
      <c r="R220" t="str">
        <f t="shared" si="32"/>
        <v>North</v>
      </c>
      <c r="S220" t="str">
        <f t="shared" si="33"/>
        <v>Jaipur</v>
      </c>
      <c r="T220">
        <f t="shared" si="34"/>
        <v>31725.25</v>
      </c>
      <c r="U220" t="str">
        <f t="shared" si="35"/>
        <v>OK</v>
      </c>
    </row>
    <row r="221" spans="1:21" x14ac:dyDescent="0.3">
      <c r="A221" t="s">
        <v>402</v>
      </c>
      <c r="B221" s="3">
        <v>45971</v>
      </c>
      <c r="C221" t="s">
        <v>403</v>
      </c>
      <c r="D221" t="s">
        <v>80</v>
      </c>
      <c r="E221" t="s">
        <v>51</v>
      </c>
      <c r="F221" t="s">
        <v>27</v>
      </c>
      <c r="G221" t="s">
        <v>40</v>
      </c>
      <c r="H221">
        <v>1</v>
      </c>
      <c r="I221">
        <v>76247</v>
      </c>
      <c r="J221">
        <v>0.15</v>
      </c>
      <c r="K221">
        <v>64809.95</v>
      </c>
      <c r="L221">
        <v>11606.84</v>
      </c>
      <c r="M221" t="str">
        <f t="shared" si="27"/>
        <v>Laptop</v>
      </c>
      <c r="N221" t="str">
        <f t="shared" si="28"/>
        <v>Chennai</v>
      </c>
      <c r="O221" t="str">
        <f t="shared" si="29"/>
        <v>South</v>
      </c>
      <c r="P221" t="str">
        <f t="shared" si="30"/>
        <v>Electronics</v>
      </c>
      <c r="Q221" t="str">
        <f t="shared" si="31"/>
        <v>Electronics</v>
      </c>
      <c r="R221" t="str">
        <f t="shared" si="32"/>
        <v>South</v>
      </c>
      <c r="S221" t="str">
        <f t="shared" si="33"/>
        <v>Chennai</v>
      </c>
      <c r="T221">
        <f t="shared" si="34"/>
        <v>64809.95</v>
      </c>
      <c r="U221" t="str">
        <f t="shared" si="35"/>
        <v>OK</v>
      </c>
    </row>
    <row r="222" spans="1:21" x14ac:dyDescent="0.3">
      <c r="A222" t="s">
        <v>404</v>
      </c>
      <c r="B222" s="3">
        <v>46000</v>
      </c>
      <c r="C222" t="s">
        <v>163</v>
      </c>
      <c r="D222" t="s">
        <v>43</v>
      </c>
      <c r="E222" t="s">
        <v>44</v>
      </c>
      <c r="F222" t="s">
        <v>58</v>
      </c>
      <c r="G222" t="s">
        <v>59</v>
      </c>
      <c r="H222">
        <v>2</v>
      </c>
      <c r="I222">
        <v>480</v>
      </c>
      <c r="J222">
        <v>0.15</v>
      </c>
      <c r="K222">
        <v>816</v>
      </c>
      <c r="L222">
        <v>148.87</v>
      </c>
      <c r="M222" t="str">
        <f t="shared" si="27"/>
        <v>Phone Holder</v>
      </c>
      <c r="N222" t="str">
        <f t="shared" si="28"/>
        <v>Chandigarh</v>
      </c>
      <c r="O222" t="str">
        <f t="shared" si="29"/>
        <v>North</v>
      </c>
      <c r="P222" t="str">
        <f t="shared" si="30"/>
        <v>Accessories</v>
      </c>
      <c r="Q222" t="str">
        <f t="shared" si="31"/>
        <v>Accessories</v>
      </c>
      <c r="R222" t="str">
        <f t="shared" si="32"/>
        <v>North</v>
      </c>
      <c r="S222" t="str">
        <f t="shared" si="33"/>
        <v>Chandigarh</v>
      </c>
      <c r="T222">
        <f t="shared" si="34"/>
        <v>816</v>
      </c>
      <c r="U222" t="str">
        <f t="shared" si="35"/>
        <v>OK</v>
      </c>
    </row>
    <row r="223" spans="1:21" x14ac:dyDescent="0.3">
      <c r="A223" t="s">
        <v>405</v>
      </c>
      <c r="B223" s="3">
        <v>45766</v>
      </c>
      <c r="C223" t="s">
        <v>116</v>
      </c>
      <c r="D223" t="s">
        <v>80</v>
      </c>
      <c r="E223" t="s">
        <v>51</v>
      </c>
      <c r="F223" t="s">
        <v>16</v>
      </c>
      <c r="G223" t="s">
        <v>17</v>
      </c>
      <c r="H223">
        <v>3</v>
      </c>
      <c r="I223">
        <v>49215</v>
      </c>
      <c r="J223">
        <v>0</v>
      </c>
      <c r="K223">
        <v>147645</v>
      </c>
      <c r="L223">
        <v>26829.439999999999</v>
      </c>
      <c r="M223" t="str">
        <f t="shared" si="27"/>
        <v>Laptop</v>
      </c>
      <c r="N223" t="str">
        <f t="shared" si="28"/>
        <v>Guwahati</v>
      </c>
      <c r="O223" t="str">
        <f t="shared" si="29"/>
        <v>East</v>
      </c>
      <c r="P223" t="str">
        <f t="shared" si="30"/>
        <v>Electronics</v>
      </c>
      <c r="Q223" t="str">
        <f t="shared" si="31"/>
        <v>Electronics</v>
      </c>
      <c r="R223" t="str">
        <f t="shared" si="32"/>
        <v>East</v>
      </c>
      <c r="S223" t="str">
        <f t="shared" si="33"/>
        <v>Guwahati</v>
      </c>
      <c r="T223">
        <f t="shared" si="34"/>
        <v>147645</v>
      </c>
      <c r="U223" t="str">
        <f t="shared" si="35"/>
        <v>OK</v>
      </c>
    </row>
    <row r="224" spans="1:21" x14ac:dyDescent="0.3">
      <c r="A224" t="s">
        <v>406</v>
      </c>
      <c r="B224" s="3">
        <v>45868</v>
      </c>
      <c r="C224" t="s">
        <v>407</v>
      </c>
      <c r="D224" t="s">
        <v>65</v>
      </c>
      <c r="E224" t="s">
        <v>26</v>
      </c>
      <c r="F224" t="s">
        <v>16</v>
      </c>
      <c r="G224" t="s">
        <v>17</v>
      </c>
      <c r="H224">
        <v>2</v>
      </c>
      <c r="I224">
        <v>1811</v>
      </c>
      <c r="J224">
        <v>0</v>
      </c>
      <c r="K224">
        <v>3622</v>
      </c>
      <c r="L224">
        <v>361.04</v>
      </c>
      <c r="M224" t="str">
        <f t="shared" si="27"/>
        <v>Electric Kettle</v>
      </c>
      <c r="N224" t="str">
        <f t="shared" si="28"/>
        <v>Guwahati</v>
      </c>
      <c r="O224" t="str">
        <f t="shared" si="29"/>
        <v>East</v>
      </c>
      <c r="P224" t="str">
        <f t="shared" si="30"/>
        <v>Home Appliances</v>
      </c>
      <c r="Q224" t="str">
        <f t="shared" si="31"/>
        <v>Home Appliances</v>
      </c>
      <c r="R224" t="str">
        <f t="shared" si="32"/>
        <v>East</v>
      </c>
      <c r="S224" t="str">
        <f t="shared" si="33"/>
        <v>Guwahati</v>
      </c>
      <c r="T224">
        <f t="shared" si="34"/>
        <v>3622</v>
      </c>
      <c r="U224" t="str">
        <f t="shared" si="35"/>
        <v>OK</v>
      </c>
    </row>
    <row r="225" spans="1:21" x14ac:dyDescent="0.3">
      <c r="A225" t="s">
        <v>408</v>
      </c>
      <c r="B225" s="3">
        <v>45695</v>
      </c>
      <c r="C225" t="s">
        <v>54</v>
      </c>
      <c r="D225" t="s">
        <v>43</v>
      </c>
      <c r="E225" t="s">
        <v>44</v>
      </c>
      <c r="F225" t="s">
        <v>21</v>
      </c>
      <c r="G225" t="s">
        <v>55</v>
      </c>
      <c r="H225">
        <v>1</v>
      </c>
      <c r="I225">
        <v>918</v>
      </c>
      <c r="J225">
        <v>0.2</v>
      </c>
      <c r="K225">
        <v>734.4</v>
      </c>
      <c r="L225">
        <v>173.68</v>
      </c>
      <c r="M225" t="str">
        <f t="shared" si="27"/>
        <v>Phone Holder</v>
      </c>
      <c r="N225" t="str">
        <f t="shared" si="28"/>
        <v>Pune</v>
      </c>
      <c r="O225" t="str">
        <f t="shared" si="29"/>
        <v>West</v>
      </c>
      <c r="P225" t="str">
        <f t="shared" si="30"/>
        <v>Accessories</v>
      </c>
      <c r="Q225" t="str">
        <f t="shared" si="31"/>
        <v>Accessories</v>
      </c>
      <c r="R225" t="str">
        <f t="shared" si="32"/>
        <v>West</v>
      </c>
      <c r="S225" t="str">
        <f t="shared" si="33"/>
        <v>Pune</v>
      </c>
      <c r="T225">
        <f t="shared" si="34"/>
        <v>734.40000000000009</v>
      </c>
      <c r="U225" t="str">
        <f t="shared" si="35"/>
        <v>OK</v>
      </c>
    </row>
    <row r="226" spans="1:21" x14ac:dyDescent="0.3">
      <c r="A226" t="s">
        <v>409</v>
      </c>
      <c r="B226" s="3">
        <v>45706</v>
      </c>
      <c r="C226" t="s">
        <v>100</v>
      </c>
      <c r="D226" t="s">
        <v>25</v>
      </c>
      <c r="E226" t="s">
        <v>26</v>
      </c>
      <c r="F226" t="s">
        <v>16</v>
      </c>
      <c r="G226" t="s">
        <v>104</v>
      </c>
      <c r="H226">
        <v>1</v>
      </c>
      <c r="I226">
        <v>9129</v>
      </c>
      <c r="J226">
        <v>0</v>
      </c>
      <c r="K226">
        <v>9129</v>
      </c>
      <c r="L226">
        <v>2482.77</v>
      </c>
      <c r="M226" t="str">
        <f t="shared" si="27"/>
        <v>Microwave</v>
      </c>
      <c r="N226" t="str">
        <f t="shared" si="28"/>
        <v>Bhubaneswar</v>
      </c>
      <c r="O226" t="str">
        <f t="shared" si="29"/>
        <v>East</v>
      </c>
      <c r="P226" t="str">
        <f t="shared" si="30"/>
        <v>Home Appliances</v>
      </c>
      <c r="Q226" t="str">
        <f t="shared" si="31"/>
        <v>Home Appliances</v>
      </c>
      <c r="R226" t="str">
        <f t="shared" si="32"/>
        <v>East</v>
      </c>
      <c r="S226" t="str">
        <f t="shared" si="33"/>
        <v>Bhubaneswar</v>
      </c>
      <c r="T226">
        <f t="shared" si="34"/>
        <v>9129</v>
      </c>
      <c r="U226" t="str">
        <f t="shared" si="35"/>
        <v>OK</v>
      </c>
    </row>
    <row r="227" spans="1:21" x14ac:dyDescent="0.3">
      <c r="A227" t="s">
        <v>410</v>
      </c>
      <c r="B227" s="3">
        <v>45821</v>
      </c>
      <c r="C227" t="s">
        <v>39</v>
      </c>
      <c r="D227" t="s">
        <v>92</v>
      </c>
      <c r="E227" t="s">
        <v>51</v>
      </c>
      <c r="F227" t="s">
        <v>27</v>
      </c>
      <c r="G227" t="s">
        <v>28</v>
      </c>
      <c r="H227">
        <v>1</v>
      </c>
      <c r="I227">
        <v>24680</v>
      </c>
      <c r="J227">
        <v>0.1</v>
      </c>
      <c r="K227">
        <v>22212</v>
      </c>
      <c r="L227">
        <v>4364.3100000000004</v>
      </c>
      <c r="M227" t="str">
        <f t="shared" si="27"/>
        <v>Monitor</v>
      </c>
      <c r="N227" t="str">
        <f t="shared" si="28"/>
        <v>Bengaluru</v>
      </c>
      <c r="O227" t="str">
        <f t="shared" si="29"/>
        <v>South</v>
      </c>
      <c r="P227" t="str">
        <f t="shared" si="30"/>
        <v>Electronics</v>
      </c>
      <c r="Q227" t="str">
        <f t="shared" si="31"/>
        <v>Electronics</v>
      </c>
      <c r="R227" t="str">
        <f t="shared" si="32"/>
        <v>South</v>
      </c>
      <c r="S227" t="str">
        <f t="shared" si="33"/>
        <v>Bengaluru</v>
      </c>
      <c r="T227">
        <f t="shared" si="34"/>
        <v>22212</v>
      </c>
      <c r="U227" t="str">
        <f t="shared" si="35"/>
        <v>OK</v>
      </c>
    </row>
    <row r="228" spans="1:21" x14ac:dyDescent="0.3">
      <c r="A228" t="s">
        <v>411</v>
      </c>
      <c r="B228" s="3">
        <v>45668</v>
      </c>
      <c r="C228" t="s">
        <v>412</v>
      </c>
      <c r="D228" t="s">
        <v>65</v>
      </c>
      <c r="E228" t="s">
        <v>26</v>
      </c>
      <c r="F228" t="s">
        <v>21</v>
      </c>
      <c r="G228" t="s">
        <v>55</v>
      </c>
      <c r="H228">
        <v>1</v>
      </c>
      <c r="I228">
        <v>1566</v>
      </c>
      <c r="J228">
        <v>0.1</v>
      </c>
      <c r="K228">
        <v>1409.4</v>
      </c>
      <c r="L228">
        <v>139.53</v>
      </c>
      <c r="M228" t="str">
        <f t="shared" si="27"/>
        <v>Electric Kettle</v>
      </c>
      <c r="N228" t="str">
        <f t="shared" si="28"/>
        <v>Pune</v>
      </c>
      <c r="O228" t="str">
        <f t="shared" si="29"/>
        <v>West</v>
      </c>
      <c r="P228" t="str">
        <f t="shared" si="30"/>
        <v>Home Appliances</v>
      </c>
      <c r="Q228" t="str">
        <f t="shared" si="31"/>
        <v>Home Appliances</v>
      </c>
      <c r="R228" t="str">
        <f t="shared" si="32"/>
        <v>West</v>
      </c>
      <c r="S228" t="str">
        <f t="shared" si="33"/>
        <v>Pune</v>
      </c>
      <c r="T228">
        <f t="shared" si="34"/>
        <v>1409.4</v>
      </c>
      <c r="U228" t="str">
        <f t="shared" si="35"/>
        <v>OK</v>
      </c>
    </row>
    <row r="229" spans="1:21" x14ac:dyDescent="0.3">
      <c r="A229" t="s">
        <v>413</v>
      </c>
      <c r="B229" s="3">
        <v>45935</v>
      </c>
      <c r="C229" t="s">
        <v>77</v>
      </c>
      <c r="D229" t="s">
        <v>25</v>
      </c>
      <c r="E229" t="s">
        <v>26</v>
      </c>
      <c r="F229" t="s">
        <v>58</v>
      </c>
      <c r="G229" t="s">
        <v>69</v>
      </c>
      <c r="H229">
        <v>1</v>
      </c>
      <c r="I229">
        <v>17140</v>
      </c>
      <c r="J229">
        <v>0.1</v>
      </c>
      <c r="K229">
        <v>15426</v>
      </c>
      <c r="L229">
        <v>2764.49</v>
      </c>
      <c r="M229" t="str">
        <f t="shared" si="27"/>
        <v>Microwave</v>
      </c>
      <c r="N229" t="str">
        <f t="shared" si="28"/>
        <v>Jaipur</v>
      </c>
      <c r="O229" t="str">
        <f t="shared" si="29"/>
        <v>North</v>
      </c>
      <c r="P229" t="str">
        <f t="shared" si="30"/>
        <v>Home Appliances</v>
      </c>
      <c r="Q229" t="str">
        <f t="shared" si="31"/>
        <v>Home Appliances</v>
      </c>
      <c r="R229" t="str">
        <f t="shared" si="32"/>
        <v>North</v>
      </c>
      <c r="S229" t="str">
        <f t="shared" si="33"/>
        <v>Jaipur</v>
      </c>
      <c r="T229">
        <f t="shared" si="34"/>
        <v>15426</v>
      </c>
      <c r="U229" t="str">
        <f t="shared" si="35"/>
        <v>OK</v>
      </c>
    </row>
    <row r="230" spans="1:21" x14ac:dyDescent="0.3">
      <c r="A230" t="s">
        <v>414</v>
      </c>
      <c r="B230" s="3">
        <v>45776</v>
      </c>
      <c r="C230" t="s">
        <v>415</v>
      </c>
      <c r="D230" t="s">
        <v>153</v>
      </c>
      <c r="E230" t="s">
        <v>26</v>
      </c>
      <c r="F230" t="s">
        <v>27</v>
      </c>
      <c r="G230" t="s">
        <v>40</v>
      </c>
      <c r="H230">
        <v>4</v>
      </c>
      <c r="I230">
        <v>4438</v>
      </c>
      <c r="J230">
        <v>0.1</v>
      </c>
      <c r="K230">
        <v>15976.8</v>
      </c>
      <c r="L230">
        <v>3310.62</v>
      </c>
      <c r="M230" t="str">
        <f t="shared" si="27"/>
        <v>Coffee Maker</v>
      </c>
      <c r="N230" t="str">
        <f t="shared" si="28"/>
        <v>Chennai</v>
      </c>
      <c r="O230" t="str">
        <f t="shared" si="29"/>
        <v>South</v>
      </c>
      <c r="P230" t="str">
        <f t="shared" si="30"/>
        <v>Home Appliances</v>
      </c>
      <c r="Q230" t="str">
        <f t="shared" si="31"/>
        <v>Home Appliances</v>
      </c>
      <c r="R230" t="str">
        <f t="shared" si="32"/>
        <v>South</v>
      </c>
      <c r="S230" t="str">
        <f t="shared" si="33"/>
        <v>Chennai</v>
      </c>
      <c r="T230">
        <f t="shared" si="34"/>
        <v>15976.800000000001</v>
      </c>
      <c r="U230" t="str">
        <f t="shared" si="35"/>
        <v>OK</v>
      </c>
    </row>
    <row r="231" spans="1:21" x14ac:dyDescent="0.3">
      <c r="A231" t="s">
        <v>416</v>
      </c>
      <c r="B231" s="3">
        <v>45792</v>
      </c>
      <c r="C231" t="s">
        <v>125</v>
      </c>
      <c r="D231" t="s">
        <v>68</v>
      </c>
      <c r="E231" t="s">
        <v>44</v>
      </c>
      <c r="F231" t="s">
        <v>21</v>
      </c>
      <c r="G231" t="s">
        <v>55</v>
      </c>
      <c r="H231">
        <v>1</v>
      </c>
      <c r="I231">
        <v>2134</v>
      </c>
      <c r="J231">
        <v>0.05</v>
      </c>
      <c r="K231">
        <v>2027.3</v>
      </c>
      <c r="L231">
        <v>467.57</v>
      </c>
      <c r="M231" t="str">
        <f t="shared" si="27"/>
        <v>Webcam</v>
      </c>
      <c r="N231" t="str">
        <f t="shared" si="28"/>
        <v>Pune</v>
      </c>
      <c r="O231" t="str">
        <f t="shared" si="29"/>
        <v>West</v>
      </c>
      <c r="P231" t="str">
        <f t="shared" si="30"/>
        <v>Accessories</v>
      </c>
      <c r="Q231" t="str">
        <f t="shared" si="31"/>
        <v>Accessories</v>
      </c>
      <c r="R231" t="str">
        <f t="shared" si="32"/>
        <v>West</v>
      </c>
      <c r="S231" t="str">
        <f t="shared" si="33"/>
        <v>Pune</v>
      </c>
      <c r="T231">
        <f t="shared" si="34"/>
        <v>2027.3</v>
      </c>
      <c r="U231" t="str">
        <f t="shared" si="35"/>
        <v>OK</v>
      </c>
    </row>
    <row r="232" spans="1:21" x14ac:dyDescent="0.3">
      <c r="A232" t="s">
        <v>417</v>
      </c>
      <c r="B232" s="3">
        <v>45915</v>
      </c>
      <c r="C232" t="s">
        <v>389</v>
      </c>
      <c r="D232" t="s">
        <v>97</v>
      </c>
      <c r="E232" t="s">
        <v>44</v>
      </c>
      <c r="F232" t="s">
        <v>58</v>
      </c>
      <c r="G232" t="s">
        <v>69</v>
      </c>
      <c r="H232">
        <v>1</v>
      </c>
      <c r="I232">
        <v>940</v>
      </c>
      <c r="J232">
        <v>0.15</v>
      </c>
      <c r="K232">
        <v>799</v>
      </c>
      <c r="L232">
        <v>98.04</v>
      </c>
      <c r="M232" t="str">
        <f t="shared" si="27"/>
        <v>USB Cable</v>
      </c>
      <c r="N232" t="str">
        <f t="shared" si="28"/>
        <v>Jaipur</v>
      </c>
      <c r="O232" t="str">
        <f t="shared" si="29"/>
        <v>North</v>
      </c>
      <c r="P232" t="str">
        <f t="shared" si="30"/>
        <v>Accessories</v>
      </c>
      <c r="Q232" t="str">
        <f t="shared" si="31"/>
        <v>Accessories</v>
      </c>
      <c r="R232" t="str">
        <f t="shared" si="32"/>
        <v>North</v>
      </c>
      <c r="S232" t="str">
        <f t="shared" si="33"/>
        <v>Jaipur</v>
      </c>
      <c r="T232">
        <f t="shared" si="34"/>
        <v>799</v>
      </c>
      <c r="U232" t="str">
        <f t="shared" si="35"/>
        <v>OK</v>
      </c>
    </row>
    <row r="233" spans="1:21" x14ac:dyDescent="0.3">
      <c r="A233" t="s">
        <v>418</v>
      </c>
      <c r="B233" s="3">
        <v>45846</v>
      </c>
      <c r="C233" t="s">
        <v>376</v>
      </c>
      <c r="D233" t="s">
        <v>97</v>
      </c>
      <c r="E233" t="s">
        <v>44</v>
      </c>
      <c r="F233" t="s">
        <v>27</v>
      </c>
      <c r="G233" t="s">
        <v>31</v>
      </c>
      <c r="H233">
        <v>3</v>
      </c>
      <c r="I233">
        <v>831</v>
      </c>
      <c r="J233">
        <v>0</v>
      </c>
      <c r="K233">
        <v>2493</v>
      </c>
      <c r="L233">
        <v>275.01</v>
      </c>
      <c r="M233" t="str">
        <f t="shared" si="27"/>
        <v>USB Cable</v>
      </c>
      <c r="N233" t="str">
        <f t="shared" si="28"/>
        <v>Hyderabad</v>
      </c>
      <c r="O233" t="str">
        <f t="shared" si="29"/>
        <v>South</v>
      </c>
      <c r="P233" t="str">
        <f t="shared" si="30"/>
        <v>Accessories</v>
      </c>
      <c r="Q233" t="str">
        <f t="shared" si="31"/>
        <v>Accessories</v>
      </c>
      <c r="R233" t="str">
        <f t="shared" si="32"/>
        <v>South</v>
      </c>
      <c r="S233" t="str">
        <f t="shared" si="33"/>
        <v>Hyderabad</v>
      </c>
      <c r="T233">
        <f t="shared" si="34"/>
        <v>2493</v>
      </c>
      <c r="U233" t="str">
        <f t="shared" si="35"/>
        <v>OK</v>
      </c>
    </row>
    <row r="234" spans="1:21" x14ac:dyDescent="0.3">
      <c r="A234" t="s">
        <v>419</v>
      </c>
      <c r="B234" s="3">
        <v>45768</v>
      </c>
      <c r="C234" t="s">
        <v>71</v>
      </c>
      <c r="D234" t="s">
        <v>202</v>
      </c>
      <c r="E234" t="s">
        <v>44</v>
      </c>
      <c r="F234" t="s">
        <v>58</v>
      </c>
      <c r="G234" t="s">
        <v>126</v>
      </c>
      <c r="H234">
        <v>1</v>
      </c>
      <c r="I234">
        <v>2351</v>
      </c>
      <c r="J234">
        <v>0.15</v>
      </c>
      <c r="K234">
        <v>1998.35</v>
      </c>
      <c r="L234">
        <v>456.31</v>
      </c>
      <c r="M234" t="str">
        <f t="shared" si="27"/>
        <v>Laptop Stand</v>
      </c>
      <c r="N234" t="str">
        <f t="shared" si="28"/>
        <v>Delhi</v>
      </c>
      <c r="O234" t="str">
        <f t="shared" si="29"/>
        <v>North</v>
      </c>
      <c r="P234" t="str">
        <f t="shared" si="30"/>
        <v>Accessories</v>
      </c>
      <c r="Q234" t="str">
        <f t="shared" si="31"/>
        <v>Accessories</v>
      </c>
      <c r="R234" t="str">
        <f t="shared" si="32"/>
        <v>North</v>
      </c>
      <c r="S234" t="str">
        <f t="shared" si="33"/>
        <v>Delhi</v>
      </c>
      <c r="T234">
        <f t="shared" si="34"/>
        <v>1998.35</v>
      </c>
      <c r="U234" t="str">
        <f t="shared" si="35"/>
        <v>OK</v>
      </c>
    </row>
    <row r="235" spans="1:21" x14ac:dyDescent="0.3">
      <c r="A235" t="s">
        <v>420</v>
      </c>
      <c r="B235" s="3">
        <v>46011</v>
      </c>
      <c r="C235" t="s">
        <v>421</v>
      </c>
      <c r="D235" t="s">
        <v>43</v>
      </c>
      <c r="E235" t="s">
        <v>44</v>
      </c>
      <c r="F235" t="s">
        <v>16</v>
      </c>
      <c r="G235" t="s">
        <v>104</v>
      </c>
      <c r="H235">
        <v>1</v>
      </c>
      <c r="I235">
        <v>966</v>
      </c>
      <c r="J235">
        <v>0.15</v>
      </c>
      <c r="K235">
        <v>821.1</v>
      </c>
      <c r="L235">
        <v>166.85</v>
      </c>
      <c r="M235" t="str">
        <f t="shared" si="27"/>
        <v>Phone Holder</v>
      </c>
      <c r="N235" t="str">
        <f t="shared" si="28"/>
        <v>Bhubaneswar</v>
      </c>
      <c r="O235" t="str">
        <f t="shared" si="29"/>
        <v>East</v>
      </c>
      <c r="P235" t="str">
        <f t="shared" si="30"/>
        <v>Accessories</v>
      </c>
      <c r="Q235" t="str">
        <f t="shared" si="31"/>
        <v>Accessories</v>
      </c>
      <c r="R235" t="str">
        <f t="shared" si="32"/>
        <v>East</v>
      </c>
      <c r="S235" t="str">
        <f t="shared" si="33"/>
        <v>Bhubaneswar</v>
      </c>
      <c r="T235">
        <f t="shared" si="34"/>
        <v>821.1</v>
      </c>
      <c r="U235" t="str">
        <f t="shared" si="35"/>
        <v>OK</v>
      </c>
    </row>
    <row r="236" spans="1:21" x14ac:dyDescent="0.3">
      <c r="A236" t="s">
        <v>422</v>
      </c>
      <c r="B236" s="3">
        <v>45743</v>
      </c>
      <c r="C236" t="s">
        <v>197</v>
      </c>
      <c r="D236" t="s">
        <v>72</v>
      </c>
      <c r="E236" t="s">
        <v>73</v>
      </c>
      <c r="F236" t="s">
        <v>58</v>
      </c>
      <c r="G236" t="s">
        <v>126</v>
      </c>
      <c r="H236">
        <v>3</v>
      </c>
      <c r="I236">
        <v>1048</v>
      </c>
      <c r="J236">
        <v>0.15</v>
      </c>
      <c r="K236">
        <v>2672.4</v>
      </c>
      <c r="L236">
        <v>219.69</v>
      </c>
      <c r="M236" t="str">
        <f t="shared" si="27"/>
        <v>Desk Organizer</v>
      </c>
      <c r="N236" t="str">
        <f t="shared" si="28"/>
        <v>Delhi</v>
      </c>
      <c r="O236" t="str">
        <f t="shared" si="29"/>
        <v>North</v>
      </c>
      <c r="P236" t="str">
        <f t="shared" si="30"/>
        <v>Office Supplies</v>
      </c>
      <c r="Q236" t="str">
        <f t="shared" si="31"/>
        <v>Office Supplies</v>
      </c>
      <c r="R236" t="str">
        <f t="shared" si="32"/>
        <v>North</v>
      </c>
      <c r="S236" t="str">
        <f t="shared" si="33"/>
        <v>Delhi</v>
      </c>
      <c r="T236">
        <f t="shared" si="34"/>
        <v>2672.4</v>
      </c>
      <c r="U236" t="str">
        <f t="shared" si="35"/>
        <v>OK</v>
      </c>
    </row>
    <row r="237" spans="1:21" x14ac:dyDescent="0.3">
      <c r="A237" t="s">
        <v>423</v>
      </c>
      <c r="B237" s="3">
        <v>45900</v>
      </c>
      <c r="C237" t="s">
        <v>145</v>
      </c>
      <c r="D237" t="s">
        <v>97</v>
      </c>
      <c r="E237" t="s">
        <v>44</v>
      </c>
      <c r="F237" t="s">
        <v>21</v>
      </c>
      <c r="G237" t="s">
        <v>22</v>
      </c>
      <c r="H237">
        <v>3</v>
      </c>
      <c r="I237">
        <v>697</v>
      </c>
      <c r="J237">
        <v>0.1</v>
      </c>
      <c r="K237">
        <v>1881.9</v>
      </c>
      <c r="L237">
        <v>197.49</v>
      </c>
      <c r="M237" t="str">
        <f t="shared" si="27"/>
        <v>USB Cable</v>
      </c>
      <c r="N237" t="str">
        <f t="shared" si="28"/>
        <v>Ahmedabad</v>
      </c>
      <c r="O237" t="str">
        <f t="shared" si="29"/>
        <v>West</v>
      </c>
      <c r="P237" t="str">
        <f t="shared" si="30"/>
        <v>Accessories</v>
      </c>
      <c r="Q237" t="str">
        <f t="shared" si="31"/>
        <v>Accessories</v>
      </c>
      <c r="R237" t="str">
        <f t="shared" si="32"/>
        <v>West</v>
      </c>
      <c r="S237" t="str">
        <f t="shared" si="33"/>
        <v>Ahmedabad</v>
      </c>
      <c r="T237">
        <f t="shared" si="34"/>
        <v>1881.9</v>
      </c>
      <c r="U237" t="str">
        <f t="shared" si="35"/>
        <v>OK</v>
      </c>
    </row>
    <row r="238" spans="1:21" x14ac:dyDescent="0.3">
      <c r="A238" t="s">
        <v>424</v>
      </c>
      <c r="B238" s="3">
        <v>45884</v>
      </c>
      <c r="C238" t="s">
        <v>346</v>
      </c>
      <c r="D238" t="s">
        <v>20</v>
      </c>
      <c r="E238" t="s">
        <v>15</v>
      </c>
      <c r="F238" t="s">
        <v>27</v>
      </c>
      <c r="G238" t="s">
        <v>40</v>
      </c>
      <c r="H238">
        <v>1</v>
      </c>
      <c r="I238">
        <v>12293</v>
      </c>
      <c r="J238">
        <v>0</v>
      </c>
      <c r="K238">
        <v>12293</v>
      </c>
      <c r="L238">
        <v>1421.99</v>
      </c>
      <c r="M238" t="str">
        <f t="shared" si="27"/>
        <v>Filing Cabinet</v>
      </c>
      <c r="N238" t="str">
        <f t="shared" si="28"/>
        <v>Chennai</v>
      </c>
      <c r="O238" t="str">
        <f t="shared" si="29"/>
        <v>South</v>
      </c>
      <c r="P238" t="str">
        <f t="shared" si="30"/>
        <v>Furniture</v>
      </c>
      <c r="Q238" t="str">
        <f t="shared" si="31"/>
        <v>Furniture</v>
      </c>
      <c r="R238" t="str">
        <f t="shared" si="32"/>
        <v>South</v>
      </c>
      <c r="S238" t="str">
        <f t="shared" si="33"/>
        <v>Chennai</v>
      </c>
      <c r="T238">
        <f t="shared" si="34"/>
        <v>12293</v>
      </c>
      <c r="U238" t="str">
        <f t="shared" si="35"/>
        <v>OK</v>
      </c>
    </row>
    <row r="239" spans="1:21" x14ac:dyDescent="0.3">
      <c r="A239" t="s">
        <v>425</v>
      </c>
      <c r="B239" s="3">
        <v>45677</v>
      </c>
      <c r="C239" t="s">
        <v>156</v>
      </c>
      <c r="D239" t="s">
        <v>120</v>
      </c>
      <c r="E239" t="s">
        <v>51</v>
      </c>
      <c r="F239" t="s">
        <v>58</v>
      </c>
      <c r="G239" t="s">
        <v>126</v>
      </c>
      <c r="H239">
        <v>1</v>
      </c>
      <c r="I239">
        <v>1974</v>
      </c>
      <c r="J239">
        <v>0.1</v>
      </c>
      <c r="K239">
        <v>1776.6</v>
      </c>
      <c r="L239">
        <v>399.17</v>
      </c>
      <c r="M239" t="str">
        <f t="shared" si="27"/>
        <v>Mouse</v>
      </c>
      <c r="N239" t="str">
        <f t="shared" si="28"/>
        <v>Delhi</v>
      </c>
      <c r="O239" t="str">
        <f t="shared" si="29"/>
        <v>North</v>
      </c>
      <c r="P239" t="str">
        <f t="shared" si="30"/>
        <v>Electronics</v>
      </c>
      <c r="Q239" t="str">
        <f t="shared" si="31"/>
        <v>Electronics</v>
      </c>
      <c r="R239" t="str">
        <f t="shared" si="32"/>
        <v>North</v>
      </c>
      <c r="S239" t="str">
        <f t="shared" si="33"/>
        <v>Delhi</v>
      </c>
      <c r="T239">
        <f t="shared" si="34"/>
        <v>1776.6000000000001</v>
      </c>
      <c r="U239" t="str">
        <f t="shared" si="35"/>
        <v>OK</v>
      </c>
    </row>
    <row r="240" spans="1:21" x14ac:dyDescent="0.3">
      <c r="A240" t="s">
        <v>426</v>
      </c>
      <c r="B240" s="3">
        <v>45681</v>
      </c>
      <c r="C240" t="s">
        <v>427</v>
      </c>
      <c r="D240" t="s">
        <v>120</v>
      </c>
      <c r="E240" t="s">
        <v>51</v>
      </c>
      <c r="F240" t="s">
        <v>21</v>
      </c>
      <c r="G240" t="s">
        <v>55</v>
      </c>
      <c r="H240">
        <v>2</v>
      </c>
      <c r="I240">
        <v>1849</v>
      </c>
      <c r="J240">
        <v>0.05</v>
      </c>
      <c r="K240">
        <v>3513.1</v>
      </c>
      <c r="L240">
        <v>860.74</v>
      </c>
      <c r="M240" t="str">
        <f t="shared" si="27"/>
        <v>Mouse</v>
      </c>
      <c r="N240" t="str">
        <f t="shared" si="28"/>
        <v>Pune</v>
      </c>
      <c r="O240" t="str">
        <f t="shared" si="29"/>
        <v>West</v>
      </c>
      <c r="P240" t="str">
        <f t="shared" si="30"/>
        <v>Electronics</v>
      </c>
      <c r="Q240" t="str">
        <f t="shared" si="31"/>
        <v>Electronics</v>
      </c>
      <c r="R240" t="str">
        <f t="shared" si="32"/>
        <v>West</v>
      </c>
      <c r="S240" t="str">
        <f t="shared" si="33"/>
        <v>Pune</v>
      </c>
      <c r="T240">
        <f t="shared" si="34"/>
        <v>3513.1</v>
      </c>
      <c r="U240" t="str">
        <f t="shared" si="35"/>
        <v>OK</v>
      </c>
    </row>
    <row r="241" spans="1:21" x14ac:dyDescent="0.3">
      <c r="A241" t="s">
        <v>428</v>
      </c>
      <c r="B241" s="3">
        <v>45733</v>
      </c>
      <c r="C241" t="s">
        <v>429</v>
      </c>
      <c r="D241" t="s">
        <v>153</v>
      </c>
      <c r="E241" t="s">
        <v>26</v>
      </c>
      <c r="F241" t="s">
        <v>27</v>
      </c>
      <c r="G241" t="s">
        <v>28</v>
      </c>
      <c r="H241">
        <v>3</v>
      </c>
      <c r="I241">
        <v>7808</v>
      </c>
      <c r="J241">
        <v>0.15</v>
      </c>
      <c r="K241">
        <v>19910.400000000001</v>
      </c>
      <c r="L241">
        <v>3652.64</v>
      </c>
      <c r="M241" t="str">
        <f t="shared" si="27"/>
        <v>Coffee Maker</v>
      </c>
      <c r="N241" t="str">
        <f t="shared" si="28"/>
        <v>Bengaluru</v>
      </c>
      <c r="O241" t="str">
        <f t="shared" si="29"/>
        <v>South</v>
      </c>
      <c r="P241" t="str">
        <f t="shared" si="30"/>
        <v>Home Appliances</v>
      </c>
      <c r="Q241" t="str">
        <f t="shared" si="31"/>
        <v>Home Appliances</v>
      </c>
      <c r="R241" t="str">
        <f t="shared" si="32"/>
        <v>South</v>
      </c>
      <c r="S241" t="str">
        <f t="shared" si="33"/>
        <v>Bengaluru</v>
      </c>
      <c r="T241">
        <f t="shared" si="34"/>
        <v>19910.399999999998</v>
      </c>
      <c r="U241" t="str">
        <f t="shared" si="35"/>
        <v>OK</v>
      </c>
    </row>
    <row r="242" spans="1:21" x14ac:dyDescent="0.3">
      <c r="A242" t="s">
        <v>430</v>
      </c>
      <c r="B242" s="3">
        <v>45840</v>
      </c>
      <c r="C242" t="s">
        <v>174</v>
      </c>
      <c r="D242" t="s">
        <v>34</v>
      </c>
      <c r="E242" t="s">
        <v>15</v>
      </c>
      <c r="F242" t="s">
        <v>16</v>
      </c>
      <c r="G242" t="s">
        <v>52</v>
      </c>
      <c r="H242">
        <v>1</v>
      </c>
      <c r="I242">
        <v>13686</v>
      </c>
      <c r="J242">
        <v>0</v>
      </c>
      <c r="K242">
        <v>13686</v>
      </c>
      <c r="L242">
        <v>3288.38</v>
      </c>
      <c r="M242" t="str">
        <f t="shared" si="27"/>
        <v>Desk</v>
      </c>
      <c r="N242" t="str">
        <f t="shared" si="28"/>
        <v>Kolkata</v>
      </c>
      <c r="O242" t="str">
        <f t="shared" si="29"/>
        <v>East</v>
      </c>
      <c r="P242" t="str">
        <f t="shared" si="30"/>
        <v>Furniture</v>
      </c>
      <c r="Q242" t="str">
        <f t="shared" si="31"/>
        <v>Furniture</v>
      </c>
      <c r="R242" t="str">
        <f t="shared" si="32"/>
        <v>East</v>
      </c>
      <c r="S242" t="str">
        <f t="shared" si="33"/>
        <v>Kolkata</v>
      </c>
      <c r="T242">
        <f t="shared" si="34"/>
        <v>13686</v>
      </c>
      <c r="U242" t="str">
        <f t="shared" si="35"/>
        <v>OK</v>
      </c>
    </row>
    <row r="243" spans="1:21" x14ac:dyDescent="0.3">
      <c r="A243" t="s">
        <v>431</v>
      </c>
      <c r="B243" s="3">
        <v>45818</v>
      </c>
      <c r="C243" t="s">
        <v>174</v>
      </c>
      <c r="D243" t="s">
        <v>43</v>
      </c>
      <c r="E243" t="s">
        <v>44</v>
      </c>
      <c r="F243" t="s">
        <v>27</v>
      </c>
      <c r="G243" t="s">
        <v>28</v>
      </c>
      <c r="H243">
        <v>2</v>
      </c>
      <c r="I243">
        <v>1063</v>
      </c>
      <c r="J243">
        <v>0.15</v>
      </c>
      <c r="K243">
        <v>1807.1</v>
      </c>
      <c r="L243">
        <v>187.34</v>
      </c>
      <c r="M243" t="str">
        <f t="shared" si="27"/>
        <v>Phone Holder</v>
      </c>
      <c r="N243" t="str">
        <f t="shared" si="28"/>
        <v>Bengaluru</v>
      </c>
      <c r="O243" t="str">
        <f t="shared" si="29"/>
        <v>South</v>
      </c>
      <c r="P243" t="str">
        <f t="shared" si="30"/>
        <v>Accessories</v>
      </c>
      <c r="Q243" t="str">
        <f t="shared" si="31"/>
        <v>Accessories</v>
      </c>
      <c r="R243" t="str">
        <f t="shared" si="32"/>
        <v>South</v>
      </c>
      <c r="S243" t="str">
        <f t="shared" si="33"/>
        <v>Bengaluru</v>
      </c>
      <c r="T243">
        <f t="shared" si="34"/>
        <v>1807.1</v>
      </c>
      <c r="U243" t="str">
        <f t="shared" si="35"/>
        <v>OK</v>
      </c>
    </row>
    <row r="244" spans="1:21" x14ac:dyDescent="0.3">
      <c r="A244" t="s">
        <v>432</v>
      </c>
      <c r="B244" s="3">
        <v>45747</v>
      </c>
      <c r="C244" t="s">
        <v>187</v>
      </c>
      <c r="D244" t="s">
        <v>202</v>
      </c>
      <c r="E244" t="s">
        <v>44</v>
      </c>
      <c r="F244" t="s">
        <v>16</v>
      </c>
      <c r="G244" t="s">
        <v>52</v>
      </c>
      <c r="H244">
        <v>2</v>
      </c>
      <c r="I244">
        <v>1380</v>
      </c>
      <c r="J244">
        <v>0.05</v>
      </c>
      <c r="K244">
        <v>2622</v>
      </c>
      <c r="L244">
        <v>385.18</v>
      </c>
      <c r="M244" t="str">
        <f t="shared" si="27"/>
        <v>Laptop Stand</v>
      </c>
      <c r="N244" t="str">
        <f t="shared" si="28"/>
        <v>Kolkata</v>
      </c>
      <c r="O244" t="str">
        <f t="shared" si="29"/>
        <v>East</v>
      </c>
      <c r="P244" t="str">
        <f t="shared" si="30"/>
        <v>Accessories</v>
      </c>
      <c r="Q244" t="str">
        <f t="shared" si="31"/>
        <v>Accessories</v>
      </c>
      <c r="R244" t="str">
        <f t="shared" si="32"/>
        <v>East</v>
      </c>
      <c r="S244" t="str">
        <f t="shared" si="33"/>
        <v>Kolkata</v>
      </c>
      <c r="T244">
        <f t="shared" si="34"/>
        <v>2622</v>
      </c>
      <c r="U244" t="str">
        <f t="shared" si="35"/>
        <v>OK</v>
      </c>
    </row>
    <row r="245" spans="1:21" x14ac:dyDescent="0.3">
      <c r="A245" t="s">
        <v>433</v>
      </c>
      <c r="B245" s="3">
        <v>46022</v>
      </c>
      <c r="C245" t="s">
        <v>368</v>
      </c>
      <c r="D245" t="s">
        <v>103</v>
      </c>
      <c r="E245" t="s">
        <v>51</v>
      </c>
      <c r="F245" t="s">
        <v>27</v>
      </c>
      <c r="G245" t="s">
        <v>28</v>
      </c>
      <c r="H245">
        <v>3</v>
      </c>
      <c r="I245">
        <v>1638</v>
      </c>
      <c r="J245">
        <v>0.15</v>
      </c>
      <c r="K245">
        <v>4176.8999999999996</v>
      </c>
      <c r="L245">
        <v>522.55999999999995</v>
      </c>
      <c r="M245" t="str">
        <f t="shared" si="27"/>
        <v>Headphones</v>
      </c>
      <c r="N245" t="str">
        <f t="shared" si="28"/>
        <v>Bengaluru</v>
      </c>
      <c r="O245" t="str">
        <f t="shared" si="29"/>
        <v>South</v>
      </c>
      <c r="P245" t="str">
        <f t="shared" si="30"/>
        <v>Electronics</v>
      </c>
      <c r="Q245" t="str">
        <f t="shared" si="31"/>
        <v>Electronics</v>
      </c>
      <c r="R245" t="str">
        <f t="shared" si="32"/>
        <v>South</v>
      </c>
      <c r="S245" t="str">
        <f t="shared" si="33"/>
        <v>Bengaluru</v>
      </c>
      <c r="T245">
        <f t="shared" si="34"/>
        <v>4176.8999999999996</v>
      </c>
      <c r="U245" t="str">
        <f t="shared" si="35"/>
        <v>OK</v>
      </c>
    </row>
    <row r="246" spans="1:21" x14ac:dyDescent="0.3">
      <c r="A246" t="s">
        <v>434</v>
      </c>
      <c r="B246" s="3">
        <v>45731</v>
      </c>
      <c r="C246" t="s">
        <v>276</v>
      </c>
      <c r="D246" t="s">
        <v>97</v>
      </c>
      <c r="E246" t="s">
        <v>44</v>
      </c>
      <c r="F246" t="s">
        <v>21</v>
      </c>
      <c r="G246" t="s">
        <v>35</v>
      </c>
      <c r="H246">
        <v>4</v>
      </c>
      <c r="I246">
        <v>921</v>
      </c>
      <c r="J246">
        <v>0.1</v>
      </c>
      <c r="K246">
        <v>3315.6</v>
      </c>
      <c r="L246">
        <v>298.3</v>
      </c>
      <c r="M246" t="str">
        <f t="shared" si="27"/>
        <v>USB Cable</v>
      </c>
      <c r="N246" t="str">
        <f t="shared" si="28"/>
        <v>Mumbai</v>
      </c>
      <c r="O246" t="str">
        <f t="shared" si="29"/>
        <v>West</v>
      </c>
      <c r="P246" t="str">
        <f t="shared" si="30"/>
        <v>Accessories</v>
      </c>
      <c r="Q246" t="str">
        <f t="shared" si="31"/>
        <v>Accessories</v>
      </c>
      <c r="R246" t="str">
        <f t="shared" si="32"/>
        <v>West</v>
      </c>
      <c r="S246" t="str">
        <f t="shared" si="33"/>
        <v>Mumbai</v>
      </c>
      <c r="T246">
        <f t="shared" si="34"/>
        <v>3315.6</v>
      </c>
      <c r="U246" t="str">
        <f t="shared" si="35"/>
        <v>OK</v>
      </c>
    </row>
    <row r="247" spans="1:21" x14ac:dyDescent="0.3">
      <c r="A247" t="s">
        <v>435</v>
      </c>
      <c r="B247" s="3">
        <v>45757</v>
      </c>
      <c r="C247" t="s">
        <v>436</v>
      </c>
      <c r="D247" t="s">
        <v>47</v>
      </c>
      <c r="E247" t="s">
        <v>26</v>
      </c>
      <c r="F247" t="s">
        <v>21</v>
      </c>
      <c r="G247" t="s">
        <v>35</v>
      </c>
      <c r="H247">
        <v>3</v>
      </c>
      <c r="I247">
        <v>9384</v>
      </c>
      <c r="J247">
        <v>0.1</v>
      </c>
      <c r="K247">
        <v>25336.799999999999</v>
      </c>
      <c r="L247">
        <v>2712.83</v>
      </c>
      <c r="M247" t="str">
        <f t="shared" si="27"/>
        <v>Air Purifier</v>
      </c>
      <c r="N247" t="str">
        <f t="shared" si="28"/>
        <v>Mumbai</v>
      </c>
      <c r="O247" t="str">
        <f t="shared" si="29"/>
        <v>West</v>
      </c>
      <c r="P247" t="str">
        <f t="shared" si="30"/>
        <v>Home Appliances</v>
      </c>
      <c r="Q247" t="str">
        <f t="shared" si="31"/>
        <v>Home Appliances</v>
      </c>
      <c r="R247" t="str">
        <f t="shared" si="32"/>
        <v>West</v>
      </c>
      <c r="S247" t="str">
        <f t="shared" si="33"/>
        <v>Mumbai</v>
      </c>
      <c r="T247">
        <f t="shared" si="34"/>
        <v>25336.799999999999</v>
      </c>
      <c r="U247" t="str">
        <f t="shared" si="35"/>
        <v>OK</v>
      </c>
    </row>
    <row r="248" spans="1:21" x14ac:dyDescent="0.3">
      <c r="A248" t="s">
        <v>437</v>
      </c>
      <c r="B248" s="3">
        <v>46021</v>
      </c>
      <c r="C248" t="s">
        <v>159</v>
      </c>
      <c r="D248" t="s">
        <v>97</v>
      </c>
      <c r="E248" t="s">
        <v>44</v>
      </c>
      <c r="F248" t="s">
        <v>21</v>
      </c>
      <c r="G248" t="s">
        <v>35</v>
      </c>
      <c r="H248">
        <v>1</v>
      </c>
      <c r="I248">
        <v>284</v>
      </c>
      <c r="J248">
        <v>0.05</v>
      </c>
      <c r="K248">
        <v>269.8</v>
      </c>
      <c r="L248">
        <v>36.46</v>
      </c>
      <c r="M248" t="str">
        <f t="shared" si="27"/>
        <v>USB Cable</v>
      </c>
      <c r="N248" t="str">
        <f t="shared" si="28"/>
        <v>Mumbai</v>
      </c>
      <c r="O248" t="str">
        <f t="shared" si="29"/>
        <v>West</v>
      </c>
      <c r="P248" t="str">
        <f t="shared" si="30"/>
        <v>Accessories</v>
      </c>
      <c r="Q248" t="str">
        <f t="shared" si="31"/>
        <v>Accessories</v>
      </c>
      <c r="R248" t="str">
        <f t="shared" si="32"/>
        <v>West</v>
      </c>
      <c r="S248" t="str">
        <f t="shared" si="33"/>
        <v>Mumbai</v>
      </c>
      <c r="T248">
        <f t="shared" si="34"/>
        <v>269.8</v>
      </c>
      <c r="U248" t="str">
        <f t="shared" si="35"/>
        <v>OK</v>
      </c>
    </row>
    <row r="249" spans="1:21" x14ac:dyDescent="0.3">
      <c r="A249" t="s">
        <v>438</v>
      </c>
      <c r="B249" s="3">
        <v>45727</v>
      </c>
      <c r="C249" t="s">
        <v>187</v>
      </c>
      <c r="D249" t="s">
        <v>92</v>
      </c>
      <c r="E249" t="s">
        <v>51</v>
      </c>
      <c r="F249" t="s">
        <v>58</v>
      </c>
      <c r="G249" t="s">
        <v>126</v>
      </c>
      <c r="H249">
        <v>1</v>
      </c>
      <c r="I249">
        <v>16801</v>
      </c>
      <c r="J249">
        <v>0</v>
      </c>
      <c r="K249">
        <v>16801</v>
      </c>
      <c r="L249">
        <v>1554.61</v>
      </c>
      <c r="M249" t="str">
        <f t="shared" si="27"/>
        <v>Monitor</v>
      </c>
      <c r="N249" t="str">
        <f t="shared" si="28"/>
        <v>Delhi</v>
      </c>
      <c r="O249" t="str">
        <f t="shared" si="29"/>
        <v>North</v>
      </c>
      <c r="P249" t="str">
        <f t="shared" si="30"/>
        <v>Electronics</v>
      </c>
      <c r="Q249" t="str">
        <f t="shared" si="31"/>
        <v>Electronics</v>
      </c>
      <c r="R249" t="str">
        <f t="shared" si="32"/>
        <v>North</v>
      </c>
      <c r="S249" t="str">
        <f t="shared" si="33"/>
        <v>Delhi</v>
      </c>
      <c r="T249">
        <f t="shared" si="34"/>
        <v>16801</v>
      </c>
      <c r="U249" t="str">
        <f t="shared" si="35"/>
        <v>OK</v>
      </c>
    </row>
    <row r="250" spans="1:21" x14ac:dyDescent="0.3">
      <c r="A250" t="s">
        <v>439</v>
      </c>
      <c r="B250" s="3">
        <v>45664</v>
      </c>
      <c r="C250" t="s">
        <v>440</v>
      </c>
      <c r="D250" t="s">
        <v>120</v>
      </c>
      <c r="E250" t="s">
        <v>51</v>
      </c>
      <c r="F250" t="s">
        <v>27</v>
      </c>
      <c r="G250" t="s">
        <v>28</v>
      </c>
      <c r="H250">
        <v>1</v>
      </c>
      <c r="I250">
        <v>826</v>
      </c>
      <c r="J250">
        <v>0.15</v>
      </c>
      <c r="K250">
        <v>702.1</v>
      </c>
      <c r="L250">
        <v>133.16</v>
      </c>
      <c r="M250" t="str">
        <f t="shared" si="27"/>
        <v>Mouse</v>
      </c>
      <c r="N250" t="str">
        <f t="shared" si="28"/>
        <v>Bengaluru</v>
      </c>
      <c r="O250" t="str">
        <f t="shared" si="29"/>
        <v>South</v>
      </c>
      <c r="P250" t="str">
        <f t="shared" si="30"/>
        <v>Electronics</v>
      </c>
      <c r="Q250" t="str">
        <f t="shared" si="31"/>
        <v>Electronics</v>
      </c>
      <c r="R250" t="str">
        <f t="shared" si="32"/>
        <v>South</v>
      </c>
      <c r="S250" t="str">
        <f t="shared" si="33"/>
        <v>Bengaluru</v>
      </c>
      <c r="T250">
        <f t="shared" si="34"/>
        <v>702.1</v>
      </c>
      <c r="U250" t="str">
        <f t="shared" si="35"/>
        <v>OK</v>
      </c>
    </row>
    <row r="251" spans="1:21" x14ac:dyDescent="0.3">
      <c r="A251" t="s">
        <v>441</v>
      </c>
      <c r="B251" s="3">
        <v>45799</v>
      </c>
      <c r="C251" t="s">
        <v>246</v>
      </c>
      <c r="D251" t="s">
        <v>97</v>
      </c>
      <c r="E251" t="s">
        <v>44</v>
      </c>
      <c r="F251" t="s">
        <v>27</v>
      </c>
      <c r="G251" t="s">
        <v>40</v>
      </c>
      <c r="H251">
        <v>3</v>
      </c>
      <c r="I251">
        <v>1182</v>
      </c>
      <c r="J251">
        <v>0.05</v>
      </c>
      <c r="K251">
        <v>3368.7</v>
      </c>
      <c r="L251">
        <v>710.24</v>
      </c>
      <c r="M251" t="str">
        <f t="shared" si="27"/>
        <v>USB Cable</v>
      </c>
      <c r="N251" t="str">
        <f t="shared" si="28"/>
        <v>Chennai</v>
      </c>
      <c r="O251" t="str">
        <f t="shared" si="29"/>
        <v>South</v>
      </c>
      <c r="P251" t="str">
        <f t="shared" si="30"/>
        <v>Accessories</v>
      </c>
      <c r="Q251" t="str">
        <f t="shared" si="31"/>
        <v>Accessories</v>
      </c>
      <c r="R251" t="str">
        <f t="shared" si="32"/>
        <v>South</v>
      </c>
      <c r="S251" t="str">
        <f t="shared" si="33"/>
        <v>Chennai</v>
      </c>
      <c r="T251">
        <f t="shared" si="34"/>
        <v>3368.7</v>
      </c>
      <c r="U251" t="str">
        <f t="shared" si="35"/>
        <v>OK</v>
      </c>
    </row>
    <row r="252" spans="1:21" x14ac:dyDescent="0.3">
      <c r="A252" t="s">
        <v>442</v>
      </c>
      <c r="B252" s="3">
        <v>45998</v>
      </c>
      <c r="C252" t="s">
        <v>189</v>
      </c>
      <c r="D252" t="s">
        <v>153</v>
      </c>
      <c r="E252" t="s">
        <v>26</v>
      </c>
      <c r="F252" t="s">
        <v>16</v>
      </c>
      <c r="G252" t="s">
        <v>52</v>
      </c>
      <c r="H252">
        <v>2</v>
      </c>
      <c r="I252">
        <v>5121</v>
      </c>
      <c r="J252">
        <v>0</v>
      </c>
      <c r="K252">
        <v>10242</v>
      </c>
      <c r="L252">
        <v>1129.17</v>
      </c>
      <c r="M252" t="str">
        <f t="shared" si="27"/>
        <v>Coffee Maker</v>
      </c>
      <c r="N252" t="str">
        <f t="shared" si="28"/>
        <v>Kolkata</v>
      </c>
      <c r="O252" t="str">
        <f t="shared" si="29"/>
        <v>East</v>
      </c>
      <c r="P252" t="str">
        <f t="shared" si="30"/>
        <v>Home Appliances</v>
      </c>
      <c r="Q252" t="str">
        <f t="shared" si="31"/>
        <v>Home Appliances</v>
      </c>
      <c r="R252" t="str">
        <f t="shared" si="32"/>
        <v>East</v>
      </c>
      <c r="S252" t="str">
        <f t="shared" si="33"/>
        <v>Kolkata</v>
      </c>
      <c r="T252">
        <f t="shared" si="34"/>
        <v>10242</v>
      </c>
      <c r="U252" t="str">
        <f t="shared" si="35"/>
        <v>OK</v>
      </c>
    </row>
    <row r="253" spans="1:21" x14ac:dyDescent="0.3">
      <c r="A253" t="s">
        <v>443</v>
      </c>
      <c r="B253" s="3">
        <v>45718</v>
      </c>
      <c r="C253" t="s">
        <v>234</v>
      </c>
      <c r="D253" t="s">
        <v>80</v>
      </c>
      <c r="E253" t="s">
        <v>51</v>
      </c>
      <c r="F253" t="s">
        <v>58</v>
      </c>
      <c r="G253" t="s">
        <v>126</v>
      </c>
      <c r="H253">
        <v>4</v>
      </c>
      <c r="I253">
        <v>73913</v>
      </c>
      <c r="J253">
        <v>0</v>
      </c>
      <c r="K253">
        <v>295652</v>
      </c>
      <c r="L253">
        <v>65506.73</v>
      </c>
      <c r="M253" t="str">
        <f t="shared" si="27"/>
        <v>Laptop</v>
      </c>
      <c r="N253" t="str">
        <f t="shared" si="28"/>
        <v>Delhi</v>
      </c>
      <c r="O253" t="str">
        <f t="shared" si="29"/>
        <v>North</v>
      </c>
      <c r="P253" t="str">
        <f t="shared" si="30"/>
        <v>Electronics</v>
      </c>
      <c r="Q253" t="str">
        <f t="shared" si="31"/>
        <v>Electronics</v>
      </c>
      <c r="R253" t="str">
        <f t="shared" si="32"/>
        <v>North</v>
      </c>
      <c r="S253" t="str">
        <f t="shared" si="33"/>
        <v>Delhi</v>
      </c>
      <c r="T253">
        <f t="shared" si="34"/>
        <v>295652</v>
      </c>
      <c r="U253" t="str">
        <f t="shared" si="35"/>
        <v>OK</v>
      </c>
    </row>
    <row r="254" spans="1:21" x14ac:dyDescent="0.3">
      <c r="A254" t="s">
        <v>444</v>
      </c>
      <c r="B254" s="3">
        <v>45722</v>
      </c>
      <c r="C254" t="s">
        <v>363</v>
      </c>
      <c r="D254" t="s">
        <v>25</v>
      </c>
      <c r="E254" t="s">
        <v>26</v>
      </c>
      <c r="F254" t="s">
        <v>27</v>
      </c>
      <c r="G254" t="s">
        <v>40</v>
      </c>
      <c r="H254">
        <v>2</v>
      </c>
      <c r="I254">
        <v>7692</v>
      </c>
      <c r="J254">
        <v>0.1</v>
      </c>
      <c r="K254">
        <v>13845.6</v>
      </c>
      <c r="L254">
        <v>1706.03</v>
      </c>
      <c r="M254" t="str">
        <f t="shared" si="27"/>
        <v>Microwave</v>
      </c>
      <c r="N254" t="str">
        <f t="shared" si="28"/>
        <v>Chennai</v>
      </c>
      <c r="O254" t="str">
        <f t="shared" si="29"/>
        <v>South</v>
      </c>
      <c r="P254" t="str">
        <f t="shared" si="30"/>
        <v>Home Appliances</v>
      </c>
      <c r="Q254" t="str">
        <f t="shared" si="31"/>
        <v>Home Appliances</v>
      </c>
      <c r="R254" t="str">
        <f t="shared" si="32"/>
        <v>South</v>
      </c>
      <c r="S254" t="str">
        <f t="shared" si="33"/>
        <v>Chennai</v>
      </c>
      <c r="T254">
        <f t="shared" si="34"/>
        <v>13845.6</v>
      </c>
      <c r="U254" t="str">
        <f t="shared" si="35"/>
        <v>OK</v>
      </c>
    </row>
    <row r="255" spans="1:21" x14ac:dyDescent="0.3">
      <c r="A255" t="s">
        <v>445</v>
      </c>
      <c r="B255" s="3">
        <v>45824</v>
      </c>
      <c r="C255" t="s">
        <v>295</v>
      </c>
      <c r="D255" t="s">
        <v>65</v>
      </c>
      <c r="E255" t="s">
        <v>26</v>
      </c>
      <c r="F255" t="s">
        <v>16</v>
      </c>
      <c r="G255" t="s">
        <v>52</v>
      </c>
      <c r="H255">
        <v>2</v>
      </c>
      <c r="I255">
        <v>1406</v>
      </c>
      <c r="J255">
        <v>0.1</v>
      </c>
      <c r="K255">
        <v>2530.8000000000002</v>
      </c>
      <c r="L255">
        <v>610.63</v>
      </c>
      <c r="M255" t="str">
        <f t="shared" si="27"/>
        <v>Electric Kettle</v>
      </c>
      <c r="N255" t="str">
        <f t="shared" si="28"/>
        <v>Kolkata</v>
      </c>
      <c r="O255" t="str">
        <f t="shared" si="29"/>
        <v>East</v>
      </c>
      <c r="P255" t="str">
        <f t="shared" si="30"/>
        <v>Home Appliances</v>
      </c>
      <c r="Q255" t="str">
        <f t="shared" si="31"/>
        <v>Home Appliances</v>
      </c>
      <c r="R255" t="str">
        <f t="shared" si="32"/>
        <v>East</v>
      </c>
      <c r="S255" t="str">
        <f t="shared" si="33"/>
        <v>Kolkata</v>
      </c>
      <c r="T255">
        <f t="shared" si="34"/>
        <v>2530.8000000000002</v>
      </c>
      <c r="U255" t="str">
        <f t="shared" si="35"/>
        <v>OK</v>
      </c>
    </row>
    <row r="256" spans="1:21" x14ac:dyDescent="0.3">
      <c r="A256" t="s">
        <v>446</v>
      </c>
      <c r="B256" s="3">
        <v>45689</v>
      </c>
      <c r="C256" t="s">
        <v>440</v>
      </c>
      <c r="D256" t="s">
        <v>202</v>
      </c>
      <c r="E256" t="s">
        <v>44</v>
      </c>
      <c r="F256" t="s">
        <v>16</v>
      </c>
      <c r="G256" t="s">
        <v>52</v>
      </c>
      <c r="H256">
        <v>1</v>
      </c>
      <c r="I256">
        <v>1328</v>
      </c>
      <c r="J256">
        <v>0.05</v>
      </c>
      <c r="K256">
        <v>1261.5999999999999</v>
      </c>
      <c r="L256">
        <v>291.87</v>
      </c>
      <c r="M256" t="str">
        <f t="shared" si="27"/>
        <v>Laptop Stand</v>
      </c>
      <c r="N256" t="str">
        <f t="shared" si="28"/>
        <v>Kolkata</v>
      </c>
      <c r="O256" t="str">
        <f t="shared" si="29"/>
        <v>East</v>
      </c>
      <c r="P256" t="str">
        <f t="shared" si="30"/>
        <v>Accessories</v>
      </c>
      <c r="Q256" t="str">
        <f t="shared" si="31"/>
        <v>Accessories</v>
      </c>
      <c r="R256" t="str">
        <f t="shared" si="32"/>
        <v>East</v>
      </c>
      <c r="S256" t="str">
        <f t="shared" si="33"/>
        <v>Kolkata</v>
      </c>
      <c r="T256">
        <f t="shared" si="34"/>
        <v>1261.5999999999999</v>
      </c>
      <c r="U256" t="str">
        <f t="shared" si="35"/>
        <v>OK</v>
      </c>
    </row>
    <row r="257" spans="1:21" x14ac:dyDescent="0.3">
      <c r="A257" t="s">
        <v>447</v>
      </c>
      <c r="B257" s="3">
        <v>45773</v>
      </c>
      <c r="C257" t="s">
        <v>448</v>
      </c>
      <c r="D257" t="s">
        <v>103</v>
      </c>
      <c r="E257" t="s">
        <v>51</v>
      </c>
      <c r="F257" t="s">
        <v>16</v>
      </c>
      <c r="G257" t="s">
        <v>104</v>
      </c>
      <c r="H257">
        <v>4</v>
      </c>
      <c r="I257">
        <v>3063</v>
      </c>
      <c r="J257">
        <v>0.05</v>
      </c>
      <c r="K257">
        <v>11639.4</v>
      </c>
      <c r="L257">
        <v>3224.09</v>
      </c>
      <c r="M257" t="str">
        <f t="shared" si="27"/>
        <v>Headphones</v>
      </c>
      <c r="N257" t="str">
        <f t="shared" si="28"/>
        <v>Bhubaneswar</v>
      </c>
      <c r="O257" t="str">
        <f t="shared" si="29"/>
        <v>East</v>
      </c>
      <c r="P257" t="str">
        <f t="shared" si="30"/>
        <v>Electronics</v>
      </c>
      <c r="Q257" t="str">
        <f t="shared" si="31"/>
        <v>Electronics</v>
      </c>
      <c r="R257" t="str">
        <f t="shared" si="32"/>
        <v>East</v>
      </c>
      <c r="S257" t="str">
        <f t="shared" si="33"/>
        <v>Bhubaneswar</v>
      </c>
      <c r="T257">
        <f t="shared" si="34"/>
        <v>11639.4</v>
      </c>
      <c r="U257" t="str">
        <f t="shared" si="35"/>
        <v>OK</v>
      </c>
    </row>
    <row r="258" spans="1:21" x14ac:dyDescent="0.3">
      <c r="A258" t="s">
        <v>449</v>
      </c>
      <c r="B258" s="3">
        <v>45701</v>
      </c>
      <c r="C258" t="s">
        <v>125</v>
      </c>
      <c r="D258" t="s">
        <v>25</v>
      </c>
      <c r="E258" t="s">
        <v>26</v>
      </c>
      <c r="F258" t="s">
        <v>58</v>
      </c>
      <c r="G258" t="s">
        <v>69</v>
      </c>
      <c r="H258">
        <v>2</v>
      </c>
      <c r="I258">
        <v>11974</v>
      </c>
      <c r="J258">
        <v>0</v>
      </c>
      <c r="K258">
        <v>23948</v>
      </c>
      <c r="L258">
        <v>5061.55</v>
      </c>
      <c r="M258" t="str">
        <f t="shared" si="27"/>
        <v>Microwave</v>
      </c>
      <c r="N258" t="str">
        <f t="shared" si="28"/>
        <v>Jaipur</v>
      </c>
      <c r="O258" t="str">
        <f t="shared" si="29"/>
        <v>North</v>
      </c>
      <c r="P258" t="str">
        <f t="shared" si="30"/>
        <v>Home Appliances</v>
      </c>
      <c r="Q258" t="str">
        <f t="shared" si="31"/>
        <v>Home Appliances</v>
      </c>
      <c r="R258" t="str">
        <f t="shared" si="32"/>
        <v>North</v>
      </c>
      <c r="S258" t="str">
        <f t="shared" si="33"/>
        <v>Jaipur</v>
      </c>
      <c r="T258">
        <f t="shared" si="34"/>
        <v>23948</v>
      </c>
      <c r="U258" t="str">
        <f t="shared" si="35"/>
        <v>OK</v>
      </c>
    </row>
    <row r="259" spans="1:21" x14ac:dyDescent="0.3">
      <c r="A259" t="s">
        <v>450</v>
      </c>
      <c r="B259" s="3">
        <v>45964</v>
      </c>
      <c r="C259" t="s">
        <v>451</v>
      </c>
      <c r="D259" t="s">
        <v>30</v>
      </c>
      <c r="E259" t="s">
        <v>15</v>
      </c>
      <c r="F259" t="s">
        <v>16</v>
      </c>
      <c r="G259" t="s">
        <v>52</v>
      </c>
      <c r="H259">
        <v>1</v>
      </c>
      <c r="I259">
        <v>6274</v>
      </c>
      <c r="J259">
        <v>0</v>
      </c>
      <c r="K259">
        <v>6274</v>
      </c>
      <c r="L259">
        <v>949.47</v>
      </c>
      <c r="M259" t="str">
        <f t="shared" ref="M259:M322" si="36">TRIM(D259)</f>
        <v>Bookshelf</v>
      </c>
      <c r="N259" t="str">
        <f t="shared" ref="N259:N322" si="37">TRIM(G259)</f>
        <v>Kolkata</v>
      </c>
      <c r="O259" t="str">
        <f t="shared" ref="O259:O322" si="38">TRIM(F:F)</f>
        <v>East</v>
      </c>
      <c r="P259" t="str">
        <f t="shared" ref="P259:P322" si="39">TRIM(E259)</f>
        <v>Furniture</v>
      </c>
      <c r="Q259" t="str">
        <f t="shared" ref="Q259:Q322" si="40">PROPER(E259)</f>
        <v>Furniture</v>
      </c>
      <c r="R259" t="str">
        <f t="shared" ref="R259:R322" si="41">PROPER(F259)</f>
        <v>East</v>
      </c>
      <c r="S259" t="str">
        <f t="shared" ref="S259:S322" si="42">PROPER(G259)</f>
        <v>Kolkata</v>
      </c>
      <c r="T259">
        <f t="shared" ref="T259:T322" si="43">H259*I259*(1-J259)</f>
        <v>6274</v>
      </c>
      <c r="U259" t="str">
        <f t="shared" ref="U259:U322" si="44">IF(ROUND(K259,2)=ROUND(T259,2),"OK","CHECK")</f>
        <v>OK</v>
      </c>
    </row>
    <row r="260" spans="1:21" x14ac:dyDescent="0.3">
      <c r="A260" t="s">
        <v>452</v>
      </c>
      <c r="B260" s="3">
        <v>45704</v>
      </c>
      <c r="C260" t="s">
        <v>328</v>
      </c>
      <c r="D260" t="s">
        <v>47</v>
      </c>
      <c r="E260" t="s">
        <v>26</v>
      </c>
      <c r="F260" t="s">
        <v>21</v>
      </c>
      <c r="G260" t="s">
        <v>22</v>
      </c>
      <c r="H260">
        <v>1</v>
      </c>
      <c r="I260">
        <v>20454</v>
      </c>
      <c r="J260">
        <v>0.1</v>
      </c>
      <c r="K260">
        <v>18408.599999999999</v>
      </c>
      <c r="L260">
        <v>3120.64</v>
      </c>
      <c r="M260" t="str">
        <f t="shared" si="36"/>
        <v>Air Purifier</v>
      </c>
      <c r="N260" t="str">
        <f t="shared" si="37"/>
        <v>Ahmedabad</v>
      </c>
      <c r="O260" t="str">
        <f t="shared" si="38"/>
        <v>West</v>
      </c>
      <c r="P260" t="str">
        <f t="shared" si="39"/>
        <v>Home Appliances</v>
      </c>
      <c r="Q260" t="str">
        <f t="shared" si="40"/>
        <v>Home Appliances</v>
      </c>
      <c r="R260" t="str">
        <f t="shared" si="41"/>
        <v>West</v>
      </c>
      <c r="S260" t="str">
        <f t="shared" si="42"/>
        <v>Ahmedabad</v>
      </c>
      <c r="T260">
        <f t="shared" si="43"/>
        <v>18408.600000000002</v>
      </c>
      <c r="U260" t="str">
        <f t="shared" si="44"/>
        <v>OK</v>
      </c>
    </row>
    <row r="261" spans="1:21" x14ac:dyDescent="0.3">
      <c r="A261" t="s">
        <v>453</v>
      </c>
      <c r="B261" s="3">
        <v>45940</v>
      </c>
      <c r="C261" t="s">
        <v>403</v>
      </c>
      <c r="D261" t="s">
        <v>50</v>
      </c>
      <c r="E261" t="s">
        <v>51</v>
      </c>
      <c r="F261" t="s">
        <v>58</v>
      </c>
      <c r="G261" t="s">
        <v>59</v>
      </c>
      <c r="H261">
        <v>1</v>
      </c>
      <c r="I261">
        <v>3456</v>
      </c>
      <c r="J261">
        <v>0</v>
      </c>
      <c r="K261">
        <v>3456</v>
      </c>
      <c r="L261">
        <v>416.11</v>
      </c>
      <c r="M261" t="str">
        <f t="shared" si="36"/>
        <v>Keyboard</v>
      </c>
      <c r="N261" t="str">
        <f t="shared" si="37"/>
        <v>Chandigarh</v>
      </c>
      <c r="O261" t="str">
        <f t="shared" si="38"/>
        <v>North</v>
      </c>
      <c r="P261" t="str">
        <f t="shared" si="39"/>
        <v>Electronics</v>
      </c>
      <c r="Q261" t="str">
        <f t="shared" si="40"/>
        <v>Electronics</v>
      </c>
      <c r="R261" t="str">
        <f t="shared" si="41"/>
        <v>North</v>
      </c>
      <c r="S261" t="str">
        <f t="shared" si="42"/>
        <v>Chandigarh</v>
      </c>
      <c r="T261">
        <f t="shared" si="43"/>
        <v>3456</v>
      </c>
      <c r="U261" t="str">
        <f t="shared" si="44"/>
        <v>OK</v>
      </c>
    </row>
    <row r="262" spans="1:21" x14ac:dyDescent="0.3">
      <c r="A262" t="s">
        <v>454</v>
      </c>
      <c r="B262" s="3">
        <v>45758</v>
      </c>
      <c r="C262" t="s">
        <v>328</v>
      </c>
      <c r="D262" t="s">
        <v>43</v>
      </c>
      <c r="E262" t="s">
        <v>44</v>
      </c>
      <c r="F262" t="s">
        <v>21</v>
      </c>
      <c r="G262" t="s">
        <v>22</v>
      </c>
      <c r="H262">
        <v>2</v>
      </c>
      <c r="I262">
        <v>1038</v>
      </c>
      <c r="J262">
        <v>0</v>
      </c>
      <c r="K262">
        <v>2076</v>
      </c>
      <c r="L262">
        <v>532.46</v>
      </c>
      <c r="M262" t="str">
        <f t="shared" si="36"/>
        <v>Phone Holder</v>
      </c>
      <c r="N262" t="str">
        <f t="shared" si="37"/>
        <v>Ahmedabad</v>
      </c>
      <c r="O262" t="str">
        <f t="shared" si="38"/>
        <v>West</v>
      </c>
      <c r="P262" t="str">
        <f t="shared" si="39"/>
        <v>Accessories</v>
      </c>
      <c r="Q262" t="str">
        <f t="shared" si="40"/>
        <v>Accessories</v>
      </c>
      <c r="R262" t="str">
        <f t="shared" si="41"/>
        <v>West</v>
      </c>
      <c r="S262" t="str">
        <f t="shared" si="42"/>
        <v>Ahmedabad</v>
      </c>
      <c r="T262">
        <f t="shared" si="43"/>
        <v>2076</v>
      </c>
      <c r="U262" t="str">
        <f t="shared" si="44"/>
        <v>OK</v>
      </c>
    </row>
    <row r="263" spans="1:21" x14ac:dyDescent="0.3">
      <c r="A263" t="s">
        <v>455</v>
      </c>
      <c r="B263" s="3">
        <v>45720</v>
      </c>
      <c r="C263" t="s">
        <v>456</v>
      </c>
      <c r="D263" t="s">
        <v>88</v>
      </c>
      <c r="E263" t="s">
        <v>73</v>
      </c>
      <c r="F263" t="s">
        <v>21</v>
      </c>
      <c r="G263" t="s">
        <v>35</v>
      </c>
      <c r="H263">
        <v>2</v>
      </c>
      <c r="I263">
        <v>161</v>
      </c>
      <c r="J263">
        <v>0.15</v>
      </c>
      <c r="K263">
        <v>273.7</v>
      </c>
      <c r="L263">
        <v>39.58</v>
      </c>
      <c r="M263" t="str">
        <f t="shared" si="36"/>
        <v>Stapler</v>
      </c>
      <c r="N263" t="str">
        <f t="shared" si="37"/>
        <v>Mumbai</v>
      </c>
      <c r="O263" t="str">
        <f t="shared" si="38"/>
        <v>West</v>
      </c>
      <c r="P263" t="str">
        <f t="shared" si="39"/>
        <v>Office Supplies</v>
      </c>
      <c r="Q263" t="str">
        <f t="shared" si="40"/>
        <v>Office Supplies</v>
      </c>
      <c r="R263" t="str">
        <f t="shared" si="41"/>
        <v>West</v>
      </c>
      <c r="S263" t="str">
        <f t="shared" si="42"/>
        <v>Mumbai</v>
      </c>
      <c r="T263">
        <f t="shared" si="43"/>
        <v>273.7</v>
      </c>
      <c r="U263" t="str">
        <f t="shared" si="44"/>
        <v>OK</v>
      </c>
    </row>
    <row r="264" spans="1:21" x14ac:dyDescent="0.3">
      <c r="A264" t="s">
        <v>457</v>
      </c>
      <c r="B264" s="3">
        <v>45785</v>
      </c>
      <c r="C264" t="s">
        <v>458</v>
      </c>
      <c r="D264" t="s">
        <v>202</v>
      </c>
      <c r="E264" t="s">
        <v>44</v>
      </c>
      <c r="F264" t="s">
        <v>16</v>
      </c>
      <c r="G264" t="s">
        <v>17</v>
      </c>
      <c r="H264">
        <v>1</v>
      </c>
      <c r="I264">
        <v>2355</v>
      </c>
      <c r="J264">
        <v>0.1</v>
      </c>
      <c r="K264">
        <v>2119.5</v>
      </c>
      <c r="L264">
        <v>474.49</v>
      </c>
      <c r="M264" t="str">
        <f t="shared" si="36"/>
        <v>Laptop Stand</v>
      </c>
      <c r="N264" t="str">
        <f t="shared" si="37"/>
        <v>Guwahati</v>
      </c>
      <c r="O264" t="str">
        <f t="shared" si="38"/>
        <v>East</v>
      </c>
      <c r="P264" t="str">
        <f t="shared" si="39"/>
        <v>Accessories</v>
      </c>
      <c r="Q264" t="str">
        <f t="shared" si="40"/>
        <v>Accessories</v>
      </c>
      <c r="R264" t="str">
        <f t="shared" si="41"/>
        <v>East</v>
      </c>
      <c r="S264" t="str">
        <f t="shared" si="42"/>
        <v>Guwahati</v>
      </c>
      <c r="T264">
        <f t="shared" si="43"/>
        <v>2119.5</v>
      </c>
      <c r="U264" t="str">
        <f t="shared" si="44"/>
        <v>OK</v>
      </c>
    </row>
    <row r="265" spans="1:21" x14ac:dyDescent="0.3">
      <c r="A265" t="s">
        <v>459</v>
      </c>
      <c r="B265" s="3">
        <v>45922</v>
      </c>
      <c r="C265" t="s">
        <v>398</v>
      </c>
      <c r="D265" t="s">
        <v>103</v>
      </c>
      <c r="E265" t="s">
        <v>51</v>
      </c>
      <c r="F265" t="s">
        <v>16</v>
      </c>
      <c r="G265" t="s">
        <v>52</v>
      </c>
      <c r="H265">
        <v>3</v>
      </c>
      <c r="I265">
        <v>5418</v>
      </c>
      <c r="J265">
        <v>0.1</v>
      </c>
      <c r="K265">
        <v>14628.6</v>
      </c>
      <c r="L265">
        <v>2089.9899999999998</v>
      </c>
      <c r="M265" t="str">
        <f t="shared" si="36"/>
        <v>Headphones</v>
      </c>
      <c r="N265" t="str">
        <f t="shared" si="37"/>
        <v>Kolkata</v>
      </c>
      <c r="O265" t="str">
        <f t="shared" si="38"/>
        <v>East</v>
      </c>
      <c r="P265" t="str">
        <f t="shared" si="39"/>
        <v>Electronics</v>
      </c>
      <c r="Q265" t="str">
        <f t="shared" si="40"/>
        <v>Electronics</v>
      </c>
      <c r="R265" t="str">
        <f t="shared" si="41"/>
        <v>East</v>
      </c>
      <c r="S265" t="str">
        <f t="shared" si="42"/>
        <v>Kolkata</v>
      </c>
      <c r="T265">
        <f t="shared" si="43"/>
        <v>14628.6</v>
      </c>
      <c r="U265" t="str">
        <f t="shared" si="44"/>
        <v>OK</v>
      </c>
    </row>
    <row r="266" spans="1:21" x14ac:dyDescent="0.3">
      <c r="A266" t="s">
        <v>460</v>
      </c>
      <c r="B266" s="3">
        <v>45870</v>
      </c>
      <c r="C266" t="s">
        <v>19</v>
      </c>
      <c r="D266" t="s">
        <v>43</v>
      </c>
      <c r="E266" t="s">
        <v>44</v>
      </c>
      <c r="F266" t="s">
        <v>21</v>
      </c>
      <c r="G266" t="s">
        <v>35</v>
      </c>
      <c r="H266">
        <v>1</v>
      </c>
      <c r="I266">
        <v>1283</v>
      </c>
      <c r="J266">
        <v>0.15</v>
      </c>
      <c r="K266">
        <v>1090.55</v>
      </c>
      <c r="L266">
        <v>201.85</v>
      </c>
      <c r="M266" t="str">
        <f t="shared" si="36"/>
        <v>Phone Holder</v>
      </c>
      <c r="N266" t="str">
        <f t="shared" si="37"/>
        <v>Mumbai</v>
      </c>
      <c r="O266" t="str">
        <f t="shared" si="38"/>
        <v>West</v>
      </c>
      <c r="P266" t="str">
        <f t="shared" si="39"/>
        <v>Accessories</v>
      </c>
      <c r="Q266" t="str">
        <f t="shared" si="40"/>
        <v>Accessories</v>
      </c>
      <c r="R266" t="str">
        <f t="shared" si="41"/>
        <v>West</v>
      </c>
      <c r="S266" t="str">
        <f t="shared" si="42"/>
        <v>Mumbai</v>
      </c>
      <c r="T266">
        <f t="shared" si="43"/>
        <v>1090.55</v>
      </c>
      <c r="U266" t="str">
        <f t="shared" si="44"/>
        <v>OK</v>
      </c>
    </row>
    <row r="267" spans="1:21" x14ac:dyDescent="0.3">
      <c r="A267" t="s">
        <v>461</v>
      </c>
      <c r="B267" s="3">
        <v>45820</v>
      </c>
      <c r="C267" t="s">
        <v>123</v>
      </c>
      <c r="D267" t="s">
        <v>92</v>
      </c>
      <c r="E267" t="s">
        <v>51</v>
      </c>
      <c r="F267" t="s">
        <v>27</v>
      </c>
      <c r="G267" t="s">
        <v>28</v>
      </c>
      <c r="H267">
        <v>1</v>
      </c>
      <c r="I267">
        <v>14567</v>
      </c>
      <c r="J267">
        <v>0.05</v>
      </c>
      <c r="K267">
        <v>13838.65</v>
      </c>
      <c r="L267">
        <v>3179.64</v>
      </c>
      <c r="M267" t="str">
        <f t="shared" si="36"/>
        <v>Monitor</v>
      </c>
      <c r="N267" t="str">
        <f t="shared" si="37"/>
        <v>Bengaluru</v>
      </c>
      <c r="O267" t="str">
        <f t="shared" si="38"/>
        <v>South</v>
      </c>
      <c r="P267" t="str">
        <f t="shared" si="39"/>
        <v>Electronics</v>
      </c>
      <c r="Q267" t="str">
        <f t="shared" si="40"/>
        <v>Electronics</v>
      </c>
      <c r="R267" t="str">
        <f t="shared" si="41"/>
        <v>South</v>
      </c>
      <c r="S267" t="str">
        <f t="shared" si="42"/>
        <v>Bengaluru</v>
      </c>
      <c r="T267">
        <f t="shared" si="43"/>
        <v>13838.65</v>
      </c>
      <c r="U267" t="str">
        <f t="shared" si="44"/>
        <v>OK</v>
      </c>
    </row>
    <row r="268" spans="1:21" x14ac:dyDescent="0.3">
      <c r="A268" t="s">
        <v>462</v>
      </c>
      <c r="B268" s="3">
        <v>45765</v>
      </c>
      <c r="C268" t="s">
        <v>463</v>
      </c>
      <c r="D268" t="s">
        <v>25</v>
      </c>
      <c r="E268" t="s">
        <v>26</v>
      </c>
      <c r="F268" t="s">
        <v>58</v>
      </c>
      <c r="G268" t="s">
        <v>126</v>
      </c>
      <c r="H268">
        <v>2</v>
      </c>
      <c r="I268">
        <v>17749</v>
      </c>
      <c r="J268">
        <v>0.1</v>
      </c>
      <c r="K268">
        <v>31948.2</v>
      </c>
      <c r="L268">
        <v>3362.64</v>
      </c>
      <c r="M268" t="str">
        <f t="shared" si="36"/>
        <v>Microwave</v>
      </c>
      <c r="N268" t="str">
        <f t="shared" si="37"/>
        <v>Delhi</v>
      </c>
      <c r="O268" t="str">
        <f t="shared" si="38"/>
        <v>North</v>
      </c>
      <c r="P268" t="str">
        <f t="shared" si="39"/>
        <v>Home Appliances</v>
      </c>
      <c r="Q268" t="str">
        <f t="shared" si="40"/>
        <v>Home Appliances</v>
      </c>
      <c r="R268" t="str">
        <f t="shared" si="41"/>
        <v>North</v>
      </c>
      <c r="S268" t="str">
        <f t="shared" si="42"/>
        <v>Delhi</v>
      </c>
      <c r="T268">
        <f t="shared" si="43"/>
        <v>31948.2</v>
      </c>
      <c r="U268" t="str">
        <f t="shared" si="44"/>
        <v>OK</v>
      </c>
    </row>
    <row r="269" spans="1:21" x14ac:dyDescent="0.3">
      <c r="A269" t="s">
        <v>464</v>
      </c>
      <c r="B269" s="3">
        <v>45858</v>
      </c>
      <c r="C269" t="s">
        <v>134</v>
      </c>
      <c r="D269" t="s">
        <v>50</v>
      </c>
      <c r="E269" t="s">
        <v>51</v>
      </c>
      <c r="F269" t="s">
        <v>21</v>
      </c>
      <c r="G269" t="s">
        <v>22</v>
      </c>
      <c r="H269">
        <v>2</v>
      </c>
      <c r="I269">
        <v>3478</v>
      </c>
      <c r="J269">
        <v>0</v>
      </c>
      <c r="K269">
        <v>6956</v>
      </c>
      <c r="L269">
        <v>663.71</v>
      </c>
      <c r="M269" t="str">
        <f t="shared" si="36"/>
        <v>Keyboard</v>
      </c>
      <c r="N269" t="str">
        <f t="shared" si="37"/>
        <v>Ahmedabad</v>
      </c>
      <c r="O269" t="str">
        <f t="shared" si="38"/>
        <v>West</v>
      </c>
      <c r="P269" t="str">
        <f t="shared" si="39"/>
        <v>Electronics</v>
      </c>
      <c r="Q269" t="str">
        <f t="shared" si="40"/>
        <v>Electronics</v>
      </c>
      <c r="R269" t="str">
        <f t="shared" si="41"/>
        <v>West</v>
      </c>
      <c r="S269" t="str">
        <f t="shared" si="42"/>
        <v>Ahmedabad</v>
      </c>
      <c r="T269">
        <f t="shared" si="43"/>
        <v>6956</v>
      </c>
      <c r="U269" t="str">
        <f t="shared" si="44"/>
        <v>OK</v>
      </c>
    </row>
    <row r="270" spans="1:21" x14ac:dyDescent="0.3">
      <c r="A270" t="s">
        <v>465</v>
      </c>
      <c r="B270" s="3">
        <v>45800</v>
      </c>
      <c r="C270" t="s">
        <v>57</v>
      </c>
      <c r="D270" t="s">
        <v>83</v>
      </c>
      <c r="E270" t="s">
        <v>73</v>
      </c>
      <c r="F270" t="s">
        <v>16</v>
      </c>
      <c r="G270" t="s">
        <v>104</v>
      </c>
      <c r="H270">
        <v>1</v>
      </c>
      <c r="I270">
        <v>272</v>
      </c>
      <c r="J270">
        <v>0.05</v>
      </c>
      <c r="K270">
        <v>258.39999999999998</v>
      </c>
      <c r="L270">
        <v>54.43</v>
      </c>
      <c r="M270" t="str">
        <f t="shared" si="36"/>
        <v>Printer Paper</v>
      </c>
      <c r="N270" t="str">
        <f t="shared" si="37"/>
        <v>Bhubaneswar</v>
      </c>
      <c r="O270" t="str">
        <f t="shared" si="38"/>
        <v>East</v>
      </c>
      <c r="P270" t="str">
        <f t="shared" si="39"/>
        <v>Office Supplies</v>
      </c>
      <c r="Q270" t="str">
        <f t="shared" si="40"/>
        <v>Office Supplies</v>
      </c>
      <c r="R270" t="str">
        <f t="shared" si="41"/>
        <v>East</v>
      </c>
      <c r="S270" t="str">
        <f t="shared" si="42"/>
        <v>Bhubaneswar</v>
      </c>
      <c r="T270">
        <f t="shared" si="43"/>
        <v>258.39999999999998</v>
      </c>
      <c r="U270" t="str">
        <f t="shared" si="44"/>
        <v>OK</v>
      </c>
    </row>
    <row r="271" spans="1:21" x14ac:dyDescent="0.3">
      <c r="A271" t="s">
        <v>466</v>
      </c>
      <c r="B271" s="3">
        <v>46012</v>
      </c>
      <c r="C271" t="s">
        <v>389</v>
      </c>
      <c r="D271" t="s">
        <v>97</v>
      </c>
      <c r="E271" t="s">
        <v>44</v>
      </c>
      <c r="F271" t="s">
        <v>16</v>
      </c>
      <c r="G271" t="s">
        <v>52</v>
      </c>
      <c r="H271">
        <v>1</v>
      </c>
      <c r="I271">
        <v>1104</v>
      </c>
      <c r="J271">
        <v>0.1</v>
      </c>
      <c r="K271">
        <v>993.6</v>
      </c>
      <c r="L271">
        <v>253.21</v>
      </c>
      <c r="M271" t="str">
        <f t="shared" si="36"/>
        <v>USB Cable</v>
      </c>
      <c r="N271" t="str">
        <f t="shared" si="37"/>
        <v>Kolkata</v>
      </c>
      <c r="O271" t="str">
        <f t="shared" si="38"/>
        <v>East</v>
      </c>
      <c r="P271" t="str">
        <f t="shared" si="39"/>
        <v>Accessories</v>
      </c>
      <c r="Q271" t="str">
        <f t="shared" si="40"/>
        <v>Accessories</v>
      </c>
      <c r="R271" t="str">
        <f t="shared" si="41"/>
        <v>East</v>
      </c>
      <c r="S271" t="str">
        <f t="shared" si="42"/>
        <v>Kolkata</v>
      </c>
      <c r="T271">
        <f t="shared" si="43"/>
        <v>993.6</v>
      </c>
      <c r="U271" t="str">
        <f t="shared" si="44"/>
        <v>OK</v>
      </c>
    </row>
    <row r="272" spans="1:21" x14ac:dyDescent="0.3">
      <c r="A272" t="s">
        <v>467</v>
      </c>
      <c r="B272" s="3">
        <v>45695</v>
      </c>
      <c r="C272" t="s">
        <v>468</v>
      </c>
      <c r="D272" t="s">
        <v>92</v>
      </c>
      <c r="E272" t="s">
        <v>51</v>
      </c>
      <c r="F272" t="s">
        <v>21</v>
      </c>
      <c r="G272" t="s">
        <v>55</v>
      </c>
      <c r="H272">
        <v>1</v>
      </c>
      <c r="I272">
        <v>15106</v>
      </c>
      <c r="J272">
        <v>0</v>
      </c>
      <c r="K272">
        <v>15106</v>
      </c>
      <c r="L272">
        <v>2455.5100000000002</v>
      </c>
      <c r="M272" t="str">
        <f t="shared" si="36"/>
        <v>Monitor</v>
      </c>
      <c r="N272" t="str">
        <f t="shared" si="37"/>
        <v>Pune</v>
      </c>
      <c r="O272" t="str">
        <f t="shared" si="38"/>
        <v>West</v>
      </c>
      <c r="P272" t="str">
        <f t="shared" si="39"/>
        <v>Electronics</v>
      </c>
      <c r="Q272" t="str">
        <f t="shared" si="40"/>
        <v>Electronics</v>
      </c>
      <c r="R272" t="str">
        <f t="shared" si="41"/>
        <v>West</v>
      </c>
      <c r="S272" t="str">
        <f t="shared" si="42"/>
        <v>Pune</v>
      </c>
      <c r="T272">
        <f t="shared" si="43"/>
        <v>15106</v>
      </c>
      <c r="U272" t="str">
        <f t="shared" si="44"/>
        <v>OK</v>
      </c>
    </row>
    <row r="273" spans="1:21" x14ac:dyDescent="0.3">
      <c r="A273" t="s">
        <v>469</v>
      </c>
      <c r="B273" s="3">
        <v>45811</v>
      </c>
      <c r="C273" t="s">
        <v>266</v>
      </c>
      <c r="D273" t="s">
        <v>47</v>
      </c>
      <c r="E273" t="s">
        <v>26</v>
      </c>
      <c r="F273" t="s">
        <v>58</v>
      </c>
      <c r="G273" t="s">
        <v>69</v>
      </c>
      <c r="H273">
        <v>5</v>
      </c>
      <c r="I273">
        <v>8912</v>
      </c>
      <c r="J273">
        <v>0.1</v>
      </c>
      <c r="K273">
        <v>40104</v>
      </c>
      <c r="L273">
        <v>11010.76</v>
      </c>
      <c r="M273" t="str">
        <f t="shared" si="36"/>
        <v>Air Purifier</v>
      </c>
      <c r="N273" t="str">
        <f t="shared" si="37"/>
        <v>Jaipur</v>
      </c>
      <c r="O273" t="str">
        <f t="shared" si="38"/>
        <v>North</v>
      </c>
      <c r="P273" t="str">
        <f t="shared" si="39"/>
        <v>Home Appliances</v>
      </c>
      <c r="Q273" t="str">
        <f t="shared" si="40"/>
        <v>Home Appliances</v>
      </c>
      <c r="R273" t="str">
        <f t="shared" si="41"/>
        <v>North</v>
      </c>
      <c r="S273" t="str">
        <f t="shared" si="42"/>
        <v>Jaipur</v>
      </c>
      <c r="T273">
        <f t="shared" si="43"/>
        <v>40104</v>
      </c>
      <c r="U273" t="str">
        <f t="shared" si="44"/>
        <v>OK</v>
      </c>
    </row>
    <row r="274" spans="1:21" x14ac:dyDescent="0.3">
      <c r="A274" t="s">
        <v>470</v>
      </c>
      <c r="B274" s="3">
        <v>45984</v>
      </c>
      <c r="C274" t="s">
        <v>143</v>
      </c>
      <c r="D274" t="s">
        <v>83</v>
      </c>
      <c r="E274" t="s">
        <v>73</v>
      </c>
      <c r="F274" t="s">
        <v>21</v>
      </c>
      <c r="G274" t="s">
        <v>35</v>
      </c>
      <c r="H274">
        <v>2</v>
      </c>
      <c r="I274">
        <v>613</v>
      </c>
      <c r="J274">
        <v>0.1</v>
      </c>
      <c r="K274">
        <v>1103.4000000000001</v>
      </c>
      <c r="L274">
        <v>205.82</v>
      </c>
      <c r="M274" t="str">
        <f t="shared" si="36"/>
        <v>Printer Paper</v>
      </c>
      <c r="N274" t="str">
        <f t="shared" si="37"/>
        <v>Mumbai</v>
      </c>
      <c r="O274" t="str">
        <f t="shared" si="38"/>
        <v>West</v>
      </c>
      <c r="P274" t="str">
        <f t="shared" si="39"/>
        <v>Office Supplies</v>
      </c>
      <c r="Q274" t="str">
        <f t="shared" si="40"/>
        <v>Office Supplies</v>
      </c>
      <c r="R274" t="str">
        <f t="shared" si="41"/>
        <v>West</v>
      </c>
      <c r="S274" t="str">
        <f t="shared" si="42"/>
        <v>Mumbai</v>
      </c>
      <c r="T274">
        <f t="shared" si="43"/>
        <v>1103.4000000000001</v>
      </c>
      <c r="U274" t="str">
        <f t="shared" si="44"/>
        <v>OK</v>
      </c>
    </row>
    <row r="275" spans="1:21" x14ac:dyDescent="0.3">
      <c r="A275" t="s">
        <v>471</v>
      </c>
      <c r="B275" s="3">
        <v>45974</v>
      </c>
      <c r="C275" t="s">
        <v>61</v>
      </c>
      <c r="D275" t="s">
        <v>68</v>
      </c>
      <c r="E275" t="s">
        <v>44</v>
      </c>
      <c r="F275" t="s">
        <v>21</v>
      </c>
      <c r="G275" t="s">
        <v>55</v>
      </c>
      <c r="H275">
        <v>1</v>
      </c>
      <c r="I275">
        <v>3433</v>
      </c>
      <c r="J275">
        <v>0</v>
      </c>
      <c r="K275">
        <v>3433</v>
      </c>
      <c r="L275">
        <v>664.06</v>
      </c>
      <c r="M275" t="str">
        <f t="shared" si="36"/>
        <v>Webcam</v>
      </c>
      <c r="N275" t="str">
        <f t="shared" si="37"/>
        <v>Pune</v>
      </c>
      <c r="O275" t="str">
        <f t="shared" si="38"/>
        <v>West</v>
      </c>
      <c r="P275" t="str">
        <f t="shared" si="39"/>
        <v>Accessories</v>
      </c>
      <c r="Q275" t="str">
        <f t="shared" si="40"/>
        <v>Accessories</v>
      </c>
      <c r="R275" t="str">
        <f t="shared" si="41"/>
        <v>West</v>
      </c>
      <c r="S275" t="str">
        <f t="shared" si="42"/>
        <v>Pune</v>
      </c>
      <c r="T275">
        <f t="shared" si="43"/>
        <v>3433</v>
      </c>
      <c r="U275" t="str">
        <f t="shared" si="44"/>
        <v>OK</v>
      </c>
    </row>
    <row r="276" spans="1:21" x14ac:dyDescent="0.3">
      <c r="A276" t="s">
        <v>472</v>
      </c>
      <c r="B276" s="3">
        <v>45991</v>
      </c>
      <c r="C276" t="s">
        <v>473</v>
      </c>
      <c r="D276" t="s">
        <v>30</v>
      </c>
      <c r="E276" t="s">
        <v>15</v>
      </c>
      <c r="F276" t="s">
        <v>58</v>
      </c>
      <c r="G276" t="s">
        <v>59</v>
      </c>
      <c r="H276">
        <v>3</v>
      </c>
      <c r="I276">
        <v>4957</v>
      </c>
      <c r="J276">
        <v>0.2</v>
      </c>
      <c r="K276">
        <v>11896.8</v>
      </c>
      <c r="L276">
        <v>2979.59</v>
      </c>
      <c r="M276" t="str">
        <f t="shared" si="36"/>
        <v>Bookshelf</v>
      </c>
      <c r="N276" t="str">
        <f t="shared" si="37"/>
        <v>Chandigarh</v>
      </c>
      <c r="O276" t="str">
        <f t="shared" si="38"/>
        <v>North</v>
      </c>
      <c r="P276" t="str">
        <f t="shared" si="39"/>
        <v>Furniture</v>
      </c>
      <c r="Q276" t="str">
        <f t="shared" si="40"/>
        <v>Furniture</v>
      </c>
      <c r="R276" t="str">
        <f t="shared" si="41"/>
        <v>North</v>
      </c>
      <c r="S276" t="str">
        <f t="shared" si="42"/>
        <v>Chandigarh</v>
      </c>
      <c r="T276">
        <f t="shared" si="43"/>
        <v>11896.800000000001</v>
      </c>
      <c r="U276" t="str">
        <f t="shared" si="44"/>
        <v>OK</v>
      </c>
    </row>
    <row r="277" spans="1:21" x14ac:dyDescent="0.3">
      <c r="A277" t="s">
        <v>474</v>
      </c>
      <c r="B277" s="3">
        <v>45912</v>
      </c>
      <c r="C277" t="s">
        <v>136</v>
      </c>
      <c r="D277" t="s">
        <v>34</v>
      </c>
      <c r="E277" t="s">
        <v>15</v>
      </c>
      <c r="F277" t="s">
        <v>58</v>
      </c>
      <c r="H277">
        <v>1</v>
      </c>
      <c r="I277">
        <v>11311</v>
      </c>
      <c r="J277">
        <v>0.15</v>
      </c>
      <c r="K277">
        <v>9614.35</v>
      </c>
      <c r="L277">
        <v>835.81</v>
      </c>
      <c r="M277" t="str">
        <f t="shared" si="36"/>
        <v>Desk</v>
      </c>
      <c r="N277" t="str">
        <f t="shared" si="37"/>
        <v/>
      </c>
      <c r="O277" t="str">
        <f t="shared" si="38"/>
        <v>North</v>
      </c>
      <c r="P277" t="str">
        <f t="shared" si="39"/>
        <v>Furniture</v>
      </c>
      <c r="Q277" t="str">
        <f t="shared" si="40"/>
        <v>Furniture</v>
      </c>
      <c r="R277" t="str">
        <f t="shared" si="41"/>
        <v>North</v>
      </c>
      <c r="S277" t="str">
        <f t="shared" si="42"/>
        <v/>
      </c>
      <c r="T277">
        <f t="shared" si="43"/>
        <v>9614.35</v>
      </c>
      <c r="U277" t="str">
        <f t="shared" si="44"/>
        <v>OK</v>
      </c>
    </row>
    <row r="278" spans="1:21" x14ac:dyDescent="0.3">
      <c r="A278" t="s">
        <v>475</v>
      </c>
      <c r="B278" s="3">
        <v>45806</v>
      </c>
      <c r="C278" t="s">
        <v>272</v>
      </c>
      <c r="D278" t="s">
        <v>92</v>
      </c>
      <c r="E278" t="s">
        <v>51</v>
      </c>
      <c r="F278" t="s">
        <v>58</v>
      </c>
      <c r="G278" t="s">
        <v>59</v>
      </c>
      <c r="H278">
        <v>1</v>
      </c>
      <c r="I278">
        <v>22302</v>
      </c>
      <c r="J278">
        <v>0.1</v>
      </c>
      <c r="K278">
        <v>20071.8</v>
      </c>
      <c r="L278">
        <v>2067.13</v>
      </c>
      <c r="M278" t="str">
        <f t="shared" si="36"/>
        <v>Monitor</v>
      </c>
      <c r="N278" t="str">
        <f t="shared" si="37"/>
        <v>Chandigarh</v>
      </c>
      <c r="O278" t="str">
        <f t="shared" si="38"/>
        <v>North</v>
      </c>
      <c r="P278" t="str">
        <f t="shared" si="39"/>
        <v>Electronics</v>
      </c>
      <c r="Q278" t="str">
        <f t="shared" si="40"/>
        <v>Electronics</v>
      </c>
      <c r="R278" t="str">
        <f t="shared" si="41"/>
        <v>North</v>
      </c>
      <c r="S278" t="str">
        <f t="shared" si="42"/>
        <v>Chandigarh</v>
      </c>
      <c r="T278">
        <f t="shared" si="43"/>
        <v>20071.8</v>
      </c>
      <c r="U278" t="str">
        <f t="shared" si="44"/>
        <v>OK</v>
      </c>
    </row>
    <row r="279" spans="1:21" x14ac:dyDescent="0.3">
      <c r="A279" t="s">
        <v>476</v>
      </c>
      <c r="B279" s="3">
        <v>45665</v>
      </c>
      <c r="C279" t="s">
        <v>174</v>
      </c>
      <c r="D279" t="s">
        <v>83</v>
      </c>
      <c r="E279" t="s">
        <v>73</v>
      </c>
      <c r="F279" t="s">
        <v>27</v>
      </c>
      <c r="G279" t="s">
        <v>28</v>
      </c>
      <c r="H279">
        <v>2</v>
      </c>
      <c r="I279">
        <v>530</v>
      </c>
      <c r="J279">
        <v>0.05</v>
      </c>
      <c r="K279">
        <v>1007</v>
      </c>
      <c r="L279">
        <v>168.09</v>
      </c>
      <c r="M279" t="str">
        <f t="shared" si="36"/>
        <v>Printer Paper</v>
      </c>
      <c r="N279" t="str">
        <f t="shared" si="37"/>
        <v>Bengaluru</v>
      </c>
      <c r="O279" t="str">
        <f t="shared" si="38"/>
        <v>South</v>
      </c>
      <c r="P279" t="str">
        <f t="shared" si="39"/>
        <v>Office Supplies</v>
      </c>
      <c r="Q279" t="str">
        <f t="shared" si="40"/>
        <v>Office Supplies</v>
      </c>
      <c r="R279" t="str">
        <f t="shared" si="41"/>
        <v>South</v>
      </c>
      <c r="S279" t="str">
        <f t="shared" si="42"/>
        <v>Bengaluru</v>
      </c>
      <c r="T279">
        <f t="shared" si="43"/>
        <v>1007</v>
      </c>
      <c r="U279" t="str">
        <f t="shared" si="44"/>
        <v>OK</v>
      </c>
    </row>
    <row r="280" spans="1:21" x14ac:dyDescent="0.3">
      <c r="A280" t="s">
        <v>477</v>
      </c>
      <c r="B280" s="3">
        <v>45889</v>
      </c>
      <c r="C280" t="s">
        <v>199</v>
      </c>
      <c r="D280" t="s">
        <v>50</v>
      </c>
      <c r="E280" t="s">
        <v>51</v>
      </c>
      <c r="F280" t="s">
        <v>27</v>
      </c>
      <c r="G280" t="s">
        <v>28</v>
      </c>
      <c r="H280">
        <v>4</v>
      </c>
      <c r="I280">
        <v>2002</v>
      </c>
      <c r="J280">
        <v>0.15</v>
      </c>
      <c r="K280">
        <v>6806.8</v>
      </c>
      <c r="L280">
        <v>1415.28</v>
      </c>
      <c r="M280" t="str">
        <f t="shared" si="36"/>
        <v>Keyboard</v>
      </c>
      <c r="N280" t="str">
        <f t="shared" si="37"/>
        <v>Bengaluru</v>
      </c>
      <c r="O280" t="str">
        <f t="shared" si="38"/>
        <v>South</v>
      </c>
      <c r="P280" t="str">
        <f t="shared" si="39"/>
        <v>Electronics</v>
      </c>
      <c r="Q280" t="str">
        <f t="shared" si="40"/>
        <v>Electronics</v>
      </c>
      <c r="R280" t="str">
        <f t="shared" si="41"/>
        <v>South</v>
      </c>
      <c r="S280" t="str">
        <f t="shared" si="42"/>
        <v>Bengaluru</v>
      </c>
      <c r="T280">
        <f t="shared" si="43"/>
        <v>6806.8</v>
      </c>
      <c r="U280" t="str">
        <f t="shared" si="44"/>
        <v>OK</v>
      </c>
    </row>
    <row r="281" spans="1:21" x14ac:dyDescent="0.3">
      <c r="A281" t="s">
        <v>478</v>
      </c>
      <c r="B281" s="3">
        <v>45733</v>
      </c>
      <c r="C281" t="s">
        <v>473</v>
      </c>
      <c r="D281" t="s">
        <v>65</v>
      </c>
      <c r="E281" t="s">
        <v>26</v>
      </c>
      <c r="F281" t="s">
        <v>21</v>
      </c>
      <c r="G281" t="s">
        <v>55</v>
      </c>
      <c r="H281">
        <v>2</v>
      </c>
      <c r="I281">
        <v>3352</v>
      </c>
      <c r="J281">
        <v>0.2</v>
      </c>
      <c r="K281">
        <v>5363.2</v>
      </c>
      <c r="L281">
        <v>1073.3399999999999</v>
      </c>
      <c r="M281" t="str">
        <f t="shared" si="36"/>
        <v>Electric Kettle</v>
      </c>
      <c r="N281" t="str">
        <f t="shared" si="37"/>
        <v>Pune</v>
      </c>
      <c r="O281" t="str">
        <f t="shared" si="38"/>
        <v>West</v>
      </c>
      <c r="P281" t="str">
        <f t="shared" si="39"/>
        <v>Home Appliances</v>
      </c>
      <c r="Q281" t="str">
        <f t="shared" si="40"/>
        <v>Home Appliances</v>
      </c>
      <c r="R281" t="str">
        <f t="shared" si="41"/>
        <v>West</v>
      </c>
      <c r="S281" t="str">
        <f t="shared" si="42"/>
        <v>Pune</v>
      </c>
      <c r="T281">
        <f t="shared" si="43"/>
        <v>5363.2000000000007</v>
      </c>
      <c r="U281" t="str">
        <f t="shared" si="44"/>
        <v>OK</v>
      </c>
    </row>
    <row r="282" spans="1:21" x14ac:dyDescent="0.3">
      <c r="A282" t="s">
        <v>479</v>
      </c>
      <c r="B282" s="3">
        <v>45871</v>
      </c>
      <c r="C282" t="s">
        <v>204</v>
      </c>
      <c r="D282" t="s">
        <v>153</v>
      </c>
      <c r="E282" t="s">
        <v>26</v>
      </c>
      <c r="F282" t="s">
        <v>27</v>
      </c>
      <c r="G282" t="s">
        <v>40</v>
      </c>
      <c r="H282">
        <v>1</v>
      </c>
      <c r="I282">
        <v>5214</v>
      </c>
      <c r="J282">
        <v>0.1</v>
      </c>
      <c r="K282">
        <v>4692.6000000000004</v>
      </c>
      <c r="L282">
        <v>418.25</v>
      </c>
      <c r="M282" t="str">
        <f t="shared" si="36"/>
        <v>Coffee Maker</v>
      </c>
      <c r="N282" t="str">
        <f t="shared" si="37"/>
        <v>Chennai</v>
      </c>
      <c r="O282" t="str">
        <f t="shared" si="38"/>
        <v>South</v>
      </c>
      <c r="P282" t="str">
        <f t="shared" si="39"/>
        <v>Home Appliances</v>
      </c>
      <c r="Q282" t="str">
        <f t="shared" si="40"/>
        <v>Home Appliances</v>
      </c>
      <c r="R282" t="str">
        <f t="shared" si="41"/>
        <v>South</v>
      </c>
      <c r="S282" t="str">
        <f t="shared" si="42"/>
        <v>Chennai</v>
      </c>
      <c r="T282">
        <f t="shared" si="43"/>
        <v>4692.6000000000004</v>
      </c>
      <c r="U282" t="str">
        <f t="shared" si="44"/>
        <v>OK</v>
      </c>
    </row>
    <row r="283" spans="1:21" x14ac:dyDescent="0.3">
      <c r="A283" t="s">
        <v>480</v>
      </c>
      <c r="B283" s="3">
        <v>45750</v>
      </c>
      <c r="C283" t="s">
        <v>337</v>
      </c>
      <c r="D283" t="s">
        <v>92</v>
      </c>
      <c r="E283" t="s">
        <v>51</v>
      </c>
      <c r="F283" t="s">
        <v>58</v>
      </c>
      <c r="G283" t="s">
        <v>126</v>
      </c>
      <c r="H283">
        <v>2</v>
      </c>
      <c r="I283">
        <v>18960</v>
      </c>
      <c r="J283">
        <v>0.05</v>
      </c>
      <c r="K283">
        <v>36024</v>
      </c>
      <c r="L283">
        <v>6105.84</v>
      </c>
      <c r="M283" t="str">
        <f t="shared" si="36"/>
        <v>Monitor</v>
      </c>
      <c r="N283" t="str">
        <f t="shared" si="37"/>
        <v>Delhi</v>
      </c>
      <c r="O283" t="str">
        <f t="shared" si="38"/>
        <v>North</v>
      </c>
      <c r="P283" t="str">
        <f t="shared" si="39"/>
        <v>Electronics</v>
      </c>
      <c r="Q283" t="str">
        <f t="shared" si="40"/>
        <v>Electronics</v>
      </c>
      <c r="R283" t="str">
        <f t="shared" si="41"/>
        <v>North</v>
      </c>
      <c r="S283" t="str">
        <f t="shared" si="42"/>
        <v>Delhi</v>
      </c>
      <c r="T283">
        <f t="shared" si="43"/>
        <v>36024</v>
      </c>
      <c r="U283" t="str">
        <f t="shared" si="44"/>
        <v>OK</v>
      </c>
    </row>
    <row r="284" spans="1:21" x14ac:dyDescent="0.3">
      <c r="A284" t="s">
        <v>481</v>
      </c>
      <c r="B284" s="3">
        <v>45706</v>
      </c>
      <c r="C284" t="s">
        <v>482</v>
      </c>
      <c r="D284" t="s">
        <v>103</v>
      </c>
      <c r="E284" t="s">
        <v>51</v>
      </c>
      <c r="F284" t="s">
        <v>58</v>
      </c>
      <c r="G284" t="s">
        <v>69</v>
      </c>
      <c r="H284">
        <v>1</v>
      </c>
      <c r="I284">
        <v>2909</v>
      </c>
      <c r="J284">
        <v>0</v>
      </c>
      <c r="K284">
        <v>2909</v>
      </c>
      <c r="L284">
        <v>295.57</v>
      </c>
      <c r="M284" t="str">
        <f t="shared" si="36"/>
        <v>Headphones</v>
      </c>
      <c r="N284" t="str">
        <f t="shared" si="37"/>
        <v>Jaipur</v>
      </c>
      <c r="O284" t="str">
        <f t="shared" si="38"/>
        <v>North</v>
      </c>
      <c r="P284" t="str">
        <f t="shared" si="39"/>
        <v>Electronics</v>
      </c>
      <c r="Q284" t="str">
        <f t="shared" si="40"/>
        <v>Electronics</v>
      </c>
      <c r="R284" t="str">
        <f t="shared" si="41"/>
        <v>North</v>
      </c>
      <c r="S284" t="str">
        <f t="shared" si="42"/>
        <v>Jaipur</v>
      </c>
      <c r="T284">
        <f t="shared" si="43"/>
        <v>2909</v>
      </c>
      <c r="U284" t="str">
        <f t="shared" si="44"/>
        <v>OK</v>
      </c>
    </row>
    <row r="285" spans="1:21" x14ac:dyDescent="0.3">
      <c r="A285" t="s">
        <v>483</v>
      </c>
      <c r="B285" s="3">
        <v>45763</v>
      </c>
      <c r="C285" t="s">
        <v>451</v>
      </c>
      <c r="D285" t="s">
        <v>47</v>
      </c>
      <c r="E285" t="s">
        <v>26</v>
      </c>
      <c r="F285" t="s">
        <v>58</v>
      </c>
      <c r="G285" t="s">
        <v>69</v>
      </c>
      <c r="H285">
        <v>1</v>
      </c>
      <c r="I285">
        <v>20976</v>
      </c>
      <c r="J285">
        <v>0.05</v>
      </c>
      <c r="K285">
        <v>19927.2</v>
      </c>
      <c r="L285">
        <v>1941.28</v>
      </c>
      <c r="M285" t="str">
        <f t="shared" si="36"/>
        <v>Air Purifier</v>
      </c>
      <c r="N285" t="str">
        <f t="shared" si="37"/>
        <v>Jaipur</v>
      </c>
      <c r="O285" t="str">
        <f t="shared" si="38"/>
        <v>North</v>
      </c>
      <c r="P285" t="str">
        <f t="shared" si="39"/>
        <v>Home Appliances</v>
      </c>
      <c r="Q285" t="str">
        <f t="shared" si="40"/>
        <v>Home Appliances</v>
      </c>
      <c r="R285" t="str">
        <f t="shared" si="41"/>
        <v>North</v>
      </c>
      <c r="S285" t="str">
        <f t="shared" si="42"/>
        <v>Jaipur</v>
      </c>
      <c r="T285">
        <f t="shared" si="43"/>
        <v>19927.2</v>
      </c>
      <c r="U285" t="str">
        <f t="shared" si="44"/>
        <v>OK</v>
      </c>
    </row>
    <row r="286" spans="1:21" x14ac:dyDescent="0.3">
      <c r="A286" t="s">
        <v>484</v>
      </c>
      <c r="B286" s="3">
        <v>45840</v>
      </c>
      <c r="C286" t="s">
        <v>485</v>
      </c>
      <c r="D286" t="s">
        <v>83</v>
      </c>
      <c r="E286" t="s">
        <v>73</v>
      </c>
      <c r="F286" t="s">
        <v>16</v>
      </c>
      <c r="G286" t="s">
        <v>17</v>
      </c>
      <c r="H286">
        <v>4</v>
      </c>
      <c r="I286">
        <v>571</v>
      </c>
      <c r="J286">
        <v>0.1</v>
      </c>
      <c r="K286">
        <v>2055.6</v>
      </c>
      <c r="L286">
        <v>572.61</v>
      </c>
      <c r="M286" t="str">
        <f t="shared" si="36"/>
        <v>Printer Paper</v>
      </c>
      <c r="N286" t="str">
        <f t="shared" si="37"/>
        <v>Guwahati</v>
      </c>
      <c r="O286" t="str">
        <f t="shared" si="38"/>
        <v>East</v>
      </c>
      <c r="P286" t="str">
        <f t="shared" si="39"/>
        <v>Office Supplies</v>
      </c>
      <c r="Q286" t="str">
        <f t="shared" si="40"/>
        <v>Office Supplies</v>
      </c>
      <c r="R286" t="str">
        <f t="shared" si="41"/>
        <v>East</v>
      </c>
      <c r="S286" t="str">
        <f t="shared" si="42"/>
        <v>Guwahati</v>
      </c>
      <c r="T286">
        <f t="shared" si="43"/>
        <v>2055.6</v>
      </c>
      <c r="U286" t="str">
        <f t="shared" si="44"/>
        <v>OK</v>
      </c>
    </row>
    <row r="287" spans="1:21" x14ac:dyDescent="0.3">
      <c r="A287" t="s">
        <v>486</v>
      </c>
      <c r="B287" s="3">
        <v>45989</v>
      </c>
      <c r="C287" t="s">
        <v>87</v>
      </c>
      <c r="D287" t="s">
        <v>97</v>
      </c>
      <c r="E287" t="s">
        <v>44</v>
      </c>
      <c r="F287" t="s">
        <v>58</v>
      </c>
      <c r="G287" t="s">
        <v>59</v>
      </c>
      <c r="H287">
        <v>4</v>
      </c>
      <c r="I287">
        <v>887</v>
      </c>
      <c r="J287">
        <v>0.05</v>
      </c>
      <c r="K287">
        <v>3370.6</v>
      </c>
      <c r="L287">
        <v>724.41</v>
      </c>
      <c r="M287" t="str">
        <f t="shared" si="36"/>
        <v>USB Cable</v>
      </c>
      <c r="N287" t="str">
        <f t="shared" si="37"/>
        <v>Chandigarh</v>
      </c>
      <c r="O287" t="str">
        <f t="shared" si="38"/>
        <v>North</v>
      </c>
      <c r="P287" t="str">
        <f t="shared" si="39"/>
        <v>Accessories</v>
      </c>
      <c r="Q287" t="str">
        <f t="shared" si="40"/>
        <v>Accessories</v>
      </c>
      <c r="R287" t="str">
        <f t="shared" si="41"/>
        <v>North</v>
      </c>
      <c r="S287" t="str">
        <f t="shared" si="42"/>
        <v>Chandigarh</v>
      </c>
      <c r="T287">
        <f t="shared" si="43"/>
        <v>3370.6</v>
      </c>
      <c r="U287" t="str">
        <f t="shared" si="44"/>
        <v>OK</v>
      </c>
    </row>
    <row r="288" spans="1:21" x14ac:dyDescent="0.3">
      <c r="A288" t="s">
        <v>487</v>
      </c>
      <c r="B288" s="3">
        <v>45665</v>
      </c>
      <c r="C288" t="s">
        <v>139</v>
      </c>
      <c r="D288" t="s">
        <v>202</v>
      </c>
      <c r="E288" t="s">
        <v>44</v>
      </c>
      <c r="F288" t="s">
        <v>21</v>
      </c>
      <c r="G288" t="s">
        <v>55</v>
      </c>
      <c r="H288">
        <v>4</v>
      </c>
      <c r="I288">
        <v>905</v>
      </c>
      <c r="J288">
        <v>0.1</v>
      </c>
      <c r="K288">
        <v>3258</v>
      </c>
      <c r="L288">
        <v>801.2</v>
      </c>
      <c r="M288" t="str">
        <f t="shared" si="36"/>
        <v>Laptop Stand</v>
      </c>
      <c r="N288" t="str">
        <f t="shared" si="37"/>
        <v>Pune</v>
      </c>
      <c r="O288" t="str">
        <f t="shared" si="38"/>
        <v>West</v>
      </c>
      <c r="P288" t="str">
        <f t="shared" si="39"/>
        <v>Accessories</v>
      </c>
      <c r="Q288" t="str">
        <f t="shared" si="40"/>
        <v>Accessories</v>
      </c>
      <c r="R288" t="str">
        <f t="shared" si="41"/>
        <v>West</v>
      </c>
      <c r="S288" t="str">
        <f t="shared" si="42"/>
        <v>Pune</v>
      </c>
      <c r="T288">
        <f t="shared" si="43"/>
        <v>3258</v>
      </c>
      <c r="U288" t="str">
        <f t="shared" si="44"/>
        <v>OK</v>
      </c>
    </row>
    <row r="289" spans="1:21" x14ac:dyDescent="0.3">
      <c r="A289" t="s">
        <v>488</v>
      </c>
      <c r="B289" s="3">
        <v>45981</v>
      </c>
      <c r="C289" t="s">
        <v>456</v>
      </c>
      <c r="D289" t="s">
        <v>25</v>
      </c>
      <c r="E289" t="s">
        <v>26</v>
      </c>
      <c r="F289" t="s">
        <v>27</v>
      </c>
      <c r="G289" t="s">
        <v>40</v>
      </c>
      <c r="H289">
        <v>1</v>
      </c>
      <c r="I289">
        <v>11475</v>
      </c>
      <c r="J289">
        <v>0.05</v>
      </c>
      <c r="K289">
        <v>10901.25</v>
      </c>
      <c r="L289">
        <v>1135.96</v>
      </c>
      <c r="M289" t="str">
        <f t="shared" si="36"/>
        <v>Microwave</v>
      </c>
      <c r="N289" t="str">
        <f t="shared" si="37"/>
        <v>Chennai</v>
      </c>
      <c r="O289" t="str">
        <f t="shared" si="38"/>
        <v>South</v>
      </c>
      <c r="P289" t="str">
        <f t="shared" si="39"/>
        <v>Home Appliances</v>
      </c>
      <c r="Q289" t="str">
        <f t="shared" si="40"/>
        <v>Home Appliances</v>
      </c>
      <c r="R289" t="str">
        <f t="shared" si="41"/>
        <v>South</v>
      </c>
      <c r="S289" t="str">
        <f t="shared" si="42"/>
        <v>Chennai</v>
      </c>
      <c r="T289">
        <f t="shared" si="43"/>
        <v>10901.25</v>
      </c>
      <c r="U289" t="str">
        <f t="shared" si="44"/>
        <v>OK</v>
      </c>
    </row>
    <row r="290" spans="1:21" x14ac:dyDescent="0.3">
      <c r="A290" t="s">
        <v>489</v>
      </c>
      <c r="B290" s="3">
        <v>45900</v>
      </c>
      <c r="C290" t="s">
        <v>183</v>
      </c>
      <c r="D290" t="s">
        <v>47</v>
      </c>
      <c r="E290" t="s">
        <v>26</v>
      </c>
      <c r="F290" t="s">
        <v>58</v>
      </c>
      <c r="G290" t="s">
        <v>69</v>
      </c>
      <c r="H290">
        <v>1</v>
      </c>
      <c r="I290">
        <v>21126</v>
      </c>
      <c r="J290">
        <v>0.1</v>
      </c>
      <c r="K290">
        <v>19013.400000000001</v>
      </c>
      <c r="L290">
        <v>4101.84</v>
      </c>
      <c r="M290" t="str">
        <f t="shared" si="36"/>
        <v>Air Purifier</v>
      </c>
      <c r="N290" t="str">
        <f t="shared" si="37"/>
        <v>Jaipur</v>
      </c>
      <c r="O290" t="str">
        <f t="shared" si="38"/>
        <v>North</v>
      </c>
      <c r="P290" t="str">
        <f t="shared" si="39"/>
        <v>Home Appliances</v>
      </c>
      <c r="Q290" t="str">
        <f t="shared" si="40"/>
        <v>Home Appliances</v>
      </c>
      <c r="R290" t="str">
        <f t="shared" si="41"/>
        <v>North</v>
      </c>
      <c r="S290" t="str">
        <f t="shared" si="42"/>
        <v>Jaipur</v>
      </c>
      <c r="T290">
        <f t="shared" si="43"/>
        <v>19013.400000000001</v>
      </c>
      <c r="U290" t="str">
        <f t="shared" si="44"/>
        <v>OK</v>
      </c>
    </row>
    <row r="291" spans="1:21" x14ac:dyDescent="0.3">
      <c r="A291" t="s">
        <v>490</v>
      </c>
      <c r="B291" s="3">
        <v>45708</v>
      </c>
      <c r="C291" t="s">
        <v>421</v>
      </c>
      <c r="D291" t="s">
        <v>25</v>
      </c>
      <c r="E291" t="s">
        <v>26</v>
      </c>
      <c r="F291" t="s">
        <v>27</v>
      </c>
      <c r="G291" t="s">
        <v>40</v>
      </c>
      <c r="H291">
        <v>4</v>
      </c>
      <c r="I291">
        <v>13351</v>
      </c>
      <c r="J291">
        <v>0.15</v>
      </c>
      <c r="K291">
        <v>45393.4</v>
      </c>
      <c r="L291">
        <v>10204.19</v>
      </c>
      <c r="M291" t="str">
        <f t="shared" si="36"/>
        <v>Microwave</v>
      </c>
      <c r="N291" t="str">
        <f t="shared" si="37"/>
        <v>Chennai</v>
      </c>
      <c r="O291" t="str">
        <f t="shared" si="38"/>
        <v>South</v>
      </c>
      <c r="P291" t="str">
        <f t="shared" si="39"/>
        <v>Home Appliances</v>
      </c>
      <c r="Q291" t="str">
        <f t="shared" si="40"/>
        <v>Home Appliances</v>
      </c>
      <c r="R291" t="str">
        <f t="shared" si="41"/>
        <v>South</v>
      </c>
      <c r="S291" t="str">
        <f t="shared" si="42"/>
        <v>Chennai</v>
      </c>
      <c r="T291">
        <f t="shared" si="43"/>
        <v>45393.4</v>
      </c>
      <c r="U291" t="str">
        <f t="shared" si="44"/>
        <v>OK</v>
      </c>
    </row>
    <row r="292" spans="1:21" x14ac:dyDescent="0.3">
      <c r="A292" t="s">
        <v>491</v>
      </c>
      <c r="B292" s="3">
        <v>46007</v>
      </c>
      <c r="C292" t="s">
        <v>492</v>
      </c>
      <c r="D292" t="s">
        <v>83</v>
      </c>
      <c r="E292" t="s">
        <v>73</v>
      </c>
      <c r="F292" t="s">
        <v>27</v>
      </c>
      <c r="G292" t="s">
        <v>31</v>
      </c>
      <c r="H292">
        <v>1</v>
      </c>
      <c r="I292">
        <v>258</v>
      </c>
      <c r="J292">
        <v>0.05</v>
      </c>
      <c r="K292">
        <v>245.1</v>
      </c>
      <c r="L292">
        <v>34.07</v>
      </c>
      <c r="M292" t="str">
        <f t="shared" si="36"/>
        <v>Printer Paper</v>
      </c>
      <c r="N292" t="str">
        <f t="shared" si="37"/>
        <v>Hyderabad</v>
      </c>
      <c r="O292" t="str">
        <f t="shared" si="38"/>
        <v>South</v>
      </c>
      <c r="P292" t="str">
        <f t="shared" si="39"/>
        <v>Office Supplies</v>
      </c>
      <c r="Q292" t="str">
        <f t="shared" si="40"/>
        <v>Office Supplies</v>
      </c>
      <c r="R292" t="str">
        <f t="shared" si="41"/>
        <v>South</v>
      </c>
      <c r="S292" t="str">
        <f t="shared" si="42"/>
        <v>Hyderabad</v>
      </c>
      <c r="T292">
        <f t="shared" si="43"/>
        <v>245.1</v>
      </c>
      <c r="U292" t="str">
        <f t="shared" si="44"/>
        <v>OK</v>
      </c>
    </row>
    <row r="293" spans="1:21" x14ac:dyDescent="0.3">
      <c r="A293" t="s">
        <v>493</v>
      </c>
      <c r="B293" s="3">
        <v>45719</v>
      </c>
      <c r="C293" t="s">
        <v>49</v>
      </c>
      <c r="D293" t="s">
        <v>92</v>
      </c>
      <c r="E293" t="s">
        <v>51</v>
      </c>
      <c r="F293" t="s">
        <v>58</v>
      </c>
      <c r="G293" t="s">
        <v>126</v>
      </c>
      <c r="H293">
        <v>2</v>
      </c>
      <c r="I293">
        <v>14491</v>
      </c>
      <c r="J293">
        <v>0.15</v>
      </c>
      <c r="K293">
        <v>24634.7</v>
      </c>
      <c r="L293">
        <v>5184.58</v>
      </c>
      <c r="M293" t="str">
        <f t="shared" si="36"/>
        <v>Monitor</v>
      </c>
      <c r="N293" t="str">
        <f t="shared" si="37"/>
        <v>Delhi</v>
      </c>
      <c r="O293" t="str">
        <f t="shared" si="38"/>
        <v>North</v>
      </c>
      <c r="P293" t="str">
        <f t="shared" si="39"/>
        <v>Electronics</v>
      </c>
      <c r="Q293" t="str">
        <f t="shared" si="40"/>
        <v>Electronics</v>
      </c>
      <c r="R293" t="str">
        <f t="shared" si="41"/>
        <v>North</v>
      </c>
      <c r="S293" t="str">
        <f t="shared" si="42"/>
        <v>Delhi</v>
      </c>
      <c r="T293">
        <f t="shared" si="43"/>
        <v>24634.7</v>
      </c>
      <c r="U293" t="str">
        <f t="shared" si="44"/>
        <v>OK</v>
      </c>
    </row>
    <row r="294" spans="1:21" x14ac:dyDescent="0.3">
      <c r="A294" t="s">
        <v>494</v>
      </c>
      <c r="B294" s="3">
        <v>45730</v>
      </c>
      <c r="C294" t="s">
        <v>456</v>
      </c>
      <c r="D294" t="s">
        <v>30</v>
      </c>
      <c r="E294" t="s">
        <v>15</v>
      </c>
      <c r="F294" t="s">
        <v>27</v>
      </c>
      <c r="G294" t="s">
        <v>31</v>
      </c>
      <c r="H294">
        <v>1</v>
      </c>
      <c r="I294">
        <v>11995</v>
      </c>
      <c r="J294">
        <v>0.05</v>
      </c>
      <c r="K294">
        <v>11395.25</v>
      </c>
      <c r="L294">
        <v>2731.17</v>
      </c>
      <c r="M294" t="str">
        <f t="shared" si="36"/>
        <v>Bookshelf</v>
      </c>
      <c r="N294" t="str">
        <f t="shared" si="37"/>
        <v>Hyderabad</v>
      </c>
      <c r="O294" t="str">
        <f t="shared" si="38"/>
        <v>South</v>
      </c>
      <c r="P294" t="str">
        <f t="shared" si="39"/>
        <v>Furniture</v>
      </c>
      <c r="Q294" t="str">
        <f t="shared" si="40"/>
        <v>Furniture</v>
      </c>
      <c r="R294" t="str">
        <f t="shared" si="41"/>
        <v>South</v>
      </c>
      <c r="S294" t="str">
        <f t="shared" si="42"/>
        <v>Hyderabad</v>
      </c>
      <c r="T294">
        <f t="shared" si="43"/>
        <v>11395.25</v>
      </c>
      <c r="U294" t="str">
        <f t="shared" si="44"/>
        <v>OK</v>
      </c>
    </row>
    <row r="295" spans="1:21" x14ac:dyDescent="0.3">
      <c r="A295" t="s">
        <v>495</v>
      </c>
      <c r="B295" s="3">
        <v>46017</v>
      </c>
      <c r="C295" t="s">
        <v>106</v>
      </c>
      <c r="D295" t="s">
        <v>47</v>
      </c>
      <c r="E295" t="s">
        <v>26</v>
      </c>
      <c r="F295" t="s">
        <v>16</v>
      </c>
      <c r="G295" t="s">
        <v>17</v>
      </c>
      <c r="H295">
        <v>4</v>
      </c>
      <c r="I295">
        <v>7185</v>
      </c>
      <c r="J295">
        <v>0.05</v>
      </c>
      <c r="K295">
        <v>27303</v>
      </c>
      <c r="L295">
        <v>2333.9699999999998</v>
      </c>
      <c r="M295" t="str">
        <f t="shared" si="36"/>
        <v>Air Purifier</v>
      </c>
      <c r="N295" t="str">
        <f t="shared" si="37"/>
        <v>Guwahati</v>
      </c>
      <c r="O295" t="str">
        <f t="shared" si="38"/>
        <v>East</v>
      </c>
      <c r="P295" t="str">
        <f t="shared" si="39"/>
        <v>Home Appliances</v>
      </c>
      <c r="Q295" t="str">
        <f t="shared" si="40"/>
        <v>Home Appliances</v>
      </c>
      <c r="R295" t="str">
        <f t="shared" si="41"/>
        <v>East</v>
      </c>
      <c r="S295" t="str">
        <f t="shared" si="42"/>
        <v>Guwahati</v>
      </c>
      <c r="T295">
        <f t="shared" si="43"/>
        <v>27303</v>
      </c>
      <c r="U295" t="str">
        <f t="shared" si="44"/>
        <v>OK</v>
      </c>
    </row>
    <row r="296" spans="1:21" x14ac:dyDescent="0.3">
      <c r="A296" t="s">
        <v>496</v>
      </c>
      <c r="B296" s="3">
        <v>45664</v>
      </c>
      <c r="C296" t="s">
        <v>220</v>
      </c>
      <c r="D296" t="s">
        <v>88</v>
      </c>
      <c r="E296" t="s">
        <v>73</v>
      </c>
      <c r="F296" t="s">
        <v>27</v>
      </c>
      <c r="G296" t="s">
        <v>28</v>
      </c>
      <c r="H296">
        <v>1</v>
      </c>
      <c r="I296">
        <v>545</v>
      </c>
      <c r="J296">
        <v>0.05</v>
      </c>
      <c r="K296">
        <v>517.75</v>
      </c>
      <c r="L296">
        <v>57.41</v>
      </c>
      <c r="M296" t="str">
        <f t="shared" si="36"/>
        <v>Stapler</v>
      </c>
      <c r="N296" t="str">
        <f t="shared" si="37"/>
        <v>Bengaluru</v>
      </c>
      <c r="O296" t="str">
        <f t="shared" si="38"/>
        <v>South</v>
      </c>
      <c r="P296" t="str">
        <f t="shared" si="39"/>
        <v>Office Supplies</v>
      </c>
      <c r="Q296" t="str">
        <f t="shared" si="40"/>
        <v>Office Supplies</v>
      </c>
      <c r="R296" t="str">
        <f t="shared" si="41"/>
        <v>South</v>
      </c>
      <c r="S296" t="str">
        <f t="shared" si="42"/>
        <v>Bengaluru</v>
      </c>
      <c r="T296">
        <f t="shared" si="43"/>
        <v>517.75</v>
      </c>
      <c r="U296" t="str">
        <f t="shared" si="44"/>
        <v>OK</v>
      </c>
    </row>
    <row r="297" spans="1:21" x14ac:dyDescent="0.3">
      <c r="A297" t="s">
        <v>497</v>
      </c>
      <c r="B297" s="3">
        <v>45783</v>
      </c>
      <c r="C297" t="s">
        <v>429</v>
      </c>
      <c r="D297" t="s">
        <v>25</v>
      </c>
      <c r="E297" t="s">
        <v>26</v>
      </c>
      <c r="F297" t="s">
        <v>21</v>
      </c>
      <c r="G297" t="s">
        <v>22</v>
      </c>
      <c r="H297">
        <v>2</v>
      </c>
      <c r="I297">
        <v>7215</v>
      </c>
      <c r="J297">
        <v>0.15</v>
      </c>
      <c r="K297">
        <v>12265.5</v>
      </c>
      <c r="L297">
        <v>2284.0500000000002</v>
      </c>
      <c r="M297" t="str">
        <f t="shared" si="36"/>
        <v>Microwave</v>
      </c>
      <c r="N297" t="str">
        <f t="shared" si="37"/>
        <v>Ahmedabad</v>
      </c>
      <c r="O297" t="str">
        <f t="shared" si="38"/>
        <v>West</v>
      </c>
      <c r="P297" t="str">
        <f t="shared" si="39"/>
        <v>Home Appliances</v>
      </c>
      <c r="Q297" t="str">
        <f t="shared" si="40"/>
        <v>Home Appliances</v>
      </c>
      <c r="R297" t="str">
        <f t="shared" si="41"/>
        <v>West</v>
      </c>
      <c r="S297" t="str">
        <f t="shared" si="42"/>
        <v>Ahmedabad</v>
      </c>
      <c r="T297">
        <f t="shared" si="43"/>
        <v>12265.5</v>
      </c>
      <c r="U297" t="str">
        <f t="shared" si="44"/>
        <v>OK</v>
      </c>
    </row>
    <row r="298" spans="1:21" x14ac:dyDescent="0.3">
      <c r="A298" t="s">
        <v>498</v>
      </c>
      <c r="B298" s="3">
        <v>45688</v>
      </c>
      <c r="C298" t="s">
        <v>134</v>
      </c>
      <c r="D298" t="s">
        <v>120</v>
      </c>
      <c r="E298" t="s">
        <v>51</v>
      </c>
      <c r="F298" t="s">
        <v>27</v>
      </c>
      <c r="G298" t="s">
        <v>28</v>
      </c>
      <c r="H298">
        <v>2</v>
      </c>
      <c r="I298">
        <v>653</v>
      </c>
      <c r="J298">
        <v>0.1</v>
      </c>
      <c r="K298">
        <v>1175.4000000000001</v>
      </c>
      <c r="L298">
        <v>100.51</v>
      </c>
      <c r="M298" t="str">
        <f t="shared" si="36"/>
        <v>Mouse</v>
      </c>
      <c r="N298" t="str">
        <f t="shared" si="37"/>
        <v>Bengaluru</v>
      </c>
      <c r="O298" t="str">
        <f t="shared" si="38"/>
        <v>South</v>
      </c>
      <c r="P298" t="str">
        <f t="shared" si="39"/>
        <v>Electronics</v>
      </c>
      <c r="Q298" t="str">
        <f t="shared" si="40"/>
        <v>Electronics</v>
      </c>
      <c r="R298" t="str">
        <f t="shared" si="41"/>
        <v>South</v>
      </c>
      <c r="S298" t="str">
        <f t="shared" si="42"/>
        <v>Bengaluru</v>
      </c>
      <c r="T298">
        <f t="shared" si="43"/>
        <v>1175.4000000000001</v>
      </c>
      <c r="U298" t="str">
        <f t="shared" si="44"/>
        <v>OK</v>
      </c>
    </row>
    <row r="299" spans="1:21" x14ac:dyDescent="0.3">
      <c r="A299" t="s">
        <v>499</v>
      </c>
      <c r="B299" s="3">
        <v>46020</v>
      </c>
      <c r="C299" t="s">
        <v>440</v>
      </c>
      <c r="D299" t="s">
        <v>43</v>
      </c>
      <c r="E299" t="s">
        <v>44</v>
      </c>
      <c r="F299" t="s">
        <v>27</v>
      </c>
      <c r="G299" t="s">
        <v>31</v>
      </c>
      <c r="H299">
        <v>1</v>
      </c>
      <c r="I299">
        <v>492</v>
      </c>
      <c r="J299">
        <v>0</v>
      </c>
      <c r="K299">
        <v>492</v>
      </c>
      <c r="L299">
        <v>113.77</v>
      </c>
      <c r="M299" t="str">
        <f t="shared" si="36"/>
        <v>Phone Holder</v>
      </c>
      <c r="N299" t="str">
        <f t="shared" si="37"/>
        <v>Hyderabad</v>
      </c>
      <c r="O299" t="str">
        <f t="shared" si="38"/>
        <v>South</v>
      </c>
      <c r="P299" t="str">
        <f t="shared" si="39"/>
        <v>Accessories</v>
      </c>
      <c r="Q299" t="str">
        <f t="shared" si="40"/>
        <v>Accessories</v>
      </c>
      <c r="R299" t="str">
        <f t="shared" si="41"/>
        <v>South</v>
      </c>
      <c r="S299" t="str">
        <f t="shared" si="42"/>
        <v>Hyderabad</v>
      </c>
      <c r="T299">
        <f t="shared" si="43"/>
        <v>492</v>
      </c>
      <c r="U299" t="str">
        <f t="shared" si="44"/>
        <v>OK</v>
      </c>
    </row>
    <row r="300" spans="1:21" x14ac:dyDescent="0.3">
      <c r="A300" t="s">
        <v>500</v>
      </c>
      <c r="B300" s="3">
        <v>45782</v>
      </c>
      <c r="C300" t="s">
        <v>501</v>
      </c>
      <c r="D300" t="s">
        <v>25</v>
      </c>
      <c r="E300" t="s">
        <v>26</v>
      </c>
      <c r="F300" t="s">
        <v>58</v>
      </c>
      <c r="G300" t="s">
        <v>69</v>
      </c>
      <c r="H300">
        <v>1</v>
      </c>
      <c r="I300">
        <v>10498</v>
      </c>
      <c r="J300">
        <v>0.1</v>
      </c>
      <c r="K300">
        <v>9448.2000000000007</v>
      </c>
      <c r="L300">
        <v>1595.1</v>
      </c>
      <c r="M300" t="str">
        <f t="shared" si="36"/>
        <v>Microwave</v>
      </c>
      <c r="N300" t="str">
        <f t="shared" si="37"/>
        <v>Jaipur</v>
      </c>
      <c r="O300" t="str">
        <f t="shared" si="38"/>
        <v>North</v>
      </c>
      <c r="P300" t="str">
        <f t="shared" si="39"/>
        <v>Home Appliances</v>
      </c>
      <c r="Q300" t="str">
        <f t="shared" si="40"/>
        <v>Home Appliances</v>
      </c>
      <c r="R300" t="str">
        <f t="shared" si="41"/>
        <v>North</v>
      </c>
      <c r="S300" t="str">
        <f t="shared" si="42"/>
        <v>Jaipur</v>
      </c>
      <c r="T300">
        <f t="shared" si="43"/>
        <v>9448.2000000000007</v>
      </c>
      <c r="U300" t="str">
        <f t="shared" si="44"/>
        <v>OK</v>
      </c>
    </row>
    <row r="301" spans="1:21" x14ac:dyDescent="0.3">
      <c r="A301" t="s">
        <v>502</v>
      </c>
      <c r="B301" s="3">
        <v>45716</v>
      </c>
      <c r="C301" t="s">
        <v>503</v>
      </c>
      <c r="D301" t="s">
        <v>97</v>
      </c>
      <c r="E301" t="s">
        <v>44</v>
      </c>
      <c r="F301" t="s">
        <v>58</v>
      </c>
      <c r="G301" t="s">
        <v>126</v>
      </c>
      <c r="H301">
        <v>5</v>
      </c>
      <c r="I301">
        <v>620</v>
      </c>
      <c r="J301">
        <v>0.05</v>
      </c>
      <c r="K301">
        <v>2945</v>
      </c>
      <c r="L301">
        <v>436.09</v>
      </c>
      <c r="M301" t="str">
        <f t="shared" si="36"/>
        <v>USB Cable</v>
      </c>
      <c r="N301" t="str">
        <f t="shared" si="37"/>
        <v>Delhi</v>
      </c>
      <c r="O301" t="str">
        <f t="shared" si="38"/>
        <v>North</v>
      </c>
      <c r="P301" t="str">
        <f t="shared" si="39"/>
        <v>Accessories</v>
      </c>
      <c r="Q301" t="str">
        <f t="shared" si="40"/>
        <v>Accessories</v>
      </c>
      <c r="R301" t="str">
        <f t="shared" si="41"/>
        <v>North</v>
      </c>
      <c r="S301" t="str">
        <f t="shared" si="42"/>
        <v>Delhi</v>
      </c>
      <c r="T301">
        <f t="shared" si="43"/>
        <v>2945</v>
      </c>
      <c r="U301" t="str">
        <f t="shared" si="44"/>
        <v>OK</v>
      </c>
    </row>
    <row r="302" spans="1:21" x14ac:dyDescent="0.3">
      <c r="A302" t="s">
        <v>504</v>
      </c>
      <c r="B302" s="3">
        <v>45819</v>
      </c>
      <c r="C302" t="s">
        <v>255</v>
      </c>
      <c r="D302" t="s">
        <v>97</v>
      </c>
      <c r="E302" t="s">
        <v>44</v>
      </c>
      <c r="F302" t="s">
        <v>58</v>
      </c>
      <c r="G302" t="s">
        <v>126</v>
      </c>
      <c r="H302">
        <v>1</v>
      </c>
      <c r="I302">
        <v>485</v>
      </c>
      <c r="J302">
        <v>0.15</v>
      </c>
      <c r="K302">
        <v>412.25</v>
      </c>
      <c r="L302">
        <v>62.35</v>
      </c>
      <c r="M302" t="str">
        <f t="shared" si="36"/>
        <v>USB Cable</v>
      </c>
      <c r="N302" t="str">
        <f t="shared" si="37"/>
        <v>Delhi</v>
      </c>
      <c r="O302" t="str">
        <f t="shared" si="38"/>
        <v>North</v>
      </c>
      <c r="P302" t="str">
        <f t="shared" si="39"/>
        <v>Accessories</v>
      </c>
      <c r="Q302" t="str">
        <f t="shared" si="40"/>
        <v>Accessories</v>
      </c>
      <c r="R302" t="str">
        <f t="shared" si="41"/>
        <v>North</v>
      </c>
      <c r="S302" t="str">
        <f t="shared" si="42"/>
        <v>Delhi</v>
      </c>
      <c r="T302">
        <f t="shared" si="43"/>
        <v>412.25</v>
      </c>
      <c r="U302" t="str">
        <f t="shared" si="44"/>
        <v>OK</v>
      </c>
    </row>
    <row r="303" spans="1:21" x14ac:dyDescent="0.3">
      <c r="A303" t="s">
        <v>505</v>
      </c>
      <c r="B303" s="3">
        <v>45998</v>
      </c>
      <c r="C303" t="s">
        <v>46</v>
      </c>
      <c r="D303" t="s">
        <v>50</v>
      </c>
      <c r="E303" t="s">
        <v>51</v>
      </c>
      <c r="F303" t="s">
        <v>27</v>
      </c>
      <c r="G303" t="s">
        <v>28</v>
      </c>
      <c r="H303">
        <v>1</v>
      </c>
      <c r="I303">
        <v>1530</v>
      </c>
      <c r="J303">
        <v>0.2</v>
      </c>
      <c r="K303">
        <v>1224</v>
      </c>
      <c r="L303">
        <v>234.45</v>
      </c>
      <c r="M303" t="str">
        <f t="shared" si="36"/>
        <v>Keyboard</v>
      </c>
      <c r="N303" t="str">
        <f t="shared" si="37"/>
        <v>Bengaluru</v>
      </c>
      <c r="O303" t="str">
        <f t="shared" si="38"/>
        <v>South</v>
      </c>
      <c r="P303" t="str">
        <f t="shared" si="39"/>
        <v>Electronics</v>
      </c>
      <c r="Q303" t="str">
        <f t="shared" si="40"/>
        <v>Electronics</v>
      </c>
      <c r="R303" t="str">
        <f t="shared" si="41"/>
        <v>South</v>
      </c>
      <c r="S303" t="str">
        <f t="shared" si="42"/>
        <v>Bengaluru</v>
      </c>
      <c r="T303">
        <f t="shared" si="43"/>
        <v>1224</v>
      </c>
      <c r="U303" t="str">
        <f t="shared" si="44"/>
        <v>OK</v>
      </c>
    </row>
    <row r="304" spans="1:21" x14ac:dyDescent="0.3">
      <c r="A304" t="s">
        <v>506</v>
      </c>
      <c r="B304" s="3">
        <v>45768</v>
      </c>
      <c r="C304" t="s">
        <v>507</v>
      </c>
      <c r="D304" t="s">
        <v>65</v>
      </c>
      <c r="E304" t="s">
        <v>26</v>
      </c>
      <c r="F304" t="s">
        <v>58</v>
      </c>
      <c r="G304" t="s">
        <v>59</v>
      </c>
      <c r="H304">
        <v>3</v>
      </c>
      <c r="I304">
        <v>1884</v>
      </c>
      <c r="J304">
        <v>0.15</v>
      </c>
      <c r="K304">
        <v>4804.2</v>
      </c>
      <c r="L304">
        <v>1090.1500000000001</v>
      </c>
      <c r="M304" t="str">
        <f t="shared" si="36"/>
        <v>Electric Kettle</v>
      </c>
      <c r="N304" t="str">
        <f t="shared" si="37"/>
        <v>Chandigarh</v>
      </c>
      <c r="O304" t="str">
        <f t="shared" si="38"/>
        <v>North</v>
      </c>
      <c r="P304" t="str">
        <f t="shared" si="39"/>
        <v>Home Appliances</v>
      </c>
      <c r="Q304" t="str">
        <f t="shared" si="40"/>
        <v>Home Appliances</v>
      </c>
      <c r="R304" t="str">
        <f t="shared" si="41"/>
        <v>North</v>
      </c>
      <c r="S304" t="str">
        <f t="shared" si="42"/>
        <v>Chandigarh</v>
      </c>
      <c r="T304">
        <f t="shared" si="43"/>
        <v>4804.2</v>
      </c>
      <c r="U304" t="str">
        <f t="shared" si="44"/>
        <v>OK</v>
      </c>
    </row>
    <row r="305" spans="1:21" x14ac:dyDescent="0.3">
      <c r="A305" t="s">
        <v>508</v>
      </c>
      <c r="B305" s="3">
        <v>45932</v>
      </c>
      <c r="C305" t="s">
        <v>225</v>
      </c>
      <c r="D305" t="s">
        <v>47</v>
      </c>
      <c r="E305" t="s">
        <v>26</v>
      </c>
      <c r="F305" t="s">
        <v>21</v>
      </c>
      <c r="G305" t="s">
        <v>55</v>
      </c>
      <c r="H305">
        <v>1</v>
      </c>
      <c r="I305">
        <v>12927</v>
      </c>
      <c r="J305">
        <v>0</v>
      </c>
      <c r="K305">
        <v>12927</v>
      </c>
      <c r="L305">
        <v>2263.64</v>
      </c>
      <c r="M305" t="str">
        <f t="shared" si="36"/>
        <v>Air Purifier</v>
      </c>
      <c r="N305" t="str">
        <f t="shared" si="37"/>
        <v>Pune</v>
      </c>
      <c r="O305" t="str">
        <f t="shared" si="38"/>
        <v>West</v>
      </c>
      <c r="P305" t="str">
        <f t="shared" si="39"/>
        <v>Home Appliances</v>
      </c>
      <c r="Q305" t="str">
        <f t="shared" si="40"/>
        <v>Home Appliances</v>
      </c>
      <c r="R305" t="str">
        <f t="shared" si="41"/>
        <v>West</v>
      </c>
      <c r="S305" t="str">
        <f t="shared" si="42"/>
        <v>Pune</v>
      </c>
      <c r="T305">
        <f t="shared" si="43"/>
        <v>12927</v>
      </c>
      <c r="U305" t="str">
        <f t="shared" si="44"/>
        <v>OK</v>
      </c>
    </row>
    <row r="306" spans="1:21" x14ac:dyDescent="0.3">
      <c r="A306" t="s">
        <v>509</v>
      </c>
      <c r="B306" s="3">
        <v>45774</v>
      </c>
      <c r="C306" t="s">
        <v>398</v>
      </c>
      <c r="D306" t="s">
        <v>202</v>
      </c>
      <c r="E306" t="s">
        <v>44</v>
      </c>
      <c r="F306" t="s">
        <v>21</v>
      </c>
      <c r="G306" t="s">
        <v>22</v>
      </c>
      <c r="H306">
        <v>2</v>
      </c>
      <c r="I306">
        <v>1819</v>
      </c>
      <c r="J306">
        <v>0.05</v>
      </c>
      <c r="K306">
        <v>3456.1</v>
      </c>
      <c r="L306">
        <v>302.74</v>
      </c>
      <c r="M306" t="str">
        <f t="shared" si="36"/>
        <v>Laptop Stand</v>
      </c>
      <c r="N306" t="str">
        <f t="shared" si="37"/>
        <v>Ahmedabad</v>
      </c>
      <c r="O306" t="str">
        <f t="shared" si="38"/>
        <v>West</v>
      </c>
      <c r="P306" t="str">
        <f t="shared" si="39"/>
        <v>Accessories</v>
      </c>
      <c r="Q306" t="str">
        <f t="shared" si="40"/>
        <v>Accessories</v>
      </c>
      <c r="R306" t="str">
        <f t="shared" si="41"/>
        <v>West</v>
      </c>
      <c r="S306" t="str">
        <f t="shared" si="42"/>
        <v>Ahmedabad</v>
      </c>
      <c r="T306">
        <f t="shared" si="43"/>
        <v>3456.1</v>
      </c>
      <c r="U306" t="str">
        <f t="shared" si="44"/>
        <v>OK</v>
      </c>
    </row>
    <row r="307" spans="1:21" x14ac:dyDescent="0.3">
      <c r="A307" t="s">
        <v>510</v>
      </c>
      <c r="B307" s="3">
        <v>45703</v>
      </c>
      <c r="C307" t="s">
        <v>119</v>
      </c>
      <c r="D307" t="s">
        <v>47</v>
      </c>
      <c r="E307" t="s">
        <v>26</v>
      </c>
      <c r="F307" t="s">
        <v>58</v>
      </c>
      <c r="G307" t="s">
        <v>126</v>
      </c>
      <c r="H307">
        <v>1</v>
      </c>
      <c r="I307">
        <v>21544</v>
      </c>
      <c r="J307">
        <v>0.2</v>
      </c>
      <c r="K307">
        <v>17235.2</v>
      </c>
      <c r="L307">
        <v>3146.81</v>
      </c>
      <c r="M307" t="str">
        <f t="shared" si="36"/>
        <v>Air Purifier</v>
      </c>
      <c r="N307" t="str">
        <f t="shared" si="37"/>
        <v>Delhi</v>
      </c>
      <c r="O307" t="str">
        <f t="shared" si="38"/>
        <v>North</v>
      </c>
      <c r="P307" t="str">
        <f t="shared" si="39"/>
        <v>Home Appliances</v>
      </c>
      <c r="Q307" t="str">
        <f t="shared" si="40"/>
        <v>Home Appliances</v>
      </c>
      <c r="R307" t="str">
        <f t="shared" si="41"/>
        <v>North</v>
      </c>
      <c r="S307" t="str">
        <f t="shared" si="42"/>
        <v>Delhi</v>
      </c>
      <c r="T307">
        <f t="shared" si="43"/>
        <v>17235.2</v>
      </c>
      <c r="U307" t="str">
        <f t="shared" si="44"/>
        <v>OK</v>
      </c>
    </row>
    <row r="308" spans="1:21" x14ac:dyDescent="0.3">
      <c r="A308" t="s">
        <v>511</v>
      </c>
      <c r="B308" s="3">
        <v>45840</v>
      </c>
      <c r="C308" t="s">
        <v>440</v>
      </c>
      <c r="D308" t="s">
        <v>65</v>
      </c>
      <c r="E308" t="s">
        <v>26</v>
      </c>
      <c r="F308" t="s">
        <v>27</v>
      </c>
      <c r="G308" t="s">
        <v>31</v>
      </c>
      <c r="H308">
        <v>1</v>
      </c>
      <c r="I308">
        <v>2143</v>
      </c>
      <c r="J308">
        <v>0</v>
      </c>
      <c r="K308">
        <v>2143</v>
      </c>
      <c r="L308">
        <v>497.95</v>
      </c>
      <c r="M308" t="str">
        <f t="shared" si="36"/>
        <v>Electric Kettle</v>
      </c>
      <c r="N308" t="str">
        <f t="shared" si="37"/>
        <v>Hyderabad</v>
      </c>
      <c r="O308" t="str">
        <f t="shared" si="38"/>
        <v>South</v>
      </c>
      <c r="P308" t="str">
        <f t="shared" si="39"/>
        <v>Home Appliances</v>
      </c>
      <c r="Q308" t="str">
        <f t="shared" si="40"/>
        <v>Home Appliances</v>
      </c>
      <c r="R308" t="str">
        <f t="shared" si="41"/>
        <v>South</v>
      </c>
      <c r="S308" t="str">
        <f t="shared" si="42"/>
        <v>Hyderabad</v>
      </c>
      <c r="T308">
        <f t="shared" si="43"/>
        <v>2143</v>
      </c>
      <c r="U308" t="str">
        <f t="shared" si="44"/>
        <v>OK</v>
      </c>
    </row>
    <row r="309" spans="1:21" x14ac:dyDescent="0.3">
      <c r="A309" t="s">
        <v>512</v>
      </c>
      <c r="B309" s="3">
        <v>45899</v>
      </c>
      <c r="C309" t="s">
        <v>305</v>
      </c>
      <c r="D309" t="s">
        <v>65</v>
      </c>
      <c r="E309" t="s">
        <v>26</v>
      </c>
      <c r="F309" t="s">
        <v>58</v>
      </c>
      <c r="G309" t="s">
        <v>59</v>
      </c>
      <c r="H309">
        <v>3</v>
      </c>
      <c r="I309">
        <v>4152</v>
      </c>
      <c r="J309">
        <v>0.05</v>
      </c>
      <c r="K309">
        <v>11833.2</v>
      </c>
      <c r="L309">
        <v>1996.16</v>
      </c>
      <c r="M309" t="str">
        <f t="shared" si="36"/>
        <v>Electric Kettle</v>
      </c>
      <c r="N309" t="str">
        <f t="shared" si="37"/>
        <v>Chandigarh</v>
      </c>
      <c r="O309" t="str">
        <f t="shared" si="38"/>
        <v>North</v>
      </c>
      <c r="P309" t="str">
        <f t="shared" si="39"/>
        <v>Home Appliances</v>
      </c>
      <c r="Q309" t="str">
        <f t="shared" si="40"/>
        <v>Home Appliances</v>
      </c>
      <c r="R309" t="str">
        <f t="shared" si="41"/>
        <v>North</v>
      </c>
      <c r="S309" t="str">
        <f t="shared" si="42"/>
        <v>Chandigarh</v>
      </c>
      <c r="T309">
        <f t="shared" si="43"/>
        <v>11833.199999999999</v>
      </c>
      <c r="U309" t="str">
        <f t="shared" si="44"/>
        <v>OK</v>
      </c>
    </row>
    <row r="310" spans="1:21" x14ac:dyDescent="0.3">
      <c r="A310" t="s">
        <v>513</v>
      </c>
      <c r="B310" s="3">
        <v>45820</v>
      </c>
      <c r="C310" t="s">
        <v>77</v>
      </c>
      <c r="D310" t="s">
        <v>72</v>
      </c>
      <c r="E310" t="s">
        <v>73</v>
      </c>
      <c r="F310" t="s">
        <v>16</v>
      </c>
      <c r="G310" t="s">
        <v>52</v>
      </c>
      <c r="H310">
        <v>1</v>
      </c>
      <c r="I310">
        <v>354</v>
      </c>
      <c r="J310">
        <v>0.15</v>
      </c>
      <c r="K310">
        <v>300.89999999999998</v>
      </c>
      <c r="L310">
        <v>50.5</v>
      </c>
      <c r="M310" t="str">
        <f t="shared" si="36"/>
        <v>Desk Organizer</v>
      </c>
      <c r="N310" t="str">
        <f t="shared" si="37"/>
        <v>Kolkata</v>
      </c>
      <c r="O310" t="str">
        <f t="shared" si="38"/>
        <v>East</v>
      </c>
      <c r="P310" t="str">
        <f t="shared" si="39"/>
        <v>Office Supplies</v>
      </c>
      <c r="Q310" t="str">
        <f t="shared" si="40"/>
        <v>Office Supplies</v>
      </c>
      <c r="R310" t="str">
        <f t="shared" si="41"/>
        <v>East</v>
      </c>
      <c r="S310" t="str">
        <f t="shared" si="42"/>
        <v>Kolkata</v>
      </c>
      <c r="T310">
        <f t="shared" si="43"/>
        <v>300.89999999999998</v>
      </c>
      <c r="U310" t="str">
        <f t="shared" si="44"/>
        <v>OK</v>
      </c>
    </row>
    <row r="311" spans="1:21" x14ac:dyDescent="0.3">
      <c r="A311" t="s">
        <v>514</v>
      </c>
      <c r="B311" s="3">
        <v>45951</v>
      </c>
      <c r="C311" t="s">
        <v>109</v>
      </c>
      <c r="D311" t="s">
        <v>20</v>
      </c>
      <c r="E311" t="s">
        <v>15</v>
      </c>
      <c r="F311" t="s">
        <v>16</v>
      </c>
      <c r="G311" t="s">
        <v>17</v>
      </c>
      <c r="H311">
        <v>1</v>
      </c>
      <c r="I311">
        <v>5339</v>
      </c>
      <c r="J311">
        <v>0.25</v>
      </c>
      <c r="K311">
        <v>4004.25</v>
      </c>
      <c r="L311">
        <v>497.12</v>
      </c>
      <c r="M311" t="str">
        <f t="shared" si="36"/>
        <v>Filing Cabinet</v>
      </c>
      <c r="N311" t="str">
        <f t="shared" si="37"/>
        <v>Guwahati</v>
      </c>
      <c r="O311" t="str">
        <f t="shared" si="38"/>
        <v>East</v>
      </c>
      <c r="P311" t="str">
        <f t="shared" si="39"/>
        <v>Furniture</v>
      </c>
      <c r="Q311" t="str">
        <f t="shared" si="40"/>
        <v>Furniture</v>
      </c>
      <c r="R311" t="str">
        <f t="shared" si="41"/>
        <v>East</v>
      </c>
      <c r="S311" t="str">
        <f t="shared" si="42"/>
        <v>Guwahati</v>
      </c>
      <c r="T311">
        <f t="shared" si="43"/>
        <v>4004.25</v>
      </c>
      <c r="U311" t="str">
        <f t="shared" si="44"/>
        <v>OK</v>
      </c>
    </row>
    <row r="312" spans="1:21" x14ac:dyDescent="0.3">
      <c r="A312" t="s">
        <v>515</v>
      </c>
      <c r="B312" s="3">
        <v>45980</v>
      </c>
      <c r="C312" t="s">
        <v>516</v>
      </c>
      <c r="D312" t="s">
        <v>47</v>
      </c>
      <c r="E312" t="s">
        <v>26</v>
      </c>
      <c r="F312" t="s">
        <v>27</v>
      </c>
      <c r="G312" t="s">
        <v>31</v>
      </c>
      <c r="H312">
        <v>2</v>
      </c>
      <c r="I312">
        <v>9017</v>
      </c>
      <c r="J312">
        <v>0.05</v>
      </c>
      <c r="K312">
        <v>17132.3</v>
      </c>
      <c r="L312">
        <v>2599.71</v>
      </c>
      <c r="M312" t="str">
        <f t="shared" si="36"/>
        <v>Air Purifier</v>
      </c>
      <c r="N312" t="str">
        <f t="shared" si="37"/>
        <v>Hyderabad</v>
      </c>
      <c r="O312" t="str">
        <f t="shared" si="38"/>
        <v>South</v>
      </c>
      <c r="P312" t="str">
        <f t="shared" si="39"/>
        <v>Home Appliances</v>
      </c>
      <c r="Q312" t="str">
        <f t="shared" si="40"/>
        <v>Home Appliances</v>
      </c>
      <c r="R312" t="str">
        <f t="shared" si="41"/>
        <v>South</v>
      </c>
      <c r="S312" t="str">
        <f t="shared" si="42"/>
        <v>Hyderabad</v>
      </c>
      <c r="T312">
        <f t="shared" si="43"/>
        <v>17132.3</v>
      </c>
      <c r="U312" t="str">
        <f t="shared" si="44"/>
        <v>OK</v>
      </c>
    </row>
    <row r="313" spans="1:21" x14ac:dyDescent="0.3">
      <c r="A313" t="s">
        <v>517</v>
      </c>
      <c r="B313" s="3">
        <v>45820</v>
      </c>
      <c r="C313" t="s">
        <v>113</v>
      </c>
      <c r="D313" t="s">
        <v>80</v>
      </c>
      <c r="E313" t="s">
        <v>51</v>
      </c>
      <c r="F313" t="s">
        <v>27</v>
      </c>
      <c r="G313" t="s">
        <v>31</v>
      </c>
      <c r="H313">
        <v>5</v>
      </c>
      <c r="I313">
        <v>72073</v>
      </c>
      <c r="J313">
        <v>0.15</v>
      </c>
      <c r="K313">
        <v>306310.25</v>
      </c>
      <c r="L313">
        <v>42553.81</v>
      </c>
      <c r="M313" t="str">
        <f t="shared" si="36"/>
        <v>Laptop</v>
      </c>
      <c r="N313" t="str">
        <f t="shared" si="37"/>
        <v>Hyderabad</v>
      </c>
      <c r="O313" t="str">
        <f t="shared" si="38"/>
        <v>South</v>
      </c>
      <c r="P313" t="str">
        <f t="shared" si="39"/>
        <v>Electronics</v>
      </c>
      <c r="Q313" t="str">
        <f t="shared" si="40"/>
        <v>Electronics</v>
      </c>
      <c r="R313" t="str">
        <f t="shared" si="41"/>
        <v>South</v>
      </c>
      <c r="S313" t="str">
        <f t="shared" si="42"/>
        <v>Hyderabad</v>
      </c>
      <c r="T313">
        <f t="shared" si="43"/>
        <v>306310.25</v>
      </c>
      <c r="U313" t="str">
        <f t="shared" si="44"/>
        <v>OK</v>
      </c>
    </row>
    <row r="314" spans="1:21" x14ac:dyDescent="0.3">
      <c r="A314" t="s">
        <v>518</v>
      </c>
      <c r="B314" s="3">
        <v>45658</v>
      </c>
      <c r="C314" t="s">
        <v>189</v>
      </c>
      <c r="D314" t="s">
        <v>120</v>
      </c>
      <c r="E314" t="s">
        <v>51</v>
      </c>
      <c r="F314" t="s">
        <v>58</v>
      </c>
      <c r="G314" t="s">
        <v>126</v>
      </c>
      <c r="H314">
        <v>1</v>
      </c>
      <c r="I314">
        <v>410</v>
      </c>
      <c r="J314">
        <v>0.2</v>
      </c>
      <c r="K314">
        <v>328</v>
      </c>
      <c r="L314">
        <v>80.16</v>
      </c>
      <c r="M314" t="str">
        <f t="shared" si="36"/>
        <v>Mouse</v>
      </c>
      <c r="N314" t="str">
        <f t="shared" si="37"/>
        <v>Delhi</v>
      </c>
      <c r="O314" t="str">
        <f t="shared" si="38"/>
        <v>North</v>
      </c>
      <c r="P314" t="str">
        <f t="shared" si="39"/>
        <v>Electronics</v>
      </c>
      <c r="Q314" t="str">
        <f t="shared" si="40"/>
        <v>Electronics</v>
      </c>
      <c r="R314" t="str">
        <f t="shared" si="41"/>
        <v>North</v>
      </c>
      <c r="S314" t="str">
        <f t="shared" si="42"/>
        <v>Delhi</v>
      </c>
      <c r="T314">
        <f t="shared" si="43"/>
        <v>328</v>
      </c>
      <c r="U314" t="str">
        <f t="shared" si="44"/>
        <v>OK</v>
      </c>
    </row>
    <row r="315" spans="1:21" x14ac:dyDescent="0.3">
      <c r="A315" t="s">
        <v>519</v>
      </c>
      <c r="B315" s="3">
        <v>45761</v>
      </c>
      <c r="C315" t="s">
        <v>161</v>
      </c>
      <c r="D315" t="s">
        <v>202</v>
      </c>
      <c r="E315" t="s">
        <v>44</v>
      </c>
      <c r="F315" t="s">
        <v>27</v>
      </c>
      <c r="G315" t="s">
        <v>31</v>
      </c>
      <c r="H315">
        <v>1</v>
      </c>
      <c r="I315">
        <v>2780</v>
      </c>
      <c r="J315">
        <v>0.05</v>
      </c>
      <c r="K315">
        <v>2641</v>
      </c>
      <c r="L315">
        <v>574.37</v>
      </c>
      <c r="M315" t="str">
        <f t="shared" si="36"/>
        <v>Laptop Stand</v>
      </c>
      <c r="N315" t="str">
        <f t="shared" si="37"/>
        <v>Hyderabad</v>
      </c>
      <c r="O315" t="str">
        <f t="shared" si="38"/>
        <v>South</v>
      </c>
      <c r="P315" t="str">
        <f t="shared" si="39"/>
        <v>Accessories</v>
      </c>
      <c r="Q315" t="str">
        <f t="shared" si="40"/>
        <v>Accessories</v>
      </c>
      <c r="R315" t="str">
        <f t="shared" si="41"/>
        <v>South</v>
      </c>
      <c r="S315" t="str">
        <f t="shared" si="42"/>
        <v>Hyderabad</v>
      </c>
      <c r="T315">
        <f t="shared" si="43"/>
        <v>2641</v>
      </c>
      <c r="U315" t="str">
        <f t="shared" si="44"/>
        <v>OK</v>
      </c>
    </row>
    <row r="316" spans="1:21" x14ac:dyDescent="0.3">
      <c r="A316" t="s">
        <v>520</v>
      </c>
      <c r="B316" s="3">
        <v>45845</v>
      </c>
      <c r="C316" t="s">
        <v>161</v>
      </c>
      <c r="D316" t="s">
        <v>20</v>
      </c>
      <c r="E316" t="s">
        <v>15</v>
      </c>
      <c r="F316" t="s">
        <v>16</v>
      </c>
      <c r="G316" t="s">
        <v>104</v>
      </c>
      <c r="H316">
        <v>2</v>
      </c>
      <c r="I316">
        <v>12675</v>
      </c>
      <c r="J316">
        <v>0</v>
      </c>
      <c r="K316">
        <v>25350</v>
      </c>
      <c r="L316">
        <v>2539.77</v>
      </c>
      <c r="M316" t="str">
        <f t="shared" si="36"/>
        <v>Filing Cabinet</v>
      </c>
      <c r="N316" t="str">
        <f t="shared" si="37"/>
        <v>Bhubaneswar</v>
      </c>
      <c r="O316" t="str">
        <f t="shared" si="38"/>
        <v>East</v>
      </c>
      <c r="P316" t="str">
        <f t="shared" si="39"/>
        <v>Furniture</v>
      </c>
      <c r="Q316" t="str">
        <f t="shared" si="40"/>
        <v>Furniture</v>
      </c>
      <c r="R316" t="str">
        <f t="shared" si="41"/>
        <v>East</v>
      </c>
      <c r="S316" t="str">
        <f t="shared" si="42"/>
        <v>Bhubaneswar</v>
      </c>
      <c r="T316">
        <f t="shared" si="43"/>
        <v>25350</v>
      </c>
      <c r="U316" t="str">
        <f t="shared" si="44"/>
        <v>OK</v>
      </c>
    </row>
    <row r="317" spans="1:21" x14ac:dyDescent="0.3">
      <c r="A317" t="s">
        <v>521</v>
      </c>
      <c r="B317" s="3">
        <v>45819</v>
      </c>
      <c r="C317" t="s">
        <v>141</v>
      </c>
      <c r="D317" t="s">
        <v>20</v>
      </c>
      <c r="E317" t="s">
        <v>15</v>
      </c>
      <c r="F317" t="s">
        <v>58</v>
      </c>
      <c r="G317" t="s">
        <v>59</v>
      </c>
      <c r="H317">
        <v>3</v>
      </c>
      <c r="I317">
        <v>12778</v>
      </c>
      <c r="J317">
        <v>0</v>
      </c>
      <c r="K317">
        <v>38334</v>
      </c>
      <c r="L317">
        <v>3625.64</v>
      </c>
      <c r="M317" t="str">
        <f t="shared" si="36"/>
        <v>Filing Cabinet</v>
      </c>
      <c r="N317" t="str">
        <f t="shared" si="37"/>
        <v>Chandigarh</v>
      </c>
      <c r="O317" t="str">
        <f t="shared" si="38"/>
        <v>North</v>
      </c>
      <c r="P317" t="str">
        <f t="shared" si="39"/>
        <v>Furniture</v>
      </c>
      <c r="Q317" t="str">
        <f t="shared" si="40"/>
        <v>Furniture</v>
      </c>
      <c r="R317" t="str">
        <f t="shared" si="41"/>
        <v>North</v>
      </c>
      <c r="S317" t="str">
        <f t="shared" si="42"/>
        <v>Chandigarh</v>
      </c>
      <c r="T317">
        <f t="shared" si="43"/>
        <v>38334</v>
      </c>
      <c r="U317" t="str">
        <f t="shared" si="44"/>
        <v>OK</v>
      </c>
    </row>
    <row r="318" spans="1:21" x14ac:dyDescent="0.3">
      <c r="A318" t="s">
        <v>522</v>
      </c>
      <c r="B318" s="3">
        <v>45952</v>
      </c>
      <c r="C318" t="s">
        <v>172</v>
      </c>
      <c r="D318" t="s">
        <v>88</v>
      </c>
      <c r="E318" t="s">
        <v>73</v>
      </c>
      <c r="F318" t="s">
        <v>21</v>
      </c>
      <c r="G318" t="s">
        <v>55</v>
      </c>
      <c r="H318">
        <v>1</v>
      </c>
      <c r="I318">
        <v>246</v>
      </c>
      <c r="J318">
        <v>0</v>
      </c>
      <c r="K318">
        <v>246</v>
      </c>
      <c r="L318">
        <v>32.78</v>
      </c>
      <c r="M318" t="str">
        <f t="shared" si="36"/>
        <v>Stapler</v>
      </c>
      <c r="N318" t="str">
        <f t="shared" si="37"/>
        <v>Pune</v>
      </c>
      <c r="O318" t="str">
        <f t="shared" si="38"/>
        <v>West</v>
      </c>
      <c r="P318" t="str">
        <f t="shared" si="39"/>
        <v>Office Supplies</v>
      </c>
      <c r="Q318" t="str">
        <f t="shared" si="40"/>
        <v>Office Supplies</v>
      </c>
      <c r="R318" t="str">
        <f t="shared" si="41"/>
        <v>West</v>
      </c>
      <c r="S318" t="str">
        <f t="shared" si="42"/>
        <v>Pune</v>
      </c>
      <c r="T318">
        <f t="shared" si="43"/>
        <v>246</v>
      </c>
      <c r="U318" t="str">
        <f t="shared" si="44"/>
        <v>OK</v>
      </c>
    </row>
    <row r="319" spans="1:21" x14ac:dyDescent="0.3">
      <c r="A319" t="s">
        <v>523</v>
      </c>
      <c r="B319" s="3">
        <v>45890</v>
      </c>
      <c r="C319" t="s">
        <v>194</v>
      </c>
      <c r="D319" t="s">
        <v>14</v>
      </c>
      <c r="E319" t="s">
        <v>15</v>
      </c>
      <c r="F319" t="s">
        <v>16</v>
      </c>
      <c r="G319" t="s">
        <v>52</v>
      </c>
      <c r="H319">
        <v>1</v>
      </c>
      <c r="I319">
        <v>6404</v>
      </c>
      <c r="J319">
        <v>0</v>
      </c>
      <c r="K319">
        <v>6404</v>
      </c>
      <c r="L319">
        <v>1045.29</v>
      </c>
      <c r="M319" t="str">
        <f t="shared" si="36"/>
        <v>Office Chair</v>
      </c>
      <c r="N319" t="str">
        <f t="shared" si="37"/>
        <v>Kolkata</v>
      </c>
      <c r="O319" t="str">
        <f t="shared" si="38"/>
        <v>East</v>
      </c>
      <c r="P319" t="str">
        <f t="shared" si="39"/>
        <v>Furniture</v>
      </c>
      <c r="Q319" t="str">
        <f t="shared" si="40"/>
        <v>Furniture</v>
      </c>
      <c r="R319" t="str">
        <f t="shared" si="41"/>
        <v>East</v>
      </c>
      <c r="S319" t="str">
        <f t="shared" si="42"/>
        <v>Kolkata</v>
      </c>
      <c r="T319">
        <f t="shared" si="43"/>
        <v>6404</v>
      </c>
      <c r="U319" t="str">
        <f t="shared" si="44"/>
        <v>OK</v>
      </c>
    </row>
    <row r="320" spans="1:21" x14ac:dyDescent="0.3">
      <c r="A320" t="s">
        <v>524</v>
      </c>
      <c r="B320" s="3">
        <v>45689</v>
      </c>
      <c r="C320" t="s">
        <v>75</v>
      </c>
      <c r="D320" t="s">
        <v>80</v>
      </c>
      <c r="E320" t="s">
        <v>51</v>
      </c>
      <c r="F320" t="s">
        <v>16</v>
      </c>
      <c r="G320" t="s">
        <v>17</v>
      </c>
      <c r="H320">
        <v>2</v>
      </c>
      <c r="I320">
        <v>68435</v>
      </c>
      <c r="J320">
        <v>0.1</v>
      </c>
      <c r="K320">
        <v>123183</v>
      </c>
      <c r="L320">
        <v>11622.95</v>
      </c>
      <c r="M320" t="str">
        <f t="shared" si="36"/>
        <v>Laptop</v>
      </c>
      <c r="N320" t="str">
        <f t="shared" si="37"/>
        <v>Guwahati</v>
      </c>
      <c r="O320" t="str">
        <f t="shared" si="38"/>
        <v>East</v>
      </c>
      <c r="P320" t="str">
        <f t="shared" si="39"/>
        <v>Electronics</v>
      </c>
      <c r="Q320" t="str">
        <f t="shared" si="40"/>
        <v>Electronics</v>
      </c>
      <c r="R320" t="str">
        <f t="shared" si="41"/>
        <v>East</v>
      </c>
      <c r="S320" t="str">
        <f t="shared" si="42"/>
        <v>Guwahati</v>
      </c>
      <c r="T320">
        <f t="shared" si="43"/>
        <v>123183</v>
      </c>
      <c r="U320" t="str">
        <f t="shared" si="44"/>
        <v>OK</v>
      </c>
    </row>
    <row r="321" spans="1:21" x14ac:dyDescent="0.3">
      <c r="A321" t="s">
        <v>525</v>
      </c>
      <c r="B321" s="3">
        <v>45710</v>
      </c>
      <c r="C321" t="s">
        <v>403</v>
      </c>
      <c r="D321" t="s">
        <v>25</v>
      </c>
      <c r="E321" t="s">
        <v>26</v>
      </c>
      <c r="F321" t="s">
        <v>21</v>
      </c>
      <c r="G321" t="s">
        <v>55</v>
      </c>
      <c r="H321">
        <v>3</v>
      </c>
      <c r="I321">
        <v>12630</v>
      </c>
      <c r="J321">
        <v>0.1</v>
      </c>
      <c r="K321">
        <v>34101</v>
      </c>
      <c r="L321">
        <v>3702.52</v>
      </c>
      <c r="M321" t="str">
        <f t="shared" si="36"/>
        <v>Microwave</v>
      </c>
      <c r="N321" t="str">
        <f t="shared" si="37"/>
        <v>Pune</v>
      </c>
      <c r="O321" t="str">
        <f t="shared" si="38"/>
        <v>West</v>
      </c>
      <c r="P321" t="str">
        <f t="shared" si="39"/>
        <v>Home Appliances</v>
      </c>
      <c r="Q321" t="str">
        <f t="shared" si="40"/>
        <v>Home Appliances</v>
      </c>
      <c r="R321" t="str">
        <f t="shared" si="41"/>
        <v>West</v>
      </c>
      <c r="S321" t="str">
        <f t="shared" si="42"/>
        <v>Pune</v>
      </c>
      <c r="T321">
        <f t="shared" si="43"/>
        <v>34101</v>
      </c>
      <c r="U321" t="str">
        <f t="shared" si="44"/>
        <v>OK</v>
      </c>
    </row>
    <row r="322" spans="1:21" x14ac:dyDescent="0.3">
      <c r="A322" t="s">
        <v>526</v>
      </c>
      <c r="B322" s="3">
        <v>45784</v>
      </c>
      <c r="C322" t="s">
        <v>96</v>
      </c>
      <c r="D322" t="s">
        <v>527</v>
      </c>
      <c r="E322" t="s">
        <v>51</v>
      </c>
      <c r="F322" t="s">
        <v>27</v>
      </c>
      <c r="G322" t="s">
        <v>40</v>
      </c>
      <c r="H322">
        <v>1</v>
      </c>
      <c r="I322">
        <v>20978</v>
      </c>
      <c r="J322">
        <v>0.05</v>
      </c>
      <c r="K322">
        <v>19929.099999999999</v>
      </c>
      <c r="L322">
        <v>1594.86</v>
      </c>
      <c r="M322" t="str">
        <f t="shared" si="36"/>
        <v>Office chair</v>
      </c>
      <c r="N322" t="str">
        <f t="shared" si="37"/>
        <v>Chennai</v>
      </c>
      <c r="O322" t="str">
        <f t="shared" si="38"/>
        <v>South</v>
      </c>
      <c r="P322" t="str">
        <f t="shared" si="39"/>
        <v>Electronics</v>
      </c>
      <c r="Q322" t="str">
        <f t="shared" si="40"/>
        <v>Electronics</v>
      </c>
      <c r="R322" t="str">
        <f t="shared" si="41"/>
        <v>South</v>
      </c>
      <c r="S322" t="str">
        <f t="shared" si="42"/>
        <v>Chennai</v>
      </c>
      <c r="T322">
        <f t="shared" si="43"/>
        <v>19929.099999999999</v>
      </c>
      <c r="U322" t="str">
        <f t="shared" si="44"/>
        <v>OK</v>
      </c>
    </row>
    <row r="323" spans="1:21" x14ac:dyDescent="0.3">
      <c r="A323" t="s">
        <v>528</v>
      </c>
      <c r="B323" s="3">
        <v>45921</v>
      </c>
      <c r="C323" t="s">
        <v>398</v>
      </c>
      <c r="D323" t="s">
        <v>80</v>
      </c>
      <c r="E323" t="s">
        <v>51</v>
      </c>
      <c r="F323" t="s">
        <v>16</v>
      </c>
      <c r="G323" t="s">
        <v>104</v>
      </c>
      <c r="H323">
        <v>1</v>
      </c>
      <c r="I323">
        <v>54873</v>
      </c>
      <c r="J323">
        <v>0.15</v>
      </c>
      <c r="K323">
        <v>46642.05</v>
      </c>
      <c r="L323">
        <v>6681.66</v>
      </c>
      <c r="M323" t="str">
        <f t="shared" ref="M323:M386" si="45">TRIM(D323)</f>
        <v>Laptop</v>
      </c>
      <c r="N323" t="str">
        <f t="shared" ref="N323:N386" si="46">TRIM(G323)</f>
        <v>Bhubaneswar</v>
      </c>
      <c r="O323" t="str">
        <f t="shared" ref="O323:O386" si="47">TRIM(F:F)</f>
        <v>East</v>
      </c>
      <c r="P323" t="str">
        <f t="shared" ref="P323:P386" si="48">TRIM(E323)</f>
        <v>Electronics</v>
      </c>
      <c r="Q323" t="str">
        <f t="shared" ref="Q323:Q386" si="49">PROPER(E323)</f>
        <v>Electronics</v>
      </c>
      <c r="R323" t="str">
        <f t="shared" ref="R323:R386" si="50">PROPER(F323)</f>
        <v>East</v>
      </c>
      <c r="S323" t="str">
        <f t="shared" ref="S323:S386" si="51">PROPER(G323)</f>
        <v>Bhubaneswar</v>
      </c>
      <c r="T323">
        <f t="shared" ref="T323:T386" si="52">H323*I323*(1-J323)</f>
        <v>46642.049999999996</v>
      </c>
      <c r="U323" t="str">
        <f t="shared" ref="U323:U386" si="53">IF(ROUND(K323,2)=ROUND(T323,2),"OK","CHECK")</f>
        <v>OK</v>
      </c>
    </row>
    <row r="324" spans="1:21" x14ac:dyDescent="0.3">
      <c r="A324" t="s">
        <v>529</v>
      </c>
      <c r="B324" s="3">
        <v>45819</v>
      </c>
      <c r="C324" t="s">
        <v>139</v>
      </c>
      <c r="D324" t="s">
        <v>202</v>
      </c>
      <c r="E324" t="s">
        <v>44</v>
      </c>
      <c r="F324" t="s">
        <v>16</v>
      </c>
      <c r="G324" t="s">
        <v>52</v>
      </c>
      <c r="H324">
        <v>1</v>
      </c>
      <c r="I324">
        <v>2951</v>
      </c>
      <c r="J324">
        <v>0.2</v>
      </c>
      <c r="K324">
        <v>2360.8000000000002</v>
      </c>
      <c r="L324">
        <v>393.7</v>
      </c>
      <c r="M324" t="str">
        <f t="shared" si="45"/>
        <v>Laptop Stand</v>
      </c>
      <c r="N324" t="str">
        <f t="shared" si="46"/>
        <v>Kolkata</v>
      </c>
      <c r="O324" t="str">
        <f t="shared" si="47"/>
        <v>East</v>
      </c>
      <c r="P324" t="str">
        <f t="shared" si="48"/>
        <v>Accessories</v>
      </c>
      <c r="Q324" t="str">
        <f t="shared" si="49"/>
        <v>Accessories</v>
      </c>
      <c r="R324" t="str">
        <f t="shared" si="50"/>
        <v>East</v>
      </c>
      <c r="S324" t="str">
        <f t="shared" si="51"/>
        <v>Kolkata</v>
      </c>
      <c r="T324">
        <f t="shared" si="52"/>
        <v>2360.8000000000002</v>
      </c>
      <c r="U324" t="str">
        <f t="shared" si="53"/>
        <v>OK</v>
      </c>
    </row>
    <row r="325" spans="1:21" x14ac:dyDescent="0.3">
      <c r="A325" t="s">
        <v>530</v>
      </c>
      <c r="B325" s="3">
        <v>45843</v>
      </c>
      <c r="C325" t="s">
        <v>295</v>
      </c>
      <c r="D325" t="s">
        <v>20</v>
      </c>
      <c r="E325" t="s">
        <v>15</v>
      </c>
      <c r="F325" t="s">
        <v>21</v>
      </c>
      <c r="G325" t="s">
        <v>22</v>
      </c>
      <c r="H325">
        <v>1</v>
      </c>
      <c r="I325">
        <v>11211</v>
      </c>
      <c r="J325">
        <v>0.2</v>
      </c>
      <c r="K325">
        <v>8968.7999999999993</v>
      </c>
      <c r="L325">
        <v>2231.88</v>
      </c>
      <c r="M325" t="str">
        <f t="shared" si="45"/>
        <v>Filing Cabinet</v>
      </c>
      <c r="N325" t="str">
        <f t="shared" si="46"/>
        <v>Ahmedabad</v>
      </c>
      <c r="O325" t="str">
        <f t="shared" si="47"/>
        <v>West</v>
      </c>
      <c r="P325" t="str">
        <f t="shared" si="48"/>
        <v>Furniture</v>
      </c>
      <c r="Q325" t="str">
        <f t="shared" si="49"/>
        <v>Furniture</v>
      </c>
      <c r="R325" t="str">
        <f t="shared" si="50"/>
        <v>West</v>
      </c>
      <c r="S325" t="str">
        <f t="shared" si="51"/>
        <v>Ahmedabad</v>
      </c>
      <c r="T325">
        <f t="shared" si="52"/>
        <v>8968.8000000000011</v>
      </c>
      <c r="U325" t="str">
        <f t="shared" si="53"/>
        <v>OK</v>
      </c>
    </row>
    <row r="326" spans="1:21" x14ac:dyDescent="0.3">
      <c r="A326" t="s">
        <v>531</v>
      </c>
      <c r="B326" s="3">
        <v>45670</v>
      </c>
      <c r="C326" t="s">
        <v>194</v>
      </c>
      <c r="D326" t="s">
        <v>103</v>
      </c>
      <c r="E326" t="s">
        <v>51</v>
      </c>
      <c r="F326" t="s">
        <v>58</v>
      </c>
      <c r="G326" t="s">
        <v>59</v>
      </c>
      <c r="H326">
        <v>1</v>
      </c>
      <c r="I326">
        <v>3372</v>
      </c>
      <c r="J326">
        <v>0</v>
      </c>
      <c r="K326">
        <v>3372</v>
      </c>
      <c r="L326">
        <v>725.73</v>
      </c>
      <c r="M326" t="str">
        <f t="shared" si="45"/>
        <v>Headphones</v>
      </c>
      <c r="N326" t="str">
        <f t="shared" si="46"/>
        <v>Chandigarh</v>
      </c>
      <c r="O326" t="str">
        <f t="shared" si="47"/>
        <v>North</v>
      </c>
      <c r="P326" t="str">
        <f t="shared" si="48"/>
        <v>Electronics</v>
      </c>
      <c r="Q326" t="str">
        <f t="shared" si="49"/>
        <v>Electronics</v>
      </c>
      <c r="R326" t="str">
        <f t="shared" si="50"/>
        <v>North</v>
      </c>
      <c r="S326" t="str">
        <f t="shared" si="51"/>
        <v>Chandigarh</v>
      </c>
      <c r="T326">
        <f t="shared" si="52"/>
        <v>3372</v>
      </c>
      <c r="U326" t="str">
        <f t="shared" si="53"/>
        <v>OK</v>
      </c>
    </row>
    <row r="327" spans="1:21" x14ac:dyDescent="0.3">
      <c r="A327" t="s">
        <v>532</v>
      </c>
      <c r="B327" s="3">
        <v>45868</v>
      </c>
      <c r="C327" t="s">
        <v>49</v>
      </c>
      <c r="D327" t="s">
        <v>14</v>
      </c>
      <c r="E327" t="s">
        <v>15</v>
      </c>
      <c r="F327" t="s">
        <v>21</v>
      </c>
      <c r="G327" t="s">
        <v>22</v>
      </c>
      <c r="H327">
        <v>2</v>
      </c>
      <c r="I327">
        <v>6578</v>
      </c>
      <c r="J327">
        <v>0.05</v>
      </c>
      <c r="K327">
        <v>12498.2</v>
      </c>
      <c r="L327">
        <v>3391.51</v>
      </c>
      <c r="M327" t="str">
        <f t="shared" si="45"/>
        <v>Office Chair</v>
      </c>
      <c r="N327" t="str">
        <f t="shared" si="46"/>
        <v>Ahmedabad</v>
      </c>
      <c r="O327" t="str">
        <f t="shared" si="47"/>
        <v>West</v>
      </c>
      <c r="P327" t="str">
        <f t="shared" si="48"/>
        <v>Furniture</v>
      </c>
      <c r="Q327" t="str">
        <f t="shared" si="49"/>
        <v>Furniture</v>
      </c>
      <c r="R327" t="str">
        <f t="shared" si="50"/>
        <v>West</v>
      </c>
      <c r="S327" t="str">
        <f t="shared" si="51"/>
        <v>Ahmedabad</v>
      </c>
      <c r="T327">
        <f t="shared" si="52"/>
        <v>12498.199999999999</v>
      </c>
      <c r="U327" t="str">
        <f t="shared" si="53"/>
        <v>OK</v>
      </c>
    </row>
    <row r="328" spans="1:21" x14ac:dyDescent="0.3">
      <c r="A328" t="s">
        <v>533</v>
      </c>
      <c r="B328" s="3">
        <v>45913</v>
      </c>
      <c r="C328" t="s">
        <v>165</v>
      </c>
      <c r="D328" t="s">
        <v>202</v>
      </c>
      <c r="E328" t="s">
        <v>44</v>
      </c>
      <c r="F328" t="s">
        <v>16</v>
      </c>
      <c r="G328" t="s">
        <v>104</v>
      </c>
      <c r="H328">
        <v>1</v>
      </c>
      <c r="I328">
        <v>1862</v>
      </c>
      <c r="J328">
        <v>0</v>
      </c>
      <c r="K328">
        <v>1862</v>
      </c>
      <c r="L328">
        <v>434.8</v>
      </c>
      <c r="M328" t="str">
        <f t="shared" si="45"/>
        <v>Laptop Stand</v>
      </c>
      <c r="N328" t="str">
        <f t="shared" si="46"/>
        <v>Bhubaneswar</v>
      </c>
      <c r="O328" t="str">
        <f t="shared" si="47"/>
        <v>East</v>
      </c>
      <c r="P328" t="str">
        <f t="shared" si="48"/>
        <v>Accessories</v>
      </c>
      <c r="Q328" t="str">
        <f t="shared" si="49"/>
        <v>Accessories</v>
      </c>
      <c r="R328" t="str">
        <f t="shared" si="50"/>
        <v>East</v>
      </c>
      <c r="S328" t="str">
        <f t="shared" si="51"/>
        <v>Bhubaneswar</v>
      </c>
      <c r="T328">
        <f t="shared" si="52"/>
        <v>1862</v>
      </c>
      <c r="U328" t="str">
        <f t="shared" si="53"/>
        <v>OK</v>
      </c>
    </row>
    <row r="329" spans="1:21" x14ac:dyDescent="0.3">
      <c r="A329" t="s">
        <v>534</v>
      </c>
      <c r="B329" s="3">
        <v>45986</v>
      </c>
      <c r="C329" t="s">
        <v>535</v>
      </c>
      <c r="D329" t="s">
        <v>34</v>
      </c>
      <c r="E329" t="s">
        <v>15</v>
      </c>
      <c r="F329" t="s">
        <v>21</v>
      </c>
      <c r="G329" t="s">
        <v>35</v>
      </c>
      <c r="H329">
        <v>4</v>
      </c>
      <c r="I329">
        <v>20149</v>
      </c>
      <c r="J329">
        <v>0.1</v>
      </c>
      <c r="K329">
        <v>72536.399999999994</v>
      </c>
      <c r="L329">
        <v>17354.2</v>
      </c>
      <c r="M329" t="str">
        <f t="shared" si="45"/>
        <v>Desk</v>
      </c>
      <c r="N329" t="str">
        <f t="shared" si="46"/>
        <v>Mumbai</v>
      </c>
      <c r="O329" t="str">
        <f t="shared" si="47"/>
        <v>West</v>
      </c>
      <c r="P329" t="str">
        <f t="shared" si="48"/>
        <v>Furniture</v>
      </c>
      <c r="Q329" t="str">
        <f t="shared" si="49"/>
        <v>Furniture</v>
      </c>
      <c r="R329" t="str">
        <f t="shared" si="50"/>
        <v>West</v>
      </c>
      <c r="S329" t="str">
        <f t="shared" si="51"/>
        <v>Mumbai</v>
      </c>
      <c r="T329">
        <f t="shared" si="52"/>
        <v>72536.400000000009</v>
      </c>
      <c r="U329" t="str">
        <f t="shared" si="53"/>
        <v>OK</v>
      </c>
    </row>
    <row r="330" spans="1:21" x14ac:dyDescent="0.3">
      <c r="A330" t="s">
        <v>536</v>
      </c>
      <c r="B330" s="3">
        <v>45949</v>
      </c>
      <c r="C330" t="s">
        <v>354</v>
      </c>
      <c r="D330" t="s">
        <v>25</v>
      </c>
      <c r="E330" t="s">
        <v>26</v>
      </c>
      <c r="F330" t="s">
        <v>58</v>
      </c>
      <c r="G330" t="s">
        <v>59</v>
      </c>
      <c r="H330">
        <v>3</v>
      </c>
      <c r="I330">
        <v>9788</v>
      </c>
      <c r="J330">
        <v>0.1</v>
      </c>
      <c r="K330">
        <v>26427.599999999999</v>
      </c>
      <c r="L330">
        <v>4202.68</v>
      </c>
      <c r="M330" t="str">
        <f t="shared" si="45"/>
        <v>Microwave</v>
      </c>
      <c r="N330" t="str">
        <f t="shared" si="46"/>
        <v>Chandigarh</v>
      </c>
      <c r="O330" t="str">
        <f t="shared" si="47"/>
        <v>North</v>
      </c>
      <c r="P330" t="str">
        <f t="shared" si="48"/>
        <v>Home Appliances</v>
      </c>
      <c r="Q330" t="str">
        <f t="shared" si="49"/>
        <v>Home Appliances</v>
      </c>
      <c r="R330" t="str">
        <f t="shared" si="50"/>
        <v>North</v>
      </c>
      <c r="S330" t="str">
        <f t="shared" si="51"/>
        <v>Chandigarh</v>
      </c>
      <c r="T330">
        <f t="shared" si="52"/>
        <v>26427.600000000002</v>
      </c>
      <c r="U330" t="str">
        <f t="shared" si="53"/>
        <v>OK</v>
      </c>
    </row>
    <row r="331" spans="1:21" x14ac:dyDescent="0.3">
      <c r="A331" t="s">
        <v>537</v>
      </c>
      <c r="B331" s="3">
        <v>45884</v>
      </c>
      <c r="C331" t="s">
        <v>174</v>
      </c>
      <c r="D331" t="s">
        <v>120</v>
      </c>
      <c r="E331" t="s">
        <v>51</v>
      </c>
      <c r="F331" t="s">
        <v>58</v>
      </c>
      <c r="G331" t="s">
        <v>59</v>
      </c>
      <c r="H331">
        <v>2</v>
      </c>
      <c r="I331">
        <v>1882</v>
      </c>
      <c r="J331">
        <v>0.15</v>
      </c>
      <c r="K331">
        <v>3199.4</v>
      </c>
      <c r="L331">
        <v>603.91999999999996</v>
      </c>
      <c r="M331" t="str">
        <f t="shared" si="45"/>
        <v>Mouse</v>
      </c>
      <c r="N331" t="str">
        <f t="shared" si="46"/>
        <v>Chandigarh</v>
      </c>
      <c r="O331" t="str">
        <f t="shared" si="47"/>
        <v>North</v>
      </c>
      <c r="P331" t="str">
        <f t="shared" si="48"/>
        <v>Electronics</v>
      </c>
      <c r="Q331" t="str">
        <f t="shared" si="49"/>
        <v>Electronics</v>
      </c>
      <c r="R331" t="str">
        <f t="shared" si="50"/>
        <v>North</v>
      </c>
      <c r="S331" t="str">
        <f t="shared" si="51"/>
        <v>Chandigarh</v>
      </c>
      <c r="T331">
        <f t="shared" si="52"/>
        <v>3199.4</v>
      </c>
      <c r="U331" t="str">
        <f t="shared" si="53"/>
        <v>OK</v>
      </c>
    </row>
    <row r="332" spans="1:21" x14ac:dyDescent="0.3">
      <c r="A332" t="s">
        <v>538</v>
      </c>
      <c r="B332" s="3">
        <v>45759</v>
      </c>
      <c r="C332" t="s">
        <v>257</v>
      </c>
      <c r="D332" t="s">
        <v>68</v>
      </c>
      <c r="E332" t="s">
        <v>44</v>
      </c>
      <c r="F332" t="s">
        <v>58</v>
      </c>
      <c r="G332" t="s">
        <v>126</v>
      </c>
      <c r="H332">
        <v>1</v>
      </c>
      <c r="I332">
        <v>1920</v>
      </c>
      <c r="J332">
        <v>0</v>
      </c>
      <c r="K332">
        <v>1920</v>
      </c>
      <c r="L332">
        <v>312.44</v>
      </c>
      <c r="M332" t="str">
        <f t="shared" si="45"/>
        <v>Webcam</v>
      </c>
      <c r="N332" t="str">
        <f t="shared" si="46"/>
        <v>Delhi</v>
      </c>
      <c r="O332" t="str">
        <f t="shared" si="47"/>
        <v>North</v>
      </c>
      <c r="P332" t="str">
        <f t="shared" si="48"/>
        <v>Accessories</v>
      </c>
      <c r="Q332" t="str">
        <f t="shared" si="49"/>
        <v>Accessories</v>
      </c>
      <c r="R332" t="str">
        <f t="shared" si="50"/>
        <v>North</v>
      </c>
      <c r="S332" t="str">
        <f t="shared" si="51"/>
        <v>Delhi</v>
      </c>
      <c r="T332">
        <f t="shared" si="52"/>
        <v>1920</v>
      </c>
      <c r="U332" t="str">
        <f t="shared" si="53"/>
        <v>OK</v>
      </c>
    </row>
    <row r="333" spans="1:21" x14ac:dyDescent="0.3">
      <c r="A333" t="s">
        <v>539</v>
      </c>
      <c r="B333" s="3">
        <v>45681</v>
      </c>
      <c r="C333" t="s">
        <v>492</v>
      </c>
      <c r="D333" t="s">
        <v>307</v>
      </c>
      <c r="E333" t="s">
        <v>73</v>
      </c>
      <c r="F333" t="s">
        <v>58</v>
      </c>
      <c r="G333" t="s">
        <v>69</v>
      </c>
      <c r="H333">
        <v>3</v>
      </c>
      <c r="I333">
        <v>405</v>
      </c>
      <c r="J333">
        <v>0</v>
      </c>
      <c r="K333">
        <v>1215</v>
      </c>
      <c r="L333">
        <v>193.83</v>
      </c>
      <c r="M333" t="str">
        <f t="shared" si="45"/>
        <v>Notebook</v>
      </c>
      <c r="N333" t="str">
        <f t="shared" si="46"/>
        <v>Jaipur</v>
      </c>
      <c r="O333" t="str">
        <f t="shared" si="47"/>
        <v>North</v>
      </c>
      <c r="P333" t="str">
        <f t="shared" si="48"/>
        <v>Office Supplies</v>
      </c>
      <c r="Q333" t="str">
        <f t="shared" si="49"/>
        <v>Office Supplies</v>
      </c>
      <c r="R333" t="str">
        <f t="shared" si="50"/>
        <v>North</v>
      </c>
      <c r="S333" t="str">
        <f t="shared" si="51"/>
        <v>Jaipur</v>
      </c>
      <c r="T333">
        <f t="shared" si="52"/>
        <v>1215</v>
      </c>
      <c r="U333" t="str">
        <f t="shared" si="53"/>
        <v>OK</v>
      </c>
    </row>
    <row r="334" spans="1:21" x14ac:dyDescent="0.3">
      <c r="A334" t="s">
        <v>540</v>
      </c>
      <c r="B334" s="3">
        <v>45761</v>
      </c>
      <c r="C334" t="s">
        <v>305</v>
      </c>
      <c r="D334" t="s">
        <v>20</v>
      </c>
      <c r="E334" t="s">
        <v>15</v>
      </c>
      <c r="F334" t="s">
        <v>21</v>
      </c>
      <c r="G334" t="s">
        <v>22</v>
      </c>
      <c r="H334">
        <v>1</v>
      </c>
      <c r="I334">
        <v>14428</v>
      </c>
      <c r="J334">
        <v>0.1</v>
      </c>
      <c r="K334">
        <v>12985.2</v>
      </c>
      <c r="L334">
        <v>1237.19</v>
      </c>
      <c r="M334" t="str">
        <f t="shared" si="45"/>
        <v>Filing Cabinet</v>
      </c>
      <c r="N334" t="str">
        <f t="shared" si="46"/>
        <v>Ahmedabad</v>
      </c>
      <c r="O334" t="str">
        <f t="shared" si="47"/>
        <v>West</v>
      </c>
      <c r="P334" t="str">
        <f t="shared" si="48"/>
        <v>Furniture</v>
      </c>
      <c r="Q334" t="str">
        <f t="shared" si="49"/>
        <v>Furniture</v>
      </c>
      <c r="R334" t="str">
        <f t="shared" si="50"/>
        <v>West</v>
      </c>
      <c r="S334" t="str">
        <f t="shared" si="51"/>
        <v>Ahmedabad</v>
      </c>
      <c r="T334">
        <f t="shared" si="52"/>
        <v>12985.2</v>
      </c>
      <c r="U334" t="str">
        <f t="shared" si="53"/>
        <v>OK</v>
      </c>
    </row>
    <row r="335" spans="1:21" x14ac:dyDescent="0.3">
      <c r="A335" t="s">
        <v>541</v>
      </c>
      <c r="B335" s="3">
        <v>45881</v>
      </c>
      <c r="C335" t="s">
        <v>542</v>
      </c>
      <c r="D335" t="s">
        <v>307</v>
      </c>
      <c r="E335" t="s">
        <v>73</v>
      </c>
      <c r="F335" t="s">
        <v>58</v>
      </c>
      <c r="G335" t="s">
        <v>69</v>
      </c>
      <c r="H335">
        <v>1</v>
      </c>
      <c r="I335">
        <v>366</v>
      </c>
      <c r="J335">
        <v>0.1</v>
      </c>
      <c r="K335">
        <v>329.4</v>
      </c>
      <c r="L335">
        <v>49.28</v>
      </c>
      <c r="M335" t="str">
        <f t="shared" si="45"/>
        <v>Notebook</v>
      </c>
      <c r="N335" t="str">
        <f t="shared" si="46"/>
        <v>Jaipur</v>
      </c>
      <c r="O335" t="str">
        <f t="shared" si="47"/>
        <v>North</v>
      </c>
      <c r="P335" t="str">
        <f t="shared" si="48"/>
        <v>Office Supplies</v>
      </c>
      <c r="Q335" t="str">
        <f t="shared" si="49"/>
        <v>Office Supplies</v>
      </c>
      <c r="R335" t="str">
        <f t="shared" si="50"/>
        <v>North</v>
      </c>
      <c r="S335" t="str">
        <f t="shared" si="51"/>
        <v>Jaipur</v>
      </c>
      <c r="T335">
        <f t="shared" si="52"/>
        <v>329.40000000000003</v>
      </c>
      <c r="U335" t="str">
        <f t="shared" si="53"/>
        <v>OK</v>
      </c>
    </row>
    <row r="336" spans="1:21" x14ac:dyDescent="0.3">
      <c r="A336" t="s">
        <v>543</v>
      </c>
      <c r="B336" s="3">
        <v>45792</v>
      </c>
      <c r="C336" t="s">
        <v>544</v>
      </c>
      <c r="D336" t="s">
        <v>65</v>
      </c>
      <c r="E336" t="s">
        <v>26</v>
      </c>
      <c r="F336" t="s">
        <v>16</v>
      </c>
      <c r="G336" t="s">
        <v>52</v>
      </c>
      <c r="H336">
        <v>4</v>
      </c>
      <c r="I336">
        <v>3429</v>
      </c>
      <c r="J336">
        <v>0.1</v>
      </c>
      <c r="K336">
        <v>12344.4</v>
      </c>
      <c r="L336">
        <v>3036.14</v>
      </c>
      <c r="M336" t="str">
        <f t="shared" si="45"/>
        <v>Electric Kettle</v>
      </c>
      <c r="N336" t="str">
        <f t="shared" si="46"/>
        <v>Kolkata</v>
      </c>
      <c r="O336" t="str">
        <f t="shared" si="47"/>
        <v>East</v>
      </c>
      <c r="P336" t="str">
        <f t="shared" si="48"/>
        <v>Home Appliances</v>
      </c>
      <c r="Q336" t="str">
        <f t="shared" si="49"/>
        <v>Home Appliances</v>
      </c>
      <c r="R336" t="str">
        <f t="shared" si="50"/>
        <v>East</v>
      </c>
      <c r="S336" t="str">
        <f t="shared" si="51"/>
        <v>Kolkata</v>
      </c>
      <c r="T336">
        <f t="shared" si="52"/>
        <v>12344.4</v>
      </c>
      <c r="U336" t="str">
        <f t="shared" si="53"/>
        <v>OK</v>
      </c>
    </row>
    <row r="337" spans="1:21" x14ac:dyDescent="0.3">
      <c r="A337" t="s">
        <v>545</v>
      </c>
      <c r="B337" s="3">
        <v>45814</v>
      </c>
      <c r="C337" t="s">
        <v>546</v>
      </c>
      <c r="D337" t="s">
        <v>20</v>
      </c>
      <c r="E337" t="s">
        <v>15</v>
      </c>
      <c r="F337" t="s">
        <v>21</v>
      </c>
      <c r="G337" t="s">
        <v>22</v>
      </c>
      <c r="H337">
        <v>1</v>
      </c>
      <c r="I337">
        <v>10325</v>
      </c>
      <c r="J337">
        <v>0.15</v>
      </c>
      <c r="K337">
        <v>8776.25</v>
      </c>
      <c r="L337">
        <v>1533.75</v>
      </c>
      <c r="M337" t="str">
        <f t="shared" si="45"/>
        <v>Filing Cabinet</v>
      </c>
      <c r="N337" t="str">
        <f t="shared" si="46"/>
        <v>Ahmedabad</v>
      </c>
      <c r="O337" t="str">
        <f t="shared" si="47"/>
        <v>West</v>
      </c>
      <c r="P337" t="str">
        <f t="shared" si="48"/>
        <v>Furniture</v>
      </c>
      <c r="Q337" t="str">
        <f t="shared" si="49"/>
        <v>Furniture</v>
      </c>
      <c r="R337" t="str">
        <f t="shared" si="50"/>
        <v>West</v>
      </c>
      <c r="S337" t="str">
        <f t="shared" si="51"/>
        <v>Ahmedabad</v>
      </c>
      <c r="T337">
        <f t="shared" si="52"/>
        <v>8776.25</v>
      </c>
      <c r="U337" t="str">
        <f t="shared" si="53"/>
        <v>OK</v>
      </c>
    </row>
    <row r="338" spans="1:21" x14ac:dyDescent="0.3">
      <c r="A338" t="s">
        <v>547</v>
      </c>
      <c r="B338" s="3">
        <v>45969</v>
      </c>
      <c r="C338" t="s">
        <v>234</v>
      </c>
      <c r="D338" t="s">
        <v>97</v>
      </c>
      <c r="E338" t="s">
        <v>44</v>
      </c>
      <c r="F338" t="s">
        <v>16</v>
      </c>
      <c r="G338" t="s">
        <v>52</v>
      </c>
      <c r="H338">
        <v>5</v>
      </c>
      <c r="I338">
        <v>767</v>
      </c>
      <c r="J338">
        <v>0.2</v>
      </c>
      <c r="K338">
        <v>3068</v>
      </c>
      <c r="L338">
        <v>291.83</v>
      </c>
      <c r="M338" t="str">
        <f t="shared" si="45"/>
        <v>USB Cable</v>
      </c>
      <c r="N338" t="str">
        <f t="shared" si="46"/>
        <v>Kolkata</v>
      </c>
      <c r="O338" t="str">
        <f t="shared" si="47"/>
        <v>East</v>
      </c>
      <c r="P338" t="str">
        <f t="shared" si="48"/>
        <v>Accessories</v>
      </c>
      <c r="Q338" t="str">
        <f t="shared" si="49"/>
        <v>Accessories</v>
      </c>
      <c r="R338" t="str">
        <f t="shared" si="50"/>
        <v>East</v>
      </c>
      <c r="S338" t="str">
        <f t="shared" si="51"/>
        <v>Kolkata</v>
      </c>
      <c r="T338">
        <f t="shared" si="52"/>
        <v>3068</v>
      </c>
      <c r="U338" t="str">
        <f t="shared" si="53"/>
        <v>OK</v>
      </c>
    </row>
    <row r="339" spans="1:21" x14ac:dyDescent="0.3">
      <c r="A339" t="s">
        <v>548</v>
      </c>
      <c r="B339" s="3">
        <v>45683</v>
      </c>
      <c r="C339" t="s">
        <v>54</v>
      </c>
      <c r="D339" t="s">
        <v>120</v>
      </c>
      <c r="E339" t="s">
        <v>51</v>
      </c>
      <c r="F339" t="s">
        <v>16</v>
      </c>
      <c r="G339" t="s">
        <v>104</v>
      </c>
      <c r="H339">
        <v>3</v>
      </c>
      <c r="I339">
        <v>967</v>
      </c>
      <c r="J339">
        <v>0.05</v>
      </c>
      <c r="K339">
        <v>2755.95</v>
      </c>
      <c r="L339">
        <v>761.55</v>
      </c>
      <c r="M339" t="str">
        <f t="shared" si="45"/>
        <v>Mouse</v>
      </c>
      <c r="N339" t="str">
        <f t="shared" si="46"/>
        <v>Bhubaneswar</v>
      </c>
      <c r="O339" t="str">
        <f t="shared" si="47"/>
        <v>East</v>
      </c>
      <c r="P339" t="str">
        <f t="shared" si="48"/>
        <v>Electronics</v>
      </c>
      <c r="Q339" t="str">
        <f t="shared" si="49"/>
        <v>Electronics</v>
      </c>
      <c r="R339" t="str">
        <f t="shared" si="50"/>
        <v>East</v>
      </c>
      <c r="S339" t="str">
        <f t="shared" si="51"/>
        <v>Bhubaneswar</v>
      </c>
      <c r="T339">
        <f t="shared" si="52"/>
        <v>2755.95</v>
      </c>
      <c r="U339" t="str">
        <f t="shared" si="53"/>
        <v>OK</v>
      </c>
    </row>
    <row r="340" spans="1:21" x14ac:dyDescent="0.3">
      <c r="A340" t="s">
        <v>549</v>
      </c>
      <c r="B340" s="3">
        <v>45978</v>
      </c>
      <c r="C340" t="s">
        <v>174</v>
      </c>
      <c r="D340" t="s">
        <v>202</v>
      </c>
      <c r="E340" t="s">
        <v>44</v>
      </c>
      <c r="F340" t="s">
        <v>21</v>
      </c>
      <c r="G340" t="s">
        <v>22</v>
      </c>
      <c r="H340">
        <v>1</v>
      </c>
      <c r="I340">
        <v>3285</v>
      </c>
      <c r="J340">
        <v>0.05</v>
      </c>
      <c r="K340">
        <v>3120.75</v>
      </c>
      <c r="L340">
        <v>543</v>
      </c>
      <c r="M340" t="str">
        <f t="shared" si="45"/>
        <v>Laptop Stand</v>
      </c>
      <c r="N340" t="str">
        <f t="shared" si="46"/>
        <v>Ahmedabad</v>
      </c>
      <c r="O340" t="str">
        <f t="shared" si="47"/>
        <v>West</v>
      </c>
      <c r="P340" t="str">
        <f t="shared" si="48"/>
        <v>Accessories</v>
      </c>
      <c r="Q340" t="str">
        <f t="shared" si="49"/>
        <v>Accessories</v>
      </c>
      <c r="R340" t="str">
        <f t="shared" si="50"/>
        <v>West</v>
      </c>
      <c r="S340" t="str">
        <f t="shared" si="51"/>
        <v>Ahmedabad</v>
      </c>
      <c r="T340">
        <f t="shared" si="52"/>
        <v>3120.75</v>
      </c>
      <c r="U340" t="str">
        <f t="shared" si="53"/>
        <v>OK</v>
      </c>
    </row>
    <row r="341" spans="1:21" x14ac:dyDescent="0.3">
      <c r="A341" t="s">
        <v>550</v>
      </c>
      <c r="B341" s="3">
        <v>45662</v>
      </c>
      <c r="C341" t="s">
        <v>551</v>
      </c>
      <c r="D341" t="s">
        <v>92</v>
      </c>
      <c r="E341" t="s">
        <v>51</v>
      </c>
      <c r="F341" t="s">
        <v>27</v>
      </c>
      <c r="G341" t="s">
        <v>28</v>
      </c>
      <c r="H341">
        <v>2</v>
      </c>
      <c r="I341">
        <v>12684</v>
      </c>
      <c r="J341">
        <v>0</v>
      </c>
      <c r="K341">
        <v>25368</v>
      </c>
      <c r="L341">
        <v>4138.24</v>
      </c>
      <c r="M341" t="str">
        <f t="shared" si="45"/>
        <v>Monitor</v>
      </c>
      <c r="N341" t="str">
        <f t="shared" si="46"/>
        <v>Bengaluru</v>
      </c>
      <c r="O341" t="str">
        <f t="shared" si="47"/>
        <v>South</v>
      </c>
      <c r="P341" t="str">
        <f t="shared" si="48"/>
        <v>Electronics</v>
      </c>
      <c r="Q341" t="str">
        <f t="shared" si="49"/>
        <v>Electronics</v>
      </c>
      <c r="R341" t="str">
        <f t="shared" si="50"/>
        <v>South</v>
      </c>
      <c r="S341" t="str">
        <f t="shared" si="51"/>
        <v>Bengaluru</v>
      </c>
      <c r="T341">
        <f t="shared" si="52"/>
        <v>25368</v>
      </c>
      <c r="U341" t="str">
        <f t="shared" si="53"/>
        <v>OK</v>
      </c>
    </row>
    <row r="342" spans="1:21" x14ac:dyDescent="0.3">
      <c r="A342" t="s">
        <v>552</v>
      </c>
      <c r="B342" s="3">
        <v>45779</v>
      </c>
      <c r="C342" t="s">
        <v>468</v>
      </c>
      <c r="D342" t="s">
        <v>153</v>
      </c>
      <c r="E342" t="s">
        <v>26</v>
      </c>
      <c r="F342" t="s">
        <v>21</v>
      </c>
      <c r="G342" t="s">
        <v>35</v>
      </c>
      <c r="H342">
        <v>2</v>
      </c>
      <c r="I342">
        <v>3072</v>
      </c>
      <c r="J342">
        <v>0.05</v>
      </c>
      <c r="K342">
        <v>5836.8</v>
      </c>
      <c r="L342">
        <v>1408.96</v>
      </c>
      <c r="M342" t="str">
        <f t="shared" si="45"/>
        <v>Coffee Maker</v>
      </c>
      <c r="N342" t="str">
        <f t="shared" si="46"/>
        <v>Mumbai</v>
      </c>
      <c r="O342" t="str">
        <f t="shared" si="47"/>
        <v>West</v>
      </c>
      <c r="P342" t="str">
        <f t="shared" si="48"/>
        <v>Home Appliances</v>
      </c>
      <c r="Q342" t="str">
        <f t="shared" si="49"/>
        <v>Home Appliances</v>
      </c>
      <c r="R342" t="str">
        <f t="shared" si="50"/>
        <v>West</v>
      </c>
      <c r="S342" t="str">
        <f t="shared" si="51"/>
        <v>Mumbai</v>
      </c>
      <c r="T342">
        <f t="shared" si="52"/>
        <v>5836.7999999999993</v>
      </c>
      <c r="U342" t="str">
        <f t="shared" si="53"/>
        <v>OK</v>
      </c>
    </row>
    <row r="343" spans="1:21" x14ac:dyDescent="0.3">
      <c r="A343" t="s">
        <v>553</v>
      </c>
      <c r="B343" s="3">
        <v>45660</v>
      </c>
      <c r="C343" t="s">
        <v>87</v>
      </c>
      <c r="D343" t="s">
        <v>47</v>
      </c>
      <c r="E343" t="s">
        <v>26</v>
      </c>
      <c r="F343" t="s">
        <v>16</v>
      </c>
      <c r="G343" t="s">
        <v>104</v>
      </c>
      <c r="H343">
        <v>1</v>
      </c>
      <c r="I343">
        <v>13683</v>
      </c>
      <c r="J343">
        <v>0</v>
      </c>
      <c r="K343">
        <v>13683</v>
      </c>
      <c r="L343">
        <v>1231.4100000000001</v>
      </c>
      <c r="M343" t="str">
        <f t="shared" si="45"/>
        <v>Air Purifier</v>
      </c>
      <c r="N343" t="str">
        <f t="shared" si="46"/>
        <v>Bhubaneswar</v>
      </c>
      <c r="O343" t="str">
        <f t="shared" si="47"/>
        <v>East</v>
      </c>
      <c r="P343" t="str">
        <f t="shared" si="48"/>
        <v>Home Appliances</v>
      </c>
      <c r="Q343" t="str">
        <f t="shared" si="49"/>
        <v>Home Appliances</v>
      </c>
      <c r="R343" t="str">
        <f t="shared" si="50"/>
        <v>East</v>
      </c>
      <c r="S343" t="str">
        <f t="shared" si="51"/>
        <v>Bhubaneswar</v>
      </c>
      <c r="T343">
        <f t="shared" si="52"/>
        <v>13683</v>
      </c>
      <c r="U343" t="str">
        <f t="shared" si="53"/>
        <v>OK</v>
      </c>
    </row>
    <row r="344" spans="1:21" x14ac:dyDescent="0.3">
      <c r="A344" t="s">
        <v>554</v>
      </c>
      <c r="B344" s="3">
        <v>45668</v>
      </c>
      <c r="C344" t="s">
        <v>555</v>
      </c>
      <c r="D344" t="s">
        <v>50</v>
      </c>
      <c r="E344" t="s">
        <v>51</v>
      </c>
      <c r="F344" t="s">
        <v>58</v>
      </c>
      <c r="G344" t="s">
        <v>69</v>
      </c>
      <c r="H344">
        <v>1</v>
      </c>
      <c r="I344">
        <v>2580</v>
      </c>
      <c r="J344">
        <v>0</v>
      </c>
      <c r="K344">
        <v>2580</v>
      </c>
      <c r="L344">
        <v>534.85</v>
      </c>
      <c r="M344" t="str">
        <f t="shared" si="45"/>
        <v>Keyboard</v>
      </c>
      <c r="N344" t="str">
        <f t="shared" si="46"/>
        <v>Jaipur</v>
      </c>
      <c r="O344" t="str">
        <f t="shared" si="47"/>
        <v>North</v>
      </c>
      <c r="P344" t="str">
        <f t="shared" si="48"/>
        <v>Electronics</v>
      </c>
      <c r="Q344" t="str">
        <f t="shared" si="49"/>
        <v>Electronics</v>
      </c>
      <c r="R344" t="str">
        <f t="shared" si="50"/>
        <v>North</v>
      </c>
      <c r="S344" t="str">
        <f t="shared" si="51"/>
        <v>Jaipur</v>
      </c>
      <c r="T344">
        <f t="shared" si="52"/>
        <v>2580</v>
      </c>
      <c r="U344" t="str">
        <f t="shared" si="53"/>
        <v>OK</v>
      </c>
    </row>
    <row r="345" spans="1:21" x14ac:dyDescent="0.3">
      <c r="A345" t="s">
        <v>556</v>
      </c>
      <c r="B345" s="3">
        <v>45989</v>
      </c>
      <c r="C345" t="s">
        <v>172</v>
      </c>
      <c r="D345" t="s">
        <v>30</v>
      </c>
      <c r="E345" t="s">
        <v>15</v>
      </c>
      <c r="F345" t="s">
        <v>27</v>
      </c>
      <c r="G345" t="s">
        <v>40</v>
      </c>
      <c r="H345">
        <v>1</v>
      </c>
      <c r="I345">
        <v>8651</v>
      </c>
      <c r="J345">
        <v>0.1</v>
      </c>
      <c r="K345">
        <v>7785.9</v>
      </c>
      <c r="L345">
        <v>736.67</v>
      </c>
      <c r="M345" t="str">
        <f t="shared" si="45"/>
        <v>Bookshelf</v>
      </c>
      <c r="N345" t="str">
        <f t="shared" si="46"/>
        <v>Chennai</v>
      </c>
      <c r="O345" t="str">
        <f t="shared" si="47"/>
        <v>South</v>
      </c>
      <c r="P345" t="str">
        <f t="shared" si="48"/>
        <v>Furniture</v>
      </c>
      <c r="Q345" t="str">
        <f t="shared" si="49"/>
        <v>Furniture</v>
      </c>
      <c r="R345" t="str">
        <f t="shared" si="50"/>
        <v>South</v>
      </c>
      <c r="S345" t="str">
        <f t="shared" si="51"/>
        <v>Chennai</v>
      </c>
      <c r="T345">
        <f t="shared" si="52"/>
        <v>7785.9000000000005</v>
      </c>
      <c r="U345" t="str">
        <f t="shared" si="53"/>
        <v>OK</v>
      </c>
    </row>
    <row r="346" spans="1:21" x14ac:dyDescent="0.3">
      <c r="A346" t="s">
        <v>557</v>
      </c>
      <c r="B346" s="3">
        <v>45942</v>
      </c>
      <c r="C346" t="s">
        <v>458</v>
      </c>
      <c r="D346" t="s">
        <v>120</v>
      </c>
      <c r="E346" t="s">
        <v>51</v>
      </c>
      <c r="F346" t="s">
        <v>21</v>
      </c>
      <c r="G346" t="s">
        <v>22</v>
      </c>
      <c r="H346">
        <v>4</v>
      </c>
      <c r="I346">
        <v>2099</v>
      </c>
      <c r="J346">
        <v>0.2</v>
      </c>
      <c r="K346">
        <v>6716.8</v>
      </c>
      <c r="L346">
        <v>1237.8499999999999</v>
      </c>
      <c r="M346" t="str">
        <f t="shared" si="45"/>
        <v>Mouse</v>
      </c>
      <c r="N346" t="str">
        <f t="shared" si="46"/>
        <v>Ahmedabad</v>
      </c>
      <c r="O346" t="str">
        <f t="shared" si="47"/>
        <v>West</v>
      </c>
      <c r="P346" t="str">
        <f t="shared" si="48"/>
        <v>Electronics</v>
      </c>
      <c r="Q346" t="str">
        <f t="shared" si="49"/>
        <v>Electronics</v>
      </c>
      <c r="R346" t="str">
        <f t="shared" si="50"/>
        <v>West</v>
      </c>
      <c r="S346" t="str">
        <f t="shared" si="51"/>
        <v>Ahmedabad</v>
      </c>
      <c r="T346">
        <f t="shared" si="52"/>
        <v>6716.8</v>
      </c>
      <c r="U346" t="str">
        <f t="shared" si="53"/>
        <v>OK</v>
      </c>
    </row>
    <row r="347" spans="1:21" x14ac:dyDescent="0.3">
      <c r="A347" t="s">
        <v>558</v>
      </c>
      <c r="B347" s="3">
        <v>46009</v>
      </c>
      <c r="C347" t="s">
        <v>337</v>
      </c>
      <c r="D347" t="s">
        <v>83</v>
      </c>
      <c r="E347" t="s">
        <v>73</v>
      </c>
      <c r="F347" t="s">
        <v>27</v>
      </c>
      <c r="G347" t="s">
        <v>40</v>
      </c>
      <c r="H347">
        <v>1</v>
      </c>
      <c r="I347">
        <v>401</v>
      </c>
      <c r="J347">
        <v>0.05</v>
      </c>
      <c r="K347">
        <v>380.95</v>
      </c>
      <c r="L347">
        <v>90.01</v>
      </c>
      <c r="M347" t="str">
        <f t="shared" si="45"/>
        <v>Printer Paper</v>
      </c>
      <c r="N347" t="str">
        <f t="shared" si="46"/>
        <v>Chennai</v>
      </c>
      <c r="O347" t="str">
        <f t="shared" si="47"/>
        <v>South</v>
      </c>
      <c r="P347" t="str">
        <f t="shared" si="48"/>
        <v>Office Supplies</v>
      </c>
      <c r="Q347" t="str">
        <f t="shared" si="49"/>
        <v>Office Supplies</v>
      </c>
      <c r="R347" t="str">
        <f t="shared" si="50"/>
        <v>South</v>
      </c>
      <c r="S347" t="str">
        <f t="shared" si="51"/>
        <v>Chennai</v>
      </c>
      <c r="T347">
        <f t="shared" si="52"/>
        <v>380.95</v>
      </c>
      <c r="U347" t="str">
        <f t="shared" si="53"/>
        <v>OK</v>
      </c>
    </row>
    <row r="348" spans="1:21" x14ac:dyDescent="0.3">
      <c r="A348" t="s">
        <v>559</v>
      </c>
      <c r="B348" s="3">
        <v>45701</v>
      </c>
      <c r="C348" t="s">
        <v>278</v>
      </c>
      <c r="D348" t="s">
        <v>25</v>
      </c>
      <c r="E348" t="s">
        <v>26</v>
      </c>
      <c r="F348" t="s">
        <v>58</v>
      </c>
      <c r="G348" t="s">
        <v>69</v>
      </c>
      <c r="H348">
        <v>1</v>
      </c>
      <c r="I348">
        <v>6108</v>
      </c>
      <c r="J348">
        <v>0.05</v>
      </c>
      <c r="K348">
        <v>5802.6</v>
      </c>
      <c r="L348">
        <v>1539.07</v>
      </c>
      <c r="M348" t="str">
        <f t="shared" si="45"/>
        <v>Microwave</v>
      </c>
      <c r="N348" t="str">
        <f t="shared" si="46"/>
        <v>Jaipur</v>
      </c>
      <c r="O348" t="str">
        <f t="shared" si="47"/>
        <v>North</v>
      </c>
      <c r="P348" t="str">
        <f t="shared" si="48"/>
        <v>Home Appliances</v>
      </c>
      <c r="Q348" t="str">
        <f t="shared" si="49"/>
        <v>Home Appliances</v>
      </c>
      <c r="R348" t="str">
        <f t="shared" si="50"/>
        <v>North</v>
      </c>
      <c r="S348" t="str">
        <f t="shared" si="51"/>
        <v>Jaipur</v>
      </c>
      <c r="T348">
        <f t="shared" si="52"/>
        <v>5802.5999999999995</v>
      </c>
      <c r="U348" t="str">
        <f t="shared" si="53"/>
        <v>OK</v>
      </c>
    </row>
    <row r="349" spans="1:21" x14ac:dyDescent="0.3">
      <c r="A349" t="s">
        <v>560</v>
      </c>
      <c r="B349" s="3">
        <v>45909</v>
      </c>
      <c r="C349" t="s">
        <v>421</v>
      </c>
      <c r="D349" t="s">
        <v>83</v>
      </c>
      <c r="E349" t="s">
        <v>73</v>
      </c>
      <c r="F349" t="s">
        <v>21</v>
      </c>
      <c r="G349" t="s">
        <v>55</v>
      </c>
      <c r="H349">
        <v>1</v>
      </c>
      <c r="I349">
        <v>585</v>
      </c>
      <c r="J349">
        <v>0.15</v>
      </c>
      <c r="K349">
        <v>497.25</v>
      </c>
      <c r="L349">
        <v>65.02</v>
      </c>
      <c r="M349" t="str">
        <f t="shared" si="45"/>
        <v>Printer Paper</v>
      </c>
      <c r="N349" t="str">
        <f t="shared" si="46"/>
        <v>Pune</v>
      </c>
      <c r="O349" t="str">
        <f t="shared" si="47"/>
        <v>West</v>
      </c>
      <c r="P349" t="str">
        <f t="shared" si="48"/>
        <v>Office Supplies</v>
      </c>
      <c r="Q349" t="str">
        <f t="shared" si="49"/>
        <v>Office Supplies</v>
      </c>
      <c r="R349" t="str">
        <f t="shared" si="50"/>
        <v>West</v>
      </c>
      <c r="S349" t="str">
        <f t="shared" si="51"/>
        <v>Pune</v>
      </c>
      <c r="T349">
        <f t="shared" si="52"/>
        <v>497.25</v>
      </c>
      <c r="U349" t="str">
        <f t="shared" si="53"/>
        <v>OK</v>
      </c>
    </row>
    <row r="350" spans="1:21" x14ac:dyDescent="0.3">
      <c r="A350" t="s">
        <v>561</v>
      </c>
      <c r="B350" s="3">
        <v>45830</v>
      </c>
      <c r="C350" t="s">
        <v>46</v>
      </c>
      <c r="D350" t="s">
        <v>50</v>
      </c>
      <c r="E350" t="s">
        <v>51</v>
      </c>
      <c r="F350" t="s">
        <v>21</v>
      </c>
      <c r="G350" t="s">
        <v>35</v>
      </c>
      <c r="H350">
        <v>1</v>
      </c>
      <c r="I350">
        <v>1580</v>
      </c>
      <c r="J350">
        <v>0.05</v>
      </c>
      <c r="K350">
        <v>1501</v>
      </c>
      <c r="L350">
        <v>396.12</v>
      </c>
      <c r="M350" t="str">
        <f t="shared" si="45"/>
        <v>Keyboard</v>
      </c>
      <c r="N350" t="str">
        <f t="shared" si="46"/>
        <v>Mumbai</v>
      </c>
      <c r="O350" t="str">
        <f t="shared" si="47"/>
        <v>West</v>
      </c>
      <c r="P350" t="str">
        <f t="shared" si="48"/>
        <v>Electronics</v>
      </c>
      <c r="Q350" t="str">
        <f t="shared" si="49"/>
        <v>Electronics</v>
      </c>
      <c r="R350" t="str">
        <f t="shared" si="50"/>
        <v>West</v>
      </c>
      <c r="S350" t="str">
        <f t="shared" si="51"/>
        <v>Mumbai</v>
      </c>
      <c r="T350">
        <f t="shared" si="52"/>
        <v>1501</v>
      </c>
      <c r="U350" t="str">
        <f t="shared" si="53"/>
        <v>OK</v>
      </c>
    </row>
    <row r="351" spans="1:21" x14ac:dyDescent="0.3">
      <c r="A351" t="s">
        <v>562</v>
      </c>
      <c r="B351" s="3">
        <v>45980</v>
      </c>
      <c r="C351" t="s">
        <v>563</v>
      </c>
      <c r="D351" t="s">
        <v>103</v>
      </c>
      <c r="E351" t="s">
        <v>51</v>
      </c>
      <c r="F351" t="s">
        <v>16</v>
      </c>
      <c r="G351" t="s">
        <v>52</v>
      </c>
      <c r="H351">
        <v>1</v>
      </c>
      <c r="I351">
        <v>7083</v>
      </c>
      <c r="J351">
        <v>0.2</v>
      </c>
      <c r="K351">
        <v>5666.4</v>
      </c>
      <c r="L351">
        <v>1530.98</v>
      </c>
      <c r="M351" t="str">
        <f t="shared" si="45"/>
        <v>Headphones</v>
      </c>
      <c r="N351" t="str">
        <f t="shared" si="46"/>
        <v>Kolkata</v>
      </c>
      <c r="O351" t="str">
        <f t="shared" si="47"/>
        <v>East</v>
      </c>
      <c r="P351" t="str">
        <f t="shared" si="48"/>
        <v>Electronics</v>
      </c>
      <c r="Q351" t="str">
        <f t="shared" si="49"/>
        <v>Electronics</v>
      </c>
      <c r="R351" t="str">
        <f t="shared" si="50"/>
        <v>East</v>
      </c>
      <c r="S351" t="str">
        <f t="shared" si="51"/>
        <v>Kolkata</v>
      </c>
      <c r="T351">
        <f t="shared" si="52"/>
        <v>5666.4000000000005</v>
      </c>
      <c r="U351" t="str">
        <f t="shared" si="53"/>
        <v>OK</v>
      </c>
    </row>
    <row r="352" spans="1:21" x14ac:dyDescent="0.3">
      <c r="A352" t="s">
        <v>564</v>
      </c>
      <c r="B352" s="3">
        <v>45773</v>
      </c>
      <c r="C352" t="s">
        <v>240</v>
      </c>
      <c r="D352" t="s">
        <v>80</v>
      </c>
      <c r="E352" t="s">
        <v>51</v>
      </c>
      <c r="F352" t="s">
        <v>27</v>
      </c>
      <c r="G352" t="s">
        <v>28</v>
      </c>
      <c r="H352">
        <v>1</v>
      </c>
      <c r="I352">
        <v>67954</v>
      </c>
      <c r="J352">
        <v>0.05</v>
      </c>
      <c r="K352">
        <v>64556.3</v>
      </c>
      <c r="L352">
        <v>16103.85</v>
      </c>
      <c r="M352" t="str">
        <f t="shared" si="45"/>
        <v>Laptop</v>
      </c>
      <c r="N352" t="str">
        <f t="shared" si="46"/>
        <v>Bengaluru</v>
      </c>
      <c r="O352" t="str">
        <f t="shared" si="47"/>
        <v>South</v>
      </c>
      <c r="P352" t="str">
        <f t="shared" si="48"/>
        <v>Electronics</v>
      </c>
      <c r="Q352" t="str">
        <f t="shared" si="49"/>
        <v>Electronics</v>
      </c>
      <c r="R352" t="str">
        <f t="shared" si="50"/>
        <v>South</v>
      </c>
      <c r="S352" t="str">
        <f t="shared" si="51"/>
        <v>Bengaluru</v>
      </c>
      <c r="T352">
        <f t="shared" si="52"/>
        <v>64556.299999999996</v>
      </c>
      <c r="U352" t="str">
        <f t="shared" si="53"/>
        <v>OK</v>
      </c>
    </row>
    <row r="353" spans="1:21" x14ac:dyDescent="0.3">
      <c r="A353" t="s">
        <v>565</v>
      </c>
      <c r="B353" s="3">
        <v>45923</v>
      </c>
      <c r="C353" t="s">
        <v>300</v>
      </c>
      <c r="D353" t="s">
        <v>103</v>
      </c>
      <c r="E353" t="s">
        <v>51</v>
      </c>
      <c r="F353" t="s">
        <v>21</v>
      </c>
      <c r="G353" t="s">
        <v>22</v>
      </c>
      <c r="H353">
        <v>3</v>
      </c>
      <c r="I353">
        <v>7064</v>
      </c>
      <c r="J353">
        <v>0.05</v>
      </c>
      <c r="K353">
        <v>20132.400000000001</v>
      </c>
      <c r="L353">
        <v>5461.2</v>
      </c>
      <c r="M353" t="str">
        <f t="shared" si="45"/>
        <v>Headphones</v>
      </c>
      <c r="N353" t="str">
        <f t="shared" si="46"/>
        <v>Ahmedabad</v>
      </c>
      <c r="O353" t="str">
        <f t="shared" si="47"/>
        <v>West</v>
      </c>
      <c r="P353" t="str">
        <f t="shared" si="48"/>
        <v>Electronics</v>
      </c>
      <c r="Q353" t="str">
        <f t="shared" si="49"/>
        <v>Electronics</v>
      </c>
      <c r="R353" t="str">
        <f t="shared" si="50"/>
        <v>West</v>
      </c>
      <c r="S353" t="str">
        <f t="shared" si="51"/>
        <v>Ahmedabad</v>
      </c>
      <c r="T353">
        <f t="shared" si="52"/>
        <v>20132.399999999998</v>
      </c>
      <c r="U353" t="str">
        <f t="shared" si="53"/>
        <v>OK</v>
      </c>
    </row>
    <row r="354" spans="1:21" x14ac:dyDescent="0.3">
      <c r="A354" t="s">
        <v>566</v>
      </c>
      <c r="B354" s="3">
        <v>45725</v>
      </c>
      <c r="C354" t="s">
        <v>448</v>
      </c>
      <c r="D354" t="s">
        <v>97</v>
      </c>
      <c r="E354" t="s">
        <v>44</v>
      </c>
      <c r="F354" t="s">
        <v>58</v>
      </c>
      <c r="G354" t="s">
        <v>126</v>
      </c>
      <c r="H354">
        <v>2</v>
      </c>
      <c r="I354">
        <v>665</v>
      </c>
      <c r="J354">
        <v>0.1</v>
      </c>
      <c r="K354">
        <v>1197</v>
      </c>
      <c r="L354">
        <v>219.46</v>
      </c>
      <c r="M354" t="str">
        <f t="shared" si="45"/>
        <v>USB Cable</v>
      </c>
      <c r="N354" t="str">
        <f t="shared" si="46"/>
        <v>Delhi</v>
      </c>
      <c r="O354" t="str">
        <f t="shared" si="47"/>
        <v>North</v>
      </c>
      <c r="P354" t="str">
        <f t="shared" si="48"/>
        <v>Accessories</v>
      </c>
      <c r="Q354" t="str">
        <f t="shared" si="49"/>
        <v>Accessories</v>
      </c>
      <c r="R354" t="str">
        <f t="shared" si="50"/>
        <v>North</v>
      </c>
      <c r="S354" t="str">
        <f t="shared" si="51"/>
        <v>Delhi</v>
      </c>
      <c r="T354">
        <f t="shared" si="52"/>
        <v>1197</v>
      </c>
      <c r="U354" t="str">
        <f t="shared" si="53"/>
        <v>OK</v>
      </c>
    </row>
    <row r="355" spans="1:21" x14ac:dyDescent="0.3">
      <c r="A355" t="s">
        <v>567</v>
      </c>
      <c r="B355" s="3">
        <v>45960</v>
      </c>
      <c r="C355" t="s">
        <v>123</v>
      </c>
      <c r="D355" t="s">
        <v>97</v>
      </c>
      <c r="E355" t="s">
        <v>44</v>
      </c>
      <c r="F355" t="s">
        <v>21</v>
      </c>
      <c r="G355" t="s">
        <v>22</v>
      </c>
      <c r="H355">
        <v>4</v>
      </c>
      <c r="I355">
        <v>1054</v>
      </c>
      <c r="J355">
        <v>0.05</v>
      </c>
      <c r="K355">
        <v>4005.2</v>
      </c>
      <c r="L355">
        <v>931.7</v>
      </c>
      <c r="M355" t="str">
        <f t="shared" si="45"/>
        <v>USB Cable</v>
      </c>
      <c r="N355" t="str">
        <f t="shared" si="46"/>
        <v>Ahmedabad</v>
      </c>
      <c r="O355" t="str">
        <f t="shared" si="47"/>
        <v>West</v>
      </c>
      <c r="P355" t="str">
        <f t="shared" si="48"/>
        <v>Accessories</v>
      </c>
      <c r="Q355" t="str">
        <f t="shared" si="49"/>
        <v>Accessories</v>
      </c>
      <c r="R355" t="str">
        <f t="shared" si="50"/>
        <v>West</v>
      </c>
      <c r="S355" t="str">
        <f t="shared" si="51"/>
        <v>Ahmedabad</v>
      </c>
      <c r="T355">
        <f t="shared" si="52"/>
        <v>4005.2</v>
      </c>
      <c r="U355" t="str">
        <f t="shared" si="53"/>
        <v>OK</v>
      </c>
    </row>
    <row r="356" spans="1:21" x14ac:dyDescent="0.3">
      <c r="A356" t="s">
        <v>568</v>
      </c>
      <c r="B356" s="3">
        <v>45878</v>
      </c>
      <c r="C356" t="s">
        <v>503</v>
      </c>
      <c r="D356" t="s">
        <v>153</v>
      </c>
      <c r="E356" t="s">
        <v>26</v>
      </c>
      <c r="F356" t="s">
        <v>27</v>
      </c>
      <c r="G356" t="s">
        <v>28</v>
      </c>
      <c r="H356">
        <v>1</v>
      </c>
      <c r="I356">
        <v>4718</v>
      </c>
      <c r="J356">
        <v>0.1</v>
      </c>
      <c r="K356">
        <v>4246.2</v>
      </c>
      <c r="L356">
        <v>367.56</v>
      </c>
      <c r="M356" t="str">
        <f t="shared" si="45"/>
        <v>Coffee Maker</v>
      </c>
      <c r="N356" t="str">
        <f t="shared" si="46"/>
        <v>Bengaluru</v>
      </c>
      <c r="O356" t="str">
        <f t="shared" si="47"/>
        <v>South</v>
      </c>
      <c r="P356" t="str">
        <f t="shared" si="48"/>
        <v>Home Appliances</v>
      </c>
      <c r="Q356" t="str">
        <f t="shared" si="49"/>
        <v>Home Appliances</v>
      </c>
      <c r="R356" t="str">
        <f t="shared" si="50"/>
        <v>South</v>
      </c>
      <c r="S356" t="str">
        <f t="shared" si="51"/>
        <v>Bengaluru</v>
      </c>
      <c r="T356">
        <f t="shared" si="52"/>
        <v>4246.2</v>
      </c>
      <c r="U356" t="str">
        <f t="shared" si="53"/>
        <v>OK</v>
      </c>
    </row>
    <row r="357" spans="1:21" x14ac:dyDescent="0.3">
      <c r="A357" t="s">
        <v>569</v>
      </c>
      <c r="B357" s="3">
        <v>45852</v>
      </c>
      <c r="C357" t="s">
        <v>570</v>
      </c>
      <c r="D357" t="s">
        <v>30</v>
      </c>
      <c r="E357" t="s">
        <v>15</v>
      </c>
      <c r="F357" t="s">
        <v>58</v>
      </c>
      <c r="G357" t="s">
        <v>126</v>
      </c>
      <c r="H357">
        <v>1</v>
      </c>
      <c r="I357">
        <v>12354</v>
      </c>
      <c r="J357">
        <v>0</v>
      </c>
      <c r="K357">
        <v>12354</v>
      </c>
      <c r="L357">
        <v>2783.97</v>
      </c>
      <c r="M357" t="str">
        <f t="shared" si="45"/>
        <v>Bookshelf</v>
      </c>
      <c r="N357" t="str">
        <f t="shared" si="46"/>
        <v>Delhi</v>
      </c>
      <c r="O357" t="str">
        <f t="shared" si="47"/>
        <v>North</v>
      </c>
      <c r="P357" t="str">
        <f t="shared" si="48"/>
        <v>Furniture</v>
      </c>
      <c r="Q357" t="str">
        <f t="shared" si="49"/>
        <v>Furniture</v>
      </c>
      <c r="R357" t="str">
        <f t="shared" si="50"/>
        <v>North</v>
      </c>
      <c r="S357" t="str">
        <f t="shared" si="51"/>
        <v>Delhi</v>
      </c>
      <c r="T357">
        <f t="shared" si="52"/>
        <v>12354</v>
      </c>
      <c r="U357" t="str">
        <f t="shared" si="53"/>
        <v>OK</v>
      </c>
    </row>
    <row r="358" spans="1:21" x14ac:dyDescent="0.3">
      <c r="A358" t="s">
        <v>571</v>
      </c>
      <c r="B358" s="3">
        <v>45838</v>
      </c>
      <c r="C358" t="s">
        <v>394</v>
      </c>
      <c r="D358" t="s">
        <v>20</v>
      </c>
      <c r="E358" t="s">
        <v>15</v>
      </c>
      <c r="F358" t="s">
        <v>16</v>
      </c>
      <c r="G358" t="s">
        <v>104</v>
      </c>
      <c r="H358">
        <v>1</v>
      </c>
      <c r="I358">
        <v>9678</v>
      </c>
      <c r="J358">
        <v>0</v>
      </c>
      <c r="K358">
        <v>9678</v>
      </c>
      <c r="L358">
        <v>1021.74</v>
      </c>
      <c r="M358" t="str">
        <f t="shared" si="45"/>
        <v>Filing Cabinet</v>
      </c>
      <c r="N358" t="str">
        <f t="shared" si="46"/>
        <v>Bhubaneswar</v>
      </c>
      <c r="O358" t="str">
        <f t="shared" si="47"/>
        <v>East</v>
      </c>
      <c r="P358" t="str">
        <f t="shared" si="48"/>
        <v>Furniture</v>
      </c>
      <c r="Q358" t="str">
        <f t="shared" si="49"/>
        <v>Furniture</v>
      </c>
      <c r="R358" t="str">
        <f t="shared" si="50"/>
        <v>East</v>
      </c>
      <c r="S358" t="str">
        <f t="shared" si="51"/>
        <v>Bhubaneswar</v>
      </c>
      <c r="T358">
        <f t="shared" si="52"/>
        <v>9678</v>
      </c>
      <c r="U358" t="str">
        <f t="shared" si="53"/>
        <v>OK</v>
      </c>
    </row>
    <row r="359" spans="1:21" x14ac:dyDescent="0.3">
      <c r="A359" t="s">
        <v>572</v>
      </c>
      <c r="B359" s="3">
        <v>45983</v>
      </c>
      <c r="C359" t="s">
        <v>102</v>
      </c>
      <c r="D359" t="s">
        <v>47</v>
      </c>
      <c r="E359" t="s">
        <v>26</v>
      </c>
      <c r="F359" t="s">
        <v>58</v>
      </c>
      <c r="G359" t="s">
        <v>69</v>
      </c>
      <c r="H359">
        <v>1</v>
      </c>
      <c r="I359">
        <v>21596</v>
      </c>
      <c r="J359">
        <v>0.05</v>
      </c>
      <c r="K359">
        <v>20516.2</v>
      </c>
      <c r="L359">
        <v>2889.5</v>
      </c>
      <c r="M359" t="str">
        <f t="shared" si="45"/>
        <v>Air Purifier</v>
      </c>
      <c r="N359" t="str">
        <f t="shared" si="46"/>
        <v>Jaipur</v>
      </c>
      <c r="O359" t="str">
        <f t="shared" si="47"/>
        <v>North</v>
      </c>
      <c r="P359" t="str">
        <f t="shared" si="48"/>
        <v>Home Appliances</v>
      </c>
      <c r="Q359" t="str">
        <f t="shared" si="49"/>
        <v>Home Appliances</v>
      </c>
      <c r="R359" t="str">
        <f t="shared" si="50"/>
        <v>North</v>
      </c>
      <c r="S359" t="str">
        <f t="shared" si="51"/>
        <v>Jaipur</v>
      </c>
      <c r="T359">
        <f t="shared" si="52"/>
        <v>20516.2</v>
      </c>
      <c r="U359" t="str">
        <f t="shared" si="53"/>
        <v>OK</v>
      </c>
    </row>
    <row r="360" spans="1:21" x14ac:dyDescent="0.3">
      <c r="A360" t="s">
        <v>573</v>
      </c>
      <c r="B360" s="3">
        <v>45960</v>
      </c>
      <c r="C360" t="s">
        <v>516</v>
      </c>
      <c r="D360" t="s">
        <v>20</v>
      </c>
      <c r="E360" t="s">
        <v>15</v>
      </c>
      <c r="F360" t="s">
        <v>16</v>
      </c>
      <c r="G360" t="s">
        <v>104</v>
      </c>
      <c r="H360">
        <v>1</v>
      </c>
      <c r="I360">
        <v>8411</v>
      </c>
      <c r="J360">
        <v>0.15</v>
      </c>
      <c r="K360">
        <v>7149.35</v>
      </c>
      <c r="L360">
        <v>1487.97</v>
      </c>
      <c r="M360" t="str">
        <f t="shared" si="45"/>
        <v>Filing Cabinet</v>
      </c>
      <c r="N360" t="str">
        <f t="shared" si="46"/>
        <v>Bhubaneswar</v>
      </c>
      <c r="O360" t="str">
        <f t="shared" si="47"/>
        <v>East</v>
      </c>
      <c r="P360" t="str">
        <f t="shared" si="48"/>
        <v>Furniture</v>
      </c>
      <c r="Q360" t="str">
        <f t="shared" si="49"/>
        <v>Furniture</v>
      </c>
      <c r="R360" t="str">
        <f t="shared" si="50"/>
        <v>East</v>
      </c>
      <c r="S360" t="str">
        <f t="shared" si="51"/>
        <v>Bhubaneswar</v>
      </c>
      <c r="T360">
        <f t="shared" si="52"/>
        <v>7149.3499999999995</v>
      </c>
      <c r="U360" t="str">
        <f t="shared" si="53"/>
        <v>OK</v>
      </c>
    </row>
    <row r="361" spans="1:21" x14ac:dyDescent="0.3">
      <c r="A361" t="s">
        <v>574</v>
      </c>
      <c r="B361" s="3">
        <v>45687</v>
      </c>
      <c r="C361" t="s">
        <v>542</v>
      </c>
      <c r="D361" t="s">
        <v>202</v>
      </c>
      <c r="E361" t="s">
        <v>44</v>
      </c>
      <c r="F361" t="s">
        <v>27</v>
      </c>
      <c r="G361" t="s">
        <v>40</v>
      </c>
      <c r="H361">
        <v>1</v>
      </c>
      <c r="I361">
        <v>2753</v>
      </c>
      <c r="J361">
        <v>0.15</v>
      </c>
      <c r="K361">
        <v>2340.0500000000002</v>
      </c>
      <c r="L361">
        <v>272.2</v>
      </c>
      <c r="M361" t="str">
        <f t="shared" si="45"/>
        <v>Laptop Stand</v>
      </c>
      <c r="N361" t="str">
        <f t="shared" si="46"/>
        <v>Chennai</v>
      </c>
      <c r="O361" t="str">
        <f t="shared" si="47"/>
        <v>South</v>
      </c>
      <c r="P361" t="str">
        <f t="shared" si="48"/>
        <v>Accessories</v>
      </c>
      <c r="Q361" t="str">
        <f t="shared" si="49"/>
        <v>Accessories</v>
      </c>
      <c r="R361" t="str">
        <f t="shared" si="50"/>
        <v>South</v>
      </c>
      <c r="S361" t="str">
        <f t="shared" si="51"/>
        <v>Chennai</v>
      </c>
      <c r="T361">
        <f t="shared" si="52"/>
        <v>2340.0499999999997</v>
      </c>
      <c r="U361" t="str">
        <f t="shared" si="53"/>
        <v>OK</v>
      </c>
    </row>
    <row r="362" spans="1:21" x14ac:dyDescent="0.3">
      <c r="A362" t="s">
        <v>575</v>
      </c>
      <c r="B362" s="3">
        <v>45673</v>
      </c>
      <c r="C362" t="s">
        <v>412</v>
      </c>
      <c r="D362" t="s">
        <v>30</v>
      </c>
      <c r="E362" t="s">
        <v>15</v>
      </c>
      <c r="F362" t="s">
        <v>27</v>
      </c>
      <c r="G362" t="s">
        <v>31</v>
      </c>
      <c r="H362">
        <v>3</v>
      </c>
      <c r="I362">
        <v>8235</v>
      </c>
      <c r="J362">
        <v>0.1</v>
      </c>
      <c r="K362">
        <v>22234.5</v>
      </c>
      <c r="L362">
        <v>4718.22</v>
      </c>
      <c r="M362" t="str">
        <f t="shared" si="45"/>
        <v>Bookshelf</v>
      </c>
      <c r="N362" t="str">
        <f t="shared" si="46"/>
        <v>Hyderabad</v>
      </c>
      <c r="O362" t="str">
        <f t="shared" si="47"/>
        <v>South</v>
      </c>
      <c r="P362" t="str">
        <f t="shared" si="48"/>
        <v>Furniture</v>
      </c>
      <c r="Q362" t="str">
        <f t="shared" si="49"/>
        <v>Furniture</v>
      </c>
      <c r="R362" t="str">
        <f t="shared" si="50"/>
        <v>South</v>
      </c>
      <c r="S362" t="str">
        <f t="shared" si="51"/>
        <v>Hyderabad</v>
      </c>
      <c r="T362">
        <f t="shared" si="52"/>
        <v>22234.5</v>
      </c>
      <c r="U362" t="str">
        <f t="shared" si="53"/>
        <v>OK</v>
      </c>
    </row>
    <row r="363" spans="1:21" x14ac:dyDescent="0.3">
      <c r="A363" t="s">
        <v>576</v>
      </c>
      <c r="B363" s="3">
        <v>45819</v>
      </c>
      <c r="C363" t="s">
        <v>234</v>
      </c>
      <c r="D363" t="s">
        <v>34</v>
      </c>
      <c r="E363" t="s">
        <v>15</v>
      </c>
      <c r="F363" t="s">
        <v>27</v>
      </c>
      <c r="G363" t="s">
        <v>31</v>
      </c>
      <c r="H363">
        <v>3</v>
      </c>
      <c r="I363">
        <v>17508</v>
      </c>
      <c r="J363">
        <v>0.2</v>
      </c>
      <c r="K363">
        <v>42019.199999999997</v>
      </c>
      <c r="L363">
        <v>3718.05</v>
      </c>
      <c r="M363" t="str">
        <f t="shared" si="45"/>
        <v>Desk</v>
      </c>
      <c r="N363" t="str">
        <f t="shared" si="46"/>
        <v>Hyderabad</v>
      </c>
      <c r="O363" t="str">
        <f t="shared" si="47"/>
        <v>South</v>
      </c>
      <c r="P363" t="str">
        <f t="shared" si="48"/>
        <v>Furniture</v>
      </c>
      <c r="Q363" t="str">
        <f t="shared" si="49"/>
        <v>Furniture</v>
      </c>
      <c r="R363" t="str">
        <f t="shared" si="50"/>
        <v>South</v>
      </c>
      <c r="S363" t="str">
        <f t="shared" si="51"/>
        <v>Hyderabad</v>
      </c>
      <c r="T363">
        <f t="shared" si="52"/>
        <v>42019.200000000004</v>
      </c>
      <c r="U363" t="str">
        <f t="shared" si="53"/>
        <v>OK</v>
      </c>
    </row>
    <row r="364" spans="1:21" x14ac:dyDescent="0.3">
      <c r="A364" t="s">
        <v>577</v>
      </c>
      <c r="B364" s="3">
        <v>45780</v>
      </c>
      <c r="C364" t="s">
        <v>578</v>
      </c>
      <c r="D364" t="s">
        <v>65</v>
      </c>
      <c r="E364" t="s">
        <v>26</v>
      </c>
      <c r="F364" t="s">
        <v>16</v>
      </c>
      <c r="G364" t="s">
        <v>52</v>
      </c>
      <c r="H364">
        <v>3</v>
      </c>
      <c r="I364">
        <v>1538</v>
      </c>
      <c r="J364">
        <v>0.1</v>
      </c>
      <c r="K364">
        <v>4152.6000000000004</v>
      </c>
      <c r="L364">
        <v>754.85</v>
      </c>
      <c r="M364" t="str">
        <f t="shared" si="45"/>
        <v>Electric Kettle</v>
      </c>
      <c r="N364" t="str">
        <f t="shared" si="46"/>
        <v>Kolkata</v>
      </c>
      <c r="O364" t="str">
        <f t="shared" si="47"/>
        <v>East</v>
      </c>
      <c r="P364" t="str">
        <f t="shared" si="48"/>
        <v>Home Appliances</v>
      </c>
      <c r="Q364" t="str">
        <f t="shared" si="49"/>
        <v>Home Appliances</v>
      </c>
      <c r="R364" t="str">
        <f t="shared" si="50"/>
        <v>East</v>
      </c>
      <c r="S364" t="str">
        <f t="shared" si="51"/>
        <v>Kolkata</v>
      </c>
      <c r="T364">
        <f t="shared" si="52"/>
        <v>4152.6000000000004</v>
      </c>
      <c r="U364" t="str">
        <f t="shared" si="53"/>
        <v>OK</v>
      </c>
    </row>
    <row r="365" spans="1:21" x14ac:dyDescent="0.3">
      <c r="A365" t="s">
        <v>579</v>
      </c>
      <c r="B365" s="3">
        <v>45761</v>
      </c>
      <c r="C365" t="s">
        <v>580</v>
      </c>
      <c r="D365" t="s">
        <v>202</v>
      </c>
      <c r="E365" t="s">
        <v>44</v>
      </c>
      <c r="F365" t="s">
        <v>21</v>
      </c>
      <c r="G365" t="s">
        <v>55</v>
      </c>
      <c r="H365">
        <v>1</v>
      </c>
      <c r="I365">
        <v>1155</v>
      </c>
      <c r="J365">
        <v>0.15</v>
      </c>
      <c r="K365">
        <v>981.75</v>
      </c>
      <c r="L365">
        <v>102.5</v>
      </c>
      <c r="M365" t="str">
        <f t="shared" si="45"/>
        <v>Laptop Stand</v>
      </c>
      <c r="N365" t="str">
        <f t="shared" si="46"/>
        <v>Pune</v>
      </c>
      <c r="O365" t="str">
        <f t="shared" si="47"/>
        <v>West</v>
      </c>
      <c r="P365" t="str">
        <f t="shared" si="48"/>
        <v>Accessories</v>
      </c>
      <c r="Q365" t="str">
        <f t="shared" si="49"/>
        <v>Accessories</v>
      </c>
      <c r="R365" t="str">
        <f t="shared" si="50"/>
        <v>West</v>
      </c>
      <c r="S365" t="str">
        <f t="shared" si="51"/>
        <v>Pune</v>
      </c>
      <c r="T365">
        <f t="shared" si="52"/>
        <v>981.75</v>
      </c>
      <c r="U365" t="str">
        <f t="shared" si="53"/>
        <v>OK</v>
      </c>
    </row>
    <row r="366" spans="1:21" x14ac:dyDescent="0.3">
      <c r="A366" t="s">
        <v>581</v>
      </c>
      <c r="B366" s="3">
        <v>45908</v>
      </c>
      <c r="C366" t="s">
        <v>71</v>
      </c>
      <c r="D366" t="s">
        <v>307</v>
      </c>
      <c r="E366" t="s">
        <v>73</v>
      </c>
      <c r="F366" t="s">
        <v>58</v>
      </c>
      <c r="G366" t="s">
        <v>126</v>
      </c>
      <c r="H366">
        <v>1</v>
      </c>
      <c r="I366">
        <v>133</v>
      </c>
      <c r="J366">
        <v>0</v>
      </c>
      <c r="K366">
        <v>133</v>
      </c>
      <c r="L366">
        <v>28.33</v>
      </c>
      <c r="M366" t="str">
        <f t="shared" si="45"/>
        <v>Notebook</v>
      </c>
      <c r="N366" t="str">
        <f t="shared" si="46"/>
        <v>Delhi</v>
      </c>
      <c r="O366" t="str">
        <f t="shared" si="47"/>
        <v>North</v>
      </c>
      <c r="P366" t="str">
        <f t="shared" si="48"/>
        <v>Office Supplies</v>
      </c>
      <c r="Q366" t="str">
        <f t="shared" si="49"/>
        <v>Office Supplies</v>
      </c>
      <c r="R366" t="str">
        <f t="shared" si="50"/>
        <v>North</v>
      </c>
      <c r="S366" t="str">
        <f t="shared" si="51"/>
        <v>Delhi</v>
      </c>
      <c r="T366">
        <f t="shared" si="52"/>
        <v>133</v>
      </c>
      <c r="U366" t="str">
        <f t="shared" si="53"/>
        <v>OK</v>
      </c>
    </row>
    <row r="367" spans="1:21" x14ac:dyDescent="0.3">
      <c r="A367" t="s">
        <v>582</v>
      </c>
      <c r="B367" s="3">
        <v>45766</v>
      </c>
      <c r="C367" t="s">
        <v>270</v>
      </c>
      <c r="D367" t="s">
        <v>80</v>
      </c>
      <c r="E367" t="s">
        <v>51</v>
      </c>
      <c r="F367" t="s">
        <v>21</v>
      </c>
      <c r="G367" t="s">
        <v>22</v>
      </c>
      <c r="H367">
        <v>4</v>
      </c>
      <c r="I367">
        <v>64850</v>
      </c>
      <c r="J367">
        <v>0.05</v>
      </c>
      <c r="K367">
        <v>246430</v>
      </c>
      <c r="L367">
        <v>27749.759999999998</v>
      </c>
      <c r="M367" t="str">
        <f t="shared" si="45"/>
        <v>Laptop</v>
      </c>
      <c r="N367" t="str">
        <f t="shared" si="46"/>
        <v>Ahmedabad</v>
      </c>
      <c r="O367" t="str">
        <f t="shared" si="47"/>
        <v>West</v>
      </c>
      <c r="P367" t="str">
        <f t="shared" si="48"/>
        <v>Electronics</v>
      </c>
      <c r="Q367" t="str">
        <f t="shared" si="49"/>
        <v>Electronics</v>
      </c>
      <c r="R367" t="str">
        <f t="shared" si="50"/>
        <v>West</v>
      </c>
      <c r="S367" t="str">
        <f t="shared" si="51"/>
        <v>Ahmedabad</v>
      </c>
      <c r="T367">
        <f t="shared" si="52"/>
        <v>246430</v>
      </c>
      <c r="U367" t="str">
        <f t="shared" si="53"/>
        <v>OK</v>
      </c>
    </row>
    <row r="368" spans="1:21" x14ac:dyDescent="0.3">
      <c r="A368" t="s">
        <v>583</v>
      </c>
      <c r="B368" s="3">
        <v>45996</v>
      </c>
      <c r="C368" t="s">
        <v>458</v>
      </c>
      <c r="D368" t="s">
        <v>20</v>
      </c>
      <c r="E368" t="s">
        <v>15</v>
      </c>
      <c r="F368" t="s">
        <v>27</v>
      </c>
      <c r="G368" t="s">
        <v>28</v>
      </c>
      <c r="H368">
        <v>3</v>
      </c>
      <c r="I368">
        <v>6368</v>
      </c>
      <c r="J368">
        <v>0.15</v>
      </c>
      <c r="K368">
        <v>16238.4</v>
      </c>
      <c r="L368">
        <v>3299.36</v>
      </c>
      <c r="M368" t="str">
        <f t="shared" si="45"/>
        <v>Filing Cabinet</v>
      </c>
      <c r="N368" t="str">
        <f t="shared" si="46"/>
        <v>Bengaluru</v>
      </c>
      <c r="O368" t="str">
        <f t="shared" si="47"/>
        <v>South</v>
      </c>
      <c r="P368" t="str">
        <f t="shared" si="48"/>
        <v>Furniture</v>
      </c>
      <c r="Q368" t="str">
        <f t="shared" si="49"/>
        <v>Furniture</v>
      </c>
      <c r="R368" t="str">
        <f t="shared" si="50"/>
        <v>South</v>
      </c>
      <c r="S368" t="str">
        <f t="shared" si="51"/>
        <v>Bengaluru</v>
      </c>
      <c r="T368">
        <f t="shared" si="52"/>
        <v>16238.4</v>
      </c>
      <c r="U368" t="str">
        <f t="shared" si="53"/>
        <v>OK</v>
      </c>
    </row>
    <row r="369" spans="1:21" x14ac:dyDescent="0.3">
      <c r="A369" t="s">
        <v>584</v>
      </c>
      <c r="B369" s="3">
        <v>45996</v>
      </c>
      <c r="C369" t="s">
        <v>310</v>
      </c>
      <c r="D369" t="s">
        <v>20</v>
      </c>
      <c r="E369" t="s">
        <v>15</v>
      </c>
      <c r="F369" t="s">
        <v>21</v>
      </c>
      <c r="G369" t="s">
        <v>22</v>
      </c>
      <c r="H369">
        <v>3</v>
      </c>
      <c r="I369">
        <v>10877</v>
      </c>
      <c r="J369">
        <v>0.1</v>
      </c>
      <c r="K369">
        <v>29367.9</v>
      </c>
      <c r="L369">
        <v>4872.7</v>
      </c>
      <c r="M369" t="str">
        <f t="shared" si="45"/>
        <v>Filing Cabinet</v>
      </c>
      <c r="N369" t="str">
        <f t="shared" si="46"/>
        <v>Ahmedabad</v>
      </c>
      <c r="O369" t="str">
        <f t="shared" si="47"/>
        <v>West</v>
      </c>
      <c r="P369" t="str">
        <f t="shared" si="48"/>
        <v>Furniture</v>
      </c>
      <c r="Q369" t="str">
        <f t="shared" si="49"/>
        <v>Furniture</v>
      </c>
      <c r="R369" t="str">
        <f t="shared" si="50"/>
        <v>West</v>
      </c>
      <c r="S369" t="str">
        <f t="shared" si="51"/>
        <v>Ahmedabad</v>
      </c>
      <c r="T369">
        <f t="shared" si="52"/>
        <v>29367.9</v>
      </c>
      <c r="U369" t="str">
        <f t="shared" si="53"/>
        <v>OK</v>
      </c>
    </row>
    <row r="370" spans="1:21" x14ac:dyDescent="0.3">
      <c r="A370" t="s">
        <v>585</v>
      </c>
      <c r="B370" s="3">
        <v>45804</v>
      </c>
      <c r="C370" t="s">
        <v>323</v>
      </c>
      <c r="D370" t="s">
        <v>65</v>
      </c>
      <c r="E370" t="s">
        <v>26</v>
      </c>
      <c r="F370" t="s">
        <v>58</v>
      </c>
      <c r="G370" t="s">
        <v>69</v>
      </c>
      <c r="H370">
        <v>1</v>
      </c>
      <c r="I370">
        <v>1635</v>
      </c>
      <c r="J370">
        <v>0.15</v>
      </c>
      <c r="K370">
        <v>1389.75</v>
      </c>
      <c r="L370">
        <v>154.88999999999999</v>
      </c>
      <c r="M370" t="str">
        <f t="shared" si="45"/>
        <v>Electric Kettle</v>
      </c>
      <c r="N370" t="str">
        <f t="shared" si="46"/>
        <v>Jaipur</v>
      </c>
      <c r="O370" t="str">
        <f t="shared" si="47"/>
        <v>North</v>
      </c>
      <c r="P370" t="str">
        <f t="shared" si="48"/>
        <v>Home Appliances</v>
      </c>
      <c r="Q370" t="str">
        <f t="shared" si="49"/>
        <v>Home Appliances</v>
      </c>
      <c r="R370" t="str">
        <f t="shared" si="50"/>
        <v>North</v>
      </c>
      <c r="S370" t="str">
        <f t="shared" si="51"/>
        <v>Jaipur</v>
      </c>
      <c r="T370">
        <f t="shared" si="52"/>
        <v>1389.75</v>
      </c>
      <c r="U370" t="str">
        <f t="shared" si="53"/>
        <v>OK</v>
      </c>
    </row>
    <row r="371" spans="1:21" x14ac:dyDescent="0.3">
      <c r="A371" t="s">
        <v>586</v>
      </c>
      <c r="B371" s="3">
        <v>45970</v>
      </c>
      <c r="C371" t="s">
        <v>463</v>
      </c>
      <c r="D371" t="s">
        <v>20</v>
      </c>
      <c r="E371" t="s">
        <v>15</v>
      </c>
      <c r="F371" t="s">
        <v>27</v>
      </c>
      <c r="G371" t="s">
        <v>31</v>
      </c>
      <c r="H371">
        <v>3</v>
      </c>
      <c r="I371">
        <v>7755</v>
      </c>
      <c r="J371">
        <v>0.1</v>
      </c>
      <c r="K371">
        <v>20938.5</v>
      </c>
      <c r="L371">
        <v>4069.38</v>
      </c>
      <c r="M371" t="str">
        <f t="shared" si="45"/>
        <v>Filing Cabinet</v>
      </c>
      <c r="N371" t="str">
        <f t="shared" si="46"/>
        <v>Hyderabad</v>
      </c>
      <c r="O371" t="str">
        <f t="shared" si="47"/>
        <v>South</v>
      </c>
      <c r="P371" t="str">
        <f t="shared" si="48"/>
        <v>Furniture</v>
      </c>
      <c r="Q371" t="str">
        <f t="shared" si="49"/>
        <v>Furniture</v>
      </c>
      <c r="R371" t="str">
        <f t="shared" si="50"/>
        <v>South</v>
      </c>
      <c r="S371" t="str">
        <f t="shared" si="51"/>
        <v>Hyderabad</v>
      </c>
      <c r="T371">
        <f t="shared" si="52"/>
        <v>20938.5</v>
      </c>
      <c r="U371" t="str">
        <f t="shared" si="53"/>
        <v>OK</v>
      </c>
    </row>
    <row r="372" spans="1:21" x14ac:dyDescent="0.3">
      <c r="A372" t="s">
        <v>587</v>
      </c>
      <c r="B372" s="3">
        <v>45770</v>
      </c>
      <c r="C372" t="s">
        <v>208</v>
      </c>
      <c r="D372" t="s">
        <v>202</v>
      </c>
      <c r="E372" t="s">
        <v>44</v>
      </c>
      <c r="F372" t="s">
        <v>27</v>
      </c>
      <c r="G372" t="s">
        <v>28</v>
      </c>
      <c r="H372">
        <v>1</v>
      </c>
      <c r="I372">
        <v>1916</v>
      </c>
      <c r="J372">
        <v>0</v>
      </c>
      <c r="K372">
        <v>1916</v>
      </c>
      <c r="L372">
        <v>311.02999999999997</v>
      </c>
      <c r="M372" t="str">
        <f t="shared" si="45"/>
        <v>Laptop Stand</v>
      </c>
      <c r="N372" t="str">
        <f t="shared" si="46"/>
        <v>Bengaluru</v>
      </c>
      <c r="O372" t="str">
        <f t="shared" si="47"/>
        <v>South</v>
      </c>
      <c r="P372" t="str">
        <f t="shared" si="48"/>
        <v>Accessories</v>
      </c>
      <c r="Q372" t="str">
        <f t="shared" si="49"/>
        <v>Accessories</v>
      </c>
      <c r="R372" t="str">
        <f t="shared" si="50"/>
        <v>South</v>
      </c>
      <c r="S372" t="str">
        <f t="shared" si="51"/>
        <v>Bengaluru</v>
      </c>
      <c r="T372">
        <f t="shared" si="52"/>
        <v>1916</v>
      </c>
      <c r="U372" t="str">
        <f t="shared" si="53"/>
        <v>OK</v>
      </c>
    </row>
    <row r="373" spans="1:21" x14ac:dyDescent="0.3">
      <c r="A373" t="s">
        <v>588</v>
      </c>
      <c r="B373" s="3">
        <v>45726</v>
      </c>
      <c r="C373" t="s">
        <v>143</v>
      </c>
      <c r="D373" t="s">
        <v>14</v>
      </c>
      <c r="E373" t="s">
        <v>15</v>
      </c>
      <c r="F373" t="s">
        <v>21</v>
      </c>
      <c r="G373" t="s">
        <v>55</v>
      </c>
      <c r="H373">
        <v>1</v>
      </c>
      <c r="I373">
        <v>15405</v>
      </c>
      <c r="J373">
        <v>0.05</v>
      </c>
      <c r="K373">
        <v>14634.75</v>
      </c>
      <c r="L373">
        <v>2437.4699999999998</v>
      </c>
      <c r="M373" t="str">
        <f t="shared" si="45"/>
        <v>Office Chair</v>
      </c>
      <c r="N373" t="str">
        <f t="shared" si="46"/>
        <v>Pune</v>
      </c>
      <c r="O373" t="str">
        <f t="shared" si="47"/>
        <v>West</v>
      </c>
      <c r="P373" t="str">
        <f t="shared" si="48"/>
        <v>Furniture</v>
      </c>
      <c r="Q373" t="str">
        <f t="shared" si="49"/>
        <v>Furniture</v>
      </c>
      <c r="R373" t="str">
        <f t="shared" si="50"/>
        <v>West</v>
      </c>
      <c r="S373" t="str">
        <f t="shared" si="51"/>
        <v>Pune</v>
      </c>
      <c r="T373">
        <f t="shared" si="52"/>
        <v>14634.75</v>
      </c>
      <c r="U373" t="str">
        <f t="shared" si="53"/>
        <v>OK</v>
      </c>
    </row>
    <row r="374" spans="1:21" x14ac:dyDescent="0.3">
      <c r="A374" t="s">
        <v>589</v>
      </c>
      <c r="B374" s="3">
        <v>45704</v>
      </c>
      <c r="C374" t="s">
        <v>159</v>
      </c>
      <c r="D374" t="s">
        <v>88</v>
      </c>
      <c r="E374" t="s">
        <v>73</v>
      </c>
      <c r="F374" t="s">
        <v>27</v>
      </c>
      <c r="G374" t="s">
        <v>40</v>
      </c>
      <c r="H374">
        <v>1</v>
      </c>
      <c r="I374">
        <v>591</v>
      </c>
      <c r="J374">
        <v>0.15</v>
      </c>
      <c r="K374">
        <v>502.35</v>
      </c>
      <c r="L374">
        <v>113.88</v>
      </c>
      <c r="M374" t="str">
        <f t="shared" si="45"/>
        <v>Stapler</v>
      </c>
      <c r="N374" t="str">
        <f t="shared" si="46"/>
        <v>Chennai</v>
      </c>
      <c r="O374" t="str">
        <f t="shared" si="47"/>
        <v>South</v>
      </c>
      <c r="P374" t="str">
        <f t="shared" si="48"/>
        <v>Office Supplies</v>
      </c>
      <c r="Q374" t="str">
        <f t="shared" si="49"/>
        <v>Office Supplies</v>
      </c>
      <c r="R374" t="str">
        <f t="shared" si="50"/>
        <v>South</v>
      </c>
      <c r="S374" t="str">
        <f t="shared" si="51"/>
        <v>Chennai</v>
      </c>
      <c r="T374">
        <f t="shared" si="52"/>
        <v>502.34999999999997</v>
      </c>
      <c r="U374" t="str">
        <f t="shared" si="53"/>
        <v>OK</v>
      </c>
    </row>
    <row r="375" spans="1:21" x14ac:dyDescent="0.3">
      <c r="A375" t="s">
        <v>590</v>
      </c>
      <c r="B375" s="3">
        <v>45905</v>
      </c>
      <c r="C375" t="s">
        <v>204</v>
      </c>
      <c r="D375" t="s">
        <v>72</v>
      </c>
      <c r="E375" t="s">
        <v>73</v>
      </c>
      <c r="F375" t="s">
        <v>27</v>
      </c>
      <c r="G375" t="s">
        <v>28</v>
      </c>
      <c r="H375">
        <v>5</v>
      </c>
      <c r="I375">
        <v>559</v>
      </c>
      <c r="J375">
        <v>0.2</v>
      </c>
      <c r="K375">
        <v>2236</v>
      </c>
      <c r="L375">
        <v>587.95000000000005</v>
      </c>
      <c r="M375" t="str">
        <f t="shared" si="45"/>
        <v>Desk Organizer</v>
      </c>
      <c r="N375" t="str">
        <f t="shared" si="46"/>
        <v>Bengaluru</v>
      </c>
      <c r="O375" t="str">
        <f t="shared" si="47"/>
        <v>South</v>
      </c>
      <c r="P375" t="str">
        <f t="shared" si="48"/>
        <v>Office Supplies</v>
      </c>
      <c r="Q375" t="str">
        <f t="shared" si="49"/>
        <v>Office Supplies</v>
      </c>
      <c r="R375" t="str">
        <f t="shared" si="50"/>
        <v>South</v>
      </c>
      <c r="S375" t="str">
        <f t="shared" si="51"/>
        <v>Bengaluru</v>
      </c>
      <c r="T375">
        <f t="shared" si="52"/>
        <v>2236</v>
      </c>
      <c r="U375" t="str">
        <f t="shared" si="53"/>
        <v>OK</v>
      </c>
    </row>
    <row r="376" spans="1:21" x14ac:dyDescent="0.3">
      <c r="A376" t="s">
        <v>591</v>
      </c>
      <c r="B376" s="3">
        <v>45979</v>
      </c>
      <c r="C376" t="s">
        <v>516</v>
      </c>
      <c r="D376" t="s">
        <v>103</v>
      </c>
      <c r="E376" t="s">
        <v>51</v>
      </c>
      <c r="F376" t="s">
        <v>27</v>
      </c>
      <c r="G376" t="s">
        <v>28</v>
      </c>
      <c r="H376">
        <v>5</v>
      </c>
      <c r="I376">
        <v>2084</v>
      </c>
      <c r="J376">
        <v>0.05</v>
      </c>
      <c r="K376">
        <v>9899</v>
      </c>
      <c r="L376">
        <v>2252.7800000000002</v>
      </c>
      <c r="M376" t="str">
        <f t="shared" si="45"/>
        <v>Headphones</v>
      </c>
      <c r="N376" t="str">
        <f t="shared" si="46"/>
        <v>Bengaluru</v>
      </c>
      <c r="O376" t="str">
        <f t="shared" si="47"/>
        <v>South</v>
      </c>
      <c r="P376" t="str">
        <f t="shared" si="48"/>
        <v>Electronics</v>
      </c>
      <c r="Q376" t="str">
        <f t="shared" si="49"/>
        <v>Electronics</v>
      </c>
      <c r="R376" t="str">
        <f t="shared" si="50"/>
        <v>South</v>
      </c>
      <c r="S376" t="str">
        <f t="shared" si="51"/>
        <v>Bengaluru</v>
      </c>
      <c r="T376">
        <f t="shared" si="52"/>
        <v>9899</v>
      </c>
      <c r="U376" t="str">
        <f t="shared" si="53"/>
        <v>OK</v>
      </c>
    </row>
    <row r="377" spans="1:21" x14ac:dyDescent="0.3">
      <c r="A377" t="s">
        <v>592</v>
      </c>
      <c r="B377" s="3">
        <v>45923</v>
      </c>
      <c r="C377" t="s">
        <v>551</v>
      </c>
      <c r="D377" t="s">
        <v>80</v>
      </c>
      <c r="E377" t="s">
        <v>51</v>
      </c>
      <c r="F377" t="s">
        <v>21</v>
      </c>
      <c r="G377" t="s">
        <v>22</v>
      </c>
      <c r="H377">
        <v>2</v>
      </c>
      <c r="I377">
        <v>74606</v>
      </c>
      <c r="J377">
        <v>0.1</v>
      </c>
      <c r="K377">
        <v>134290.79999999999</v>
      </c>
      <c r="L377">
        <v>25504.68</v>
      </c>
      <c r="M377" t="str">
        <f t="shared" si="45"/>
        <v>Laptop</v>
      </c>
      <c r="N377" t="str">
        <f t="shared" si="46"/>
        <v>Ahmedabad</v>
      </c>
      <c r="O377" t="str">
        <f t="shared" si="47"/>
        <v>West</v>
      </c>
      <c r="P377" t="str">
        <f t="shared" si="48"/>
        <v>Electronics</v>
      </c>
      <c r="Q377" t="str">
        <f t="shared" si="49"/>
        <v>Electronics</v>
      </c>
      <c r="R377" t="str">
        <f t="shared" si="50"/>
        <v>West</v>
      </c>
      <c r="S377" t="str">
        <f t="shared" si="51"/>
        <v>Ahmedabad</v>
      </c>
      <c r="T377">
        <f t="shared" si="52"/>
        <v>134290.80000000002</v>
      </c>
      <c r="U377" t="str">
        <f t="shared" si="53"/>
        <v>OK</v>
      </c>
    </row>
    <row r="378" spans="1:21" x14ac:dyDescent="0.3">
      <c r="A378" t="s">
        <v>593</v>
      </c>
      <c r="B378" s="3">
        <v>45876</v>
      </c>
      <c r="C378" t="s">
        <v>119</v>
      </c>
      <c r="D378" t="s">
        <v>202</v>
      </c>
      <c r="E378" t="s">
        <v>44</v>
      </c>
      <c r="F378" t="s">
        <v>16</v>
      </c>
      <c r="G378" t="s">
        <v>17</v>
      </c>
      <c r="H378">
        <v>1</v>
      </c>
      <c r="I378">
        <v>3374</v>
      </c>
      <c r="J378">
        <v>0.05</v>
      </c>
      <c r="K378">
        <v>3205.3</v>
      </c>
      <c r="L378">
        <v>315.44</v>
      </c>
      <c r="M378" t="str">
        <f t="shared" si="45"/>
        <v>Laptop Stand</v>
      </c>
      <c r="N378" t="str">
        <f t="shared" si="46"/>
        <v>Guwahati</v>
      </c>
      <c r="O378" t="str">
        <f t="shared" si="47"/>
        <v>East</v>
      </c>
      <c r="P378" t="str">
        <f t="shared" si="48"/>
        <v>Accessories</v>
      </c>
      <c r="Q378" t="str">
        <f t="shared" si="49"/>
        <v>Accessories</v>
      </c>
      <c r="R378" t="str">
        <f t="shared" si="50"/>
        <v>East</v>
      </c>
      <c r="S378" t="str">
        <f t="shared" si="51"/>
        <v>Guwahati</v>
      </c>
      <c r="T378">
        <f t="shared" si="52"/>
        <v>3205.2999999999997</v>
      </c>
      <c r="U378" t="str">
        <f t="shared" si="53"/>
        <v>OK</v>
      </c>
    </row>
    <row r="379" spans="1:21" x14ac:dyDescent="0.3">
      <c r="A379" t="s">
        <v>594</v>
      </c>
      <c r="B379" s="3">
        <v>45966</v>
      </c>
      <c r="C379" t="s">
        <v>595</v>
      </c>
      <c r="D379" t="s">
        <v>30</v>
      </c>
      <c r="E379" t="s">
        <v>15</v>
      </c>
      <c r="F379" t="s">
        <v>16</v>
      </c>
      <c r="G379" t="s">
        <v>104</v>
      </c>
      <c r="H379">
        <v>1</v>
      </c>
      <c r="I379">
        <v>13668</v>
      </c>
      <c r="J379">
        <v>0.05</v>
      </c>
      <c r="K379">
        <v>12984.6</v>
      </c>
      <c r="L379">
        <v>2794.35</v>
      </c>
      <c r="M379" t="str">
        <f t="shared" si="45"/>
        <v>Bookshelf</v>
      </c>
      <c r="N379" t="str">
        <f t="shared" si="46"/>
        <v>Bhubaneswar</v>
      </c>
      <c r="O379" t="str">
        <f t="shared" si="47"/>
        <v>East</v>
      </c>
      <c r="P379" t="str">
        <f t="shared" si="48"/>
        <v>Furniture</v>
      </c>
      <c r="Q379" t="str">
        <f t="shared" si="49"/>
        <v>Furniture</v>
      </c>
      <c r="R379" t="str">
        <f t="shared" si="50"/>
        <v>East</v>
      </c>
      <c r="S379" t="str">
        <f t="shared" si="51"/>
        <v>Bhubaneswar</v>
      </c>
      <c r="T379">
        <f t="shared" si="52"/>
        <v>12984.599999999999</v>
      </c>
      <c r="U379" t="str">
        <f t="shared" si="53"/>
        <v>OK</v>
      </c>
    </row>
    <row r="380" spans="1:21" x14ac:dyDescent="0.3">
      <c r="A380" t="s">
        <v>596</v>
      </c>
      <c r="B380" s="3">
        <v>45915</v>
      </c>
      <c r="C380" t="s">
        <v>597</v>
      </c>
      <c r="D380" t="s">
        <v>47</v>
      </c>
      <c r="E380" t="s">
        <v>26</v>
      </c>
      <c r="F380" t="s">
        <v>16</v>
      </c>
      <c r="G380" t="s">
        <v>17</v>
      </c>
      <c r="H380">
        <v>4</v>
      </c>
      <c r="I380">
        <v>21201</v>
      </c>
      <c r="J380">
        <v>0</v>
      </c>
      <c r="K380">
        <v>84804</v>
      </c>
      <c r="L380">
        <v>9410.34</v>
      </c>
      <c r="M380" t="str">
        <f t="shared" si="45"/>
        <v>Air Purifier</v>
      </c>
      <c r="N380" t="str">
        <f t="shared" si="46"/>
        <v>Guwahati</v>
      </c>
      <c r="O380" t="str">
        <f t="shared" si="47"/>
        <v>East</v>
      </c>
      <c r="P380" t="str">
        <f t="shared" si="48"/>
        <v>Home Appliances</v>
      </c>
      <c r="Q380" t="str">
        <f t="shared" si="49"/>
        <v>Home Appliances</v>
      </c>
      <c r="R380" t="str">
        <f t="shared" si="50"/>
        <v>East</v>
      </c>
      <c r="S380" t="str">
        <f t="shared" si="51"/>
        <v>Guwahati</v>
      </c>
      <c r="T380">
        <f t="shared" si="52"/>
        <v>84804</v>
      </c>
      <c r="U380" t="str">
        <f t="shared" si="53"/>
        <v>OK</v>
      </c>
    </row>
    <row r="381" spans="1:21" x14ac:dyDescent="0.3">
      <c r="A381" t="s">
        <v>598</v>
      </c>
      <c r="B381" s="3">
        <v>45905</v>
      </c>
      <c r="C381" t="s">
        <v>77</v>
      </c>
      <c r="D381" t="s">
        <v>50</v>
      </c>
      <c r="E381" t="s">
        <v>51</v>
      </c>
      <c r="F381" t="s">
        <v>21</v>
      </c>
      <c r="G381" t="s">
        <v>35</v>
      </c>
      <c r="H381">
        <v>2</v>
      </c>
      <c r="I381">
        <v>2693</v>
      </c>
      <c r="J381">
        <v>0.1</v>
      </c>
      <c r="K381">
        <v>4847.3999999999996</v>
      </c>
      <c r="L381">
        <v>783.49</v>
      </c>
      <c r="M381" t="str">
        <f t="shared" si="45"/>
        <v>Keyboard</v>
      </c>
      <c r="N381" t="str">
        <f t="shared" si="46"/>
        <v>Mumbai</v>
      </c>
      <c r="O381" t="str">
        <f t="shared" si="47"/>
        <v>West</v>
      </c>
      <c r="P381" t="str">
        <f t="shared" si="48"/>
        <v>Electronics</v>
      </c>
      <c r="Q381" t="str">
        <f t="shared" si="49"/>
        <v>Electronics</v>
      </c>
      <c r="R381" t="str">
        <f t="shared" si="50"/>
        <v>West</v>
      </c>
      <c r="S381" t="str">
        <f t="shared" si="51"/>
        <v>Mumbai</v>
      </c>
      <c r="T381">
        <f t="shared" si="52"/>
        <v>4847.4000000000005</v>
      </c>
      <c r="U381" t="str">
        <f t="shared" si="53"/>
        <v>OK</v>
      </c>
    </row>
    <row r="382" spans="1:21" x14ac:dyDescent="0.3">
      <c r="A382" t="s">
        <v>599</v>
      </c>
      <c r="B382" s="3">
        <v>45821</v>
      </c>
      <c r="C382" t="s">
        <v>75</v>
      </c>
      <c r="D382" t="s">
        <v>30</v>
      </c>
      <c r="E382" t="s">
        <v>15</v>
      </c>
      <c r="F382" t="s">
        <v>58</v>
      </c>
      <c r="G382" t="s">
        <v>126</v>
      </c>
      <c r="H382">
        <v>4</v>
      </c>
      <c r="I382">
        <v>6595</v>
      </c>
      <c r="J382">
        <v>0.15</v>
      </c>
      <c r="K382">
        <v>22423</v>
      </c>
      <c r="L382">
        <v>4561.95</v>
      </c>
      <c r="M382" t="str">
        <f t="shared" si="45"/>
        <v>Bookshelf</v>
      </c>
      <c r="N382" t="str">
        <f t="shared" si="46"/>
        <v>Delhi</v>
      </c>
      <c r="O382" t="str">
        <f t="shared" si="47"/>
        <v>North</v>
      </c>
      <c r="P382" t="str">
        <f t="shared" si="48"/>
        <v>Furniture</v>
      </c>
      <c r="Q382" t="str">
        <f t="shared" si="49"/>
        <v>Furniture</v>
      </c>
      <c r="R382" t="str">
        <f t="shared" si="50"/>
        <v>North</v>
      </c>
      <c r="S382" t="str">
        <f t="shared" si="51"/>
        <v>Delhi</v>
      </c>
      <c r="T382">
        <f t="shared" si="52"/>
        <v>22423</v>
      </c>
      <c r="U382" t="str">
        <f t="shared" si="53"/>
        <v>OK</v>
      </c>
    </row>
    <row r="383" spans="1:21" x14ac:dyDescent="0.3">
      <c r="A383" t="s">
        <v>600</v>
      </c>
      <c r="B383" s="3">
        <v>45987</v>
      </c>
      <c r="C383" t="s">
        <v>189</v>
      </c>
      <c r="D383" t="s">
        <v>72</v>
      </c>
      <c r="E383" t="s">
        <v>73</v>
      </c>
      <c r="F383" t="s">
        <v>27</v>
      </c>
      <c r="G383" t="s">
        <v>28</v>
      </c>
      <c r="H383">
        <v>1</v>
      </c>
      <c r="I383">
        <v>662</v>
      </c>
      <c r="J383">
        <v>0</v>
      </c>
      <c r="K383">
        <v>662</v>
      </c>
      <c r="L383">
        <v>152.05000000000001</v>
      </c>
      <c r="M383" t="str">
        <f t="shared" si="45"/>
        <v>Desk Organizer</v>
      </c>
      <c r="N383" t="str">
        <f t="shared" si="46"/>
        <v>Bengaluru</v>
      </c>
      <c r="O383" t="str">
        <f t="shared" si="47"/>
        <v>South</v>
      </c>
      <c r="P383" t="str">
        <f t="shared" si="48"/>
        <v>Office Supplies</v>
      </c>
      <c r="Q383" t="str">
        <f t="shared" si="49"/>
        <v>Office Supplies</v>
      </c>
      <c r="R383" t="str">
        <f t="shared" si="50"/>
        <v>South</v>
      </c>
      <c r="S383" t="str">
        <f t="shared" si="51"/>
        <v>Bengaluru</v>
      </c>
      <c r="T383">
        <f t="shared" si="52"/>
        <v>662</v>
      </c>
      <c r="U383" t="str">
        <f t="shared" si="53"/>
        <v>OK</v>
      </c>
    </row>
    <row r="384" spans="1:21" x14ac:dyDescent="0.3">
      <c r="A384" t="s">
        <v>601</v>
      </c>
      <c r="B384" s="3">
        <v>45730</v>
      </c>
      <c r="C384" t="s">
        <v>451</v>
      </c>
      <c r="D384" t="s">
        <v>88</v>
      </c>
      <c r="E384" t="s">
        <v>73</v>
      </c>
      <c r="F384" t="s">
        <v>16</v>
      </c>
      <c r="G384" t="s">
        <v>52</v>
      </c>
      <c r="H384">
        <v>2</v>
      </c>
      <c r="I384">
        <v>598</v>
      </c>
      <c r="J384">
        <v>0.05</v>
      </c>
      <c r="K384">
        <v>1136.2</v>
      </c>
      <c r="L384">
        <v>215.17</v>
      </c>
      <c r="M384" t="str">
        <f t="shared" si="45"/>
        <v>Stapler</v>
      </c>
      <c r="N384" t="str">
        <f t="shared" si="46"/>
        <v>Kolkata</v>
      </c>
      <c r="O384" t="str">
        <f t="shared" si="47"/>
        <v>East</v>
      </c>
      <c r="P384" t="str">
        <f t="shared" si="48"/>
        <v>Office Supplies</v>
      </c>
      <c r="Q384" t="str">
        <f t="shared" si="49"/>
        <v>Office Supplies</v>
      </c>
      <c r="R384" t="str">
        <f t="shared" si="50"/>
        <v>East</v>
      </c>
      <c r="S384" t="str">
        <f t="shared" si="51"/>
        <v>Kolkata</v>
      </c>
      <c r="T384">
        <f t="shared" si="52"/>
        <v>1136.2</v>
      </c>
      <c r="U384" t="str">
        <f t="shared" si="53"/>
        <v>OK</v>
      </c>
    </row>
    <row r="385" spans="1:21" x14ac:dyDescent="0.3">
      <c r="A385" t="s">
        <v>602</v>
      </c>
      <c r="B385" s="3">
        <v>45902</v>
      </c>
      <c r="C385" t="s">
        <v>170</v>
      </c>
      <c r="D385" t="s">
        <v>120</v>
      </c>
      <c r="E385" t="s">
        <v>51</v>
      </c>
      <c r="F385" t="s">
        <v>58</v>
      </c>
      <c r="G385" t="s">
        <v>59</v>
      </c>
      <c r="H385">
        <v>4</v>
      </c>
      <c r="I385">
        <v>1730</v>
      </c>
      <c r="J385">
        <v>0</v>
      </c>
      <c r="K385">
        <v>6920</v>
      </c>
      <c r="L385">
        <v>897.35</v>
      </c>
      <c r="M385" t="str">
        <f t="shared" si="45"/>
        <v>Mouse</v>
      </c>
      <c r="N385" t="str">
        <f t="shared" si="46"/>
        <v>Chandigarh</v>
      </c>
      <c r="O385" t="str">
        <f t="shared" si="47"/>
        <v>North</v>
      </c>
      <c r="P385" t="str">
        <f t="shared" si="48"/>
        <v>Electronics</v>
      </c>
      <c r="Q385" t="str">
        <f t="shared" si="49"/>
        <v>Electronics</v>
      </c>
      <c r="R385" t="str">
        <f t="shared" si="50"/>
        <v>North</v>
      </c>
      <c r="S385" t="str">
        <f t="shared" si="51"/>
        <v>Chandigarh</v>
      </c>
      <c r="T385">
        <f t="shared" si="52"/>
        <v>6920</v>
      </c>
      <c r="U385" t="str">
        <f t="shared" si="53"/>
        <v>OK</v>
      </c>
    </row>
    <row r="386" spans="1:21" x14ac:dyDescent="0.3">
      <c r="A386" t="s">
        <v>603</v>
      </c>
      <c r="B386" s="3">
        <v>45718</v>
      </c>
      <c r="C386" t="s">
        <v>407</v>
      </c>
      <c r="D386" t="s">
        <v>92</v>
      </c>
      <c r="E386" t="s">
        <v>51</v>
      </c>
      <c r="F386" t="s">
        <v>21</v>
      </c>
      <c r="G386" t="s">
        <v>22</v>
      </c>
      <c r="H386">
        <v>2</v>
      </c>
      <c r="I386">
        <v>12446</v>
      </c>
      <c r="J386">
        <v>0.1</v>
      </c>
      <c r="K386">
        <v>22402.799999999999</v>
      </c>
      <c r="L386">
        <v>4457.28</v>
      </c>
      <c r="M386" t="str">
        <f t="shared" si="45"/>
        <v>Monitor</v>
      </c>
      <c r="N386" t="str">
        <f t="shared" si="46"/>
        <v>Ahmedabad</v>
      </c>
      <c r="O386" t="str">
        <f t="shared" si="47"/>
        <v>West</v>
      </c>
      <c r="P386" t="str">
        <f t="shared" si="48"/>
        <v>Electronics</v>
      </c>
      <c r="Q386" t="str">
        <f t="shared" si="49"/>
        <v>Electronics</v>
      </c>
      <c r="R386" t="str">
        <f t="shared" si="50"/>
        <v>West</v>
      </c>
      <c r="S386" t="str">
        <f t="shared" si="51"/>
        <v>Ahmedabad</v>
      </c>
      <c r="T386">
        <f t="shared" si="52"/>
        <v>22402.799999999999</v>
      </c>
      <c r="U386" t="str">
        <f t="shared" si="53"/>
        <v>OK</v>
      </c>
    </row>
    <row r="387" spans="1:21" x14ac:dyDescent="0.3">
      <c r="A387" t="s">
        <v>604</v>
      </c>
      <c r="B387" s="3">
        <v>45784</v>
      </c>
      <c r="C387" t="s">
        <v>161</v>
      </c>
      <c r="D387" t="s">
        <v>68</v>
      </c>
      <c r="E387" t="s">
        <v>44</v>
      </c>
      <c r="F387" t="s">
        <v>27</v>
      </c>
      <c r="G387" t="s">
        <v>40</v>
      </c>
      <c r="H387">
        <v>3</v>
      </c>
      <c r="I387">
        <v>7583</v>
      </c>
      <c r="J387">
        <v>0.1</v>
      </c>
      <c r="K387">
        <v>20474.099999999999</v>
      </c>
      <c r="L387">
        <v>2458.0500000000002</v>
      </c>
      <c r="M387" t="str">
        <f t="shared" ref="M387:M450" si="54">TRIM(D387)</f>
        <v>Webcam</v>
      </c>
      <c r="N387" t="str">
        <f t="shared" ref="N387:N450" si="55">TRIM(G387)</f>
        <v>Chennai</v>
      </c>
      <c r="O387" t="str">
        <f t="shared" ref="O387:O450" si="56">TRIM(F:F)</f>
        <v>South</v>
      </c>
      <c r="P387" t="str">
        <f t="shared" ref="P387:P450" si="57">TRIM(E387)</f>
        <v>Accessories</v>
      </c>
      <c r="Q387" t="str">
        <f t="shared" ref="Q387:Q450" si="58">PROPER(E387)</f>
        <v>Accessories</v>
      </c>
      <c r="R387" t="str">
        <f t="shared" ref="R387:R450" si="59">PROPER(F387)</f>
        <v>South</v>
      </c>
      <c r="S387" t="str">
        <f t="shared" ref="S387:S450" si="60">PROPER(G387)</f>
        <v>Chennai</v>
      </c>
      <c r="T387">
        <f t="shared" ref="T387:T450" si="61">H387*I387*(1-J387)</f>
        <v>20474.100000000002</v>
      </c>
      <c r="U387" t="str">
        <f t="shared" ref="U387:U450" si="62">IF(ROUND(K387,2)=ROUND(T387,2),"OK","CHECK")</f>
        <v>OK</v>
      </c>
    </row>
    <row r="388" spans="1:21" x14ac:dyDescent="0.3">
      <c r="A388" t="s">
        <v>605</v>
      </c>
      <c r="B388" s="3">
        <v>45921</v>
      </c>
      <c r="C388" t="s">
        <v>125</v>
      </c>
      <c r="D388" t="s">
        <v>72</v>
      </c>
      <c r="E388" t="s">
        <v>73</v>
      </c>
      <c r="F388" t="s">
        <v>16</v>
      </c>
      <c r="G388" t="s">
        <v>104</v>
      </c>
      <c r="H388">
        <v>1</v>
      </c>
      <c r="I388">
        <v>603</v>
      </c>
      <c r="J388">
        <v>0.2</v>
      </c>
      <c r="K388">
        <v>482.4</v>
      </c>
      <c r="L388">
        <v>94.98</v>
      </c>
      <c r="M388" t="str">
        <f t="shared" si="54"/>
        <v>Desk Organizer</v>
      </c>
      <c r="N388" t="str">
        <f t="shared" si="55"/>
        <v>Bhubaneswar</v>
      </c>
      <c r="O388" t="str">
        <f t="shared" si="56"/>
        <v>East</v>
      </c>
      <c r="P388" t="str">
        <f t="shared" si="57"/>
        <v>Office Supplies</v>
      </c>
      <c r="Q388" t="str">
        <f t="shared" si="58"/>
        <v>Office Supplies</v>
      </c>
      <c r="R388" t="str">
        <f t="shared" si="59"/>
        <v>East</v>
      </c>
      <c r="S388" t="str">
        <f t="shared" si="60"/>
        <v>Bhubaneswar</v>
      </c>
      <c r="T388">
        <f t="shared" si="61"/>
        <v>482.40000000000003</v>
      </c>
      <c r="U388" t="str">
        <f t="shared" si="62"/>
        <v>OK</v>
      </c>
    </row>
    <row r="389" spans="1:21" x14ac:dyDescent="0.3">
      <c r="A389" t="s">
        <v>606</v>
      </c>
      <c r="B389" s="3">
        <v>45839</v>
      </c>
      <c r="C389" t="s">
        <v>116</v>
      </c>
      <c r="D389" t="s">
        <v>20</v>
      </c>
      <c r="E389" t="s">
        <v>15</v>
      </c>
      <c r="F389" t="s">
        <v>21</v>
      </c>
      <c r="G389" t="s">
        <v>35</v>
      </c>
      <c r="H389">
        <v>3</v>
      </c>
      <c r="I389">
        <v>5385</v>
      </c>
      <c r="J389">
        <v>0.15</v>
      </c>
      <c r="K389">
        <v>13731.75</v>
      </c>
      <c r="L389">
        <v>2228.2199999999998</v>
      </c>
      <c r="M389" t="str">
        <f t="shared" si="54"/>
        <v>Filing Cabinet</v>
      </c>
      <c r="N389" t="str">
        <f t="shared" si="55"/>
        <v>Mumbai</v>
      </c>
      <c r="O389" t="str">
        <f t="shared" si="56"/>
        <v>West</v>
      </c>
      <c r="P389" t="str">
        <f t="shared" si="57"/>
        <v>Furniture</v>
      </c>
      <c r="Q389" t="str">
        <f t="shared" si="58"/>
        <v>Furniture</v>
      </c>
      <c r="R389" t="str">
        <f t="shared" si="59"/>
        <v>West</v>
      </c>
      <c r="S389" t="str">
        <f t="shared" si="60"/>
        <v>Mumbai</v>
      </c>
      <c r="T389">
        <f t="shared" si="61"/>
        <v>13731.75</v>
      </c>
      <c r="U389" t="str">
        <f t="shared" si="62"/>
        <v>OK</v>
      </c>
    </row>
    <row r="390" spans="1:21" x14ac:dyDescent="0.3">
      <c r="A390" t="s">
        <v>607</v>
      </c>
      <c r="B390" s="3">
        <v>45825</v>
      </c>
      <c r="C390" t="s">
        <v>255</v>
      </c>
      <c r="D390" t="s">
        <v>120</v>
      </c>
      <c r="E390" t="s">
        <v>51</v>
      </c>
      <c r="F390" t="s">
        <v>27</v>
      </c>
      <c r="G390" t="s">
        <v>40</v>
      </c>
      <c r="H390">
        <v>2</v>
      </c>
      <c r="I390">
        <v>1569</v>
      </c>
      <c r="J390">
        <v>0.2</v>
      </c>
      <c r="K390">
        <v>2510.4</v>
      </c>
      <c r="L390">
        <v>232.97</v>
      </c>
      <c r="M390" t="str">
        <f t="shared" si="54"/>
        <v>Mouse</v>
      </c>
      <c r="N390" t="str">
        <f t="shared" si="55"/>
        <v>Chennai</v>
      </c>
      <c r="O390" t="str">
        <f t="shared" si="56"/>
        <v>South</v>
      </c>
      <c r="P390" t="str">
        <f t="shared" si="57"/>
        <v>Electronics</v>
      </c>
      <c r="Q390" t="str">
        <f t="shared" si="58"/>
        <v>Electronics</v>
      </c>
      <c r="R390" t="str">
        <f t="shared" si="59"/>
        <v>South</v>
      </c>
      <c r="S390" t="str">
        <f t="shared" si="60"/>
        <v>Chennai</v>
      </c>
      <c r="T390">
        <f t="shared" si="61"/>
        <v>2510.4</v>
      </c>
      <c r="U390" t="str">
        <f t="shared" si="62"/>
        <v>OK</v>
      </c>
    </row>
    <row r="391" spans="1:21" x14ac:dyDescent="0.3">
      <c r="A391" t="s">
        <v>608</v>
      </c>
      <c r="B391" s="3">
        <v>45842</v>
      </c>
      <c r="C391" t="s">
        <v>13</v>
      </c>
      <c r="D391" t="s">
        <v>65</v>
      </c>
      <c r="E391" t="s">
        <v>26</v>
      </c>
      <c r="F391" t="s">
        <v>16</v>
      </c>
      <c r="G391" t="s">
        <v>104</v>
      </c>
      <c r="H391">
        <v>1</v>
      </c>
      <c r="I391">
        <v>3148</v>
      </c>
      <c r="J391">
        <v>0.05</v>
      </c>
      <c r="K391">
        <v>2990.6</v>
      </c>
      <c r="L391">
        <v>520.08000000000004</v>
      </c>
      <c r="M391" t="str">
        <f t="shared" si="54"/>
        <v>Electric Kettle</v>
      </c>
      <c r="N391" t="str">
        <f t="shared" si="55"/>
        <v>Bhubaneswar</v>
      </c>
      <c r="O391" t="str">
        <f t="shared" si="56"/>
        <v>East</v>
      </c>
      <c r="P391" t="str">
        <f t="shared" si="57"/>
        <v>Home Appliances</v>
      </c>
      <c r="Q391" t="str">
        <f t="shared" si="58"/>
        <v>Home Appliances</v>
      </c>
      <c r="R391" t="str">
        <f t="shared" si="59"/>
        <v>East</v>
      </c>
      <c r="S391" t="str">
        <f t="shared" si="60"/>
        <v>Bhubaneswar</v>
      </c>
      <c r="T391">
        <f t="shared" si="61"/>
        <v>2990.6</v>
      </c>
      <c r="U391" t="str">
        <f t="shared" si="62"/>
        <v>OK</v>
      </c>
    </row>
    <row r="392" spans="1:21" x14ac:dyDescent="0.3">
      <c r="A392" t="s">
        <v>609</v>
      </c>
      <c r="B392" s="3">
        <v>45660</v>
      </c>
      <c r="C392" t="s">
        <v>220</v>
      </c>
      <c r="D392" t="s">
        <v>202</v>
      </c>
      <c r="E392" t="s">
        <v>44</v>
      </c>
      <c r="F392" t="s">
        <v>58</v>
      </c>
      <c r="G392" t="s">
        <v>59</v>
      </c>
      <c r="H392">
        <v>1</v>
      </c>
      <c r="I392">
        <v>2603</v>
      </c>
      <c r="J392">
        <v>0.05</v>
      </c>
      <c r="K392">
        <v>2472.85</v>
      </c>
      <c r="L392">
        <v>276.70999999999998</v>
      </c>
      <c r="M392" t="str">
        <f t="shared" si="54"/>
        <v>Laptop Stand</v>
      </c>
      <c r="N392" t="str">
        <f t="shared" si="55"/>
        <v>Chandigarh</v>
      </c>
      <c r="O392" t="str">
        <f t="shared" si="56"/>
        <v>North</v>
      </c>
      <c r="P392" t="str">
        <f t="shared" si="57"/>
        <v>Accessories</v>
      </c>
      <c r="Q392" t="str">
        <f t="shared" si="58"/>
        <v>Accessories</v>
      </c>
      <c r="R392" t="str">
        <f t="shared" si="59"/>
        <v>North</v>
      </c>
      <c r="S392" t="str">
        <f t="shared" si="60"/>
        <v>Chandigarh</v>
      </c>
      <c r="T392">
        <f t="shared" si="61"/>
        <v>2472.85</v>
      </c>
      <c r="U392" t="str">
        <f t="shared" si="62"/>
        <v>OK</v>
      </c>
    </row>
    <row r="393" spans="1:21" x14ac:dyDescent="0.3">
      <c r="A393" t="s">
        <v>610</v>
      </c>
      <c r="B393" s="3">
        <v>45899</v>
      </c>
      <c r="C393" t="s">
        <v>368</v>
      </c>
      <c r="D393" t="s">
        <v>92</v>
      </c>
      <c r="E393" t="s">
        <v>51</v>
      </c>
      <c r="F393" t="s">
        <v>21</v>
      </c>
      <c r="G393" t="s">
        <v>35</v>
      </c>
      <c r="H393">
        <v>4</v>
      </c>
      <c r="I393">
        <v>22026</v>
      </c>
      <c r="J393">
        <v>0.1</v>
      </c>
      <c r="K393">
        <v>79293.600000000006</v>
      </c>
      <c r="L393">
        <v>8094.8</v>
      </c>
      <c r="M393" t="str">
        <f t="shared" si="54"/>
        <v>Monitor</v>
      </c>
      <c r="N393" t="str">
        <f t="shared" si="55"/>
        <v>Mumbai</v>
      </c>
      <c r="O393" t="str">
        <f t="shared" si="56"/>
        <v>West</v>
      </c>
      <c r="P393" t="str">
        <f t="shared" si="57"/>
        <v>Electronics</v>
      </c>
      <c r="Q393" t="str">
        <f t="shared" si="58"/>
        <v>Electronics</v>
      </c>
      <c r="R393" t="str">
        <f t="shared" si="59"/>
        <v>West</v>
      </c>
      <c r="S393" t="str">
        <f t="shared" si="60"/>
        <v>Mumbai</v>
      </c>
      <c r="T393">
        <f t="shared" si="61"/>
        <v>79293.600000000006</v>
      </c>
      <c r="U393" t="str">
        <f t="shared" si="62"/>
        <v>OK</v>
      </c>
    </row>
    <row r="394" spans="1:21" x14ac:dyDescent="0.3">
      <c r="A394" t="s">
        <v>611</v>
      </c>
      <c r="B394" s="3">
        <v>45969</v>
      </c>
      <c r="C394" t="s">
        <v>13</v>
      </c>
      <c r="D394" t="s">
        <v>120</v>
      </c>
      <c r="E394" t="s">
        <v>51</v>
      </c>
      <c r="F394" t="s">
        <v>21</v>
      </c>
      <c r="G394" t="s">
        <v>22</v>
      </c>
      <c r="H394">
        <v>2</v>
      </c>
      <c r="I394">
        <v>859</v>
      </c>
      <c r="J394">
        <v>0.15</v>
      </c>
      <c r="K394">
        <v>1460.3</v>
      </c>
      <c r="L394">
        <v>139.21</v>
      </c>
      <c r="M394" t="str">
        <f t="shared" si="54"/>
        <v>Mouse</v>
      </c>
      <c r="N394" t="str">
        <f t="shared" si="55"/>
        <v>Ahmedabad</v>
      </c>
      <c r="O394" t="str">
        <f t="shared" si="56"/>
        <v>West</v>
      </c>
      <c r="P394" t="str">
        <f t="shared" si="57"/>
        <v>Electronics</v>
      </c>
      <c r="Q394" t="str">
        <f t="shared" si="58"/>
        <v>Electronics</v>
      </c>
      <c r="R394" t="str">
        <f t="shared" si="59"/>
        <v>West</v>
      </c>
      <c r="S394" t="str">
        <f t="shared" si="60"/>
        <v>Ahmedabad</v>
      </c>
      <c r="T394">
        <f t="shared" si="61"/>
        <v>1460.3</v>
      </c>
      <c r="U394" t="str">
        <f t="shared" si="62"/>
        <v>OK</v>
      </c>
    </row>
    <row r="395" spans="1:21" x14ac:dyDescent="0.3">
      <c r="A395" t="s">
        <v>612</v>
      </c>
      <c r="B395" s="3">
        <v>46009</v>
      </c>
      <c r="C395" t="s">
        <v>156</v>
      </c>
      <c r="D395" t="s">
        <v>88</v>
      </c>
      <c r="E395" t="s">
        <v>73</v>
      </c>
      <c r="F395" t="s">
        <v>27</v>
      </c>
      <c r="G395" t="s">
        <v>31</v>
      </c>
      <c r="H395">
        <v>3</v>
      </c>
      <c r="I395">
        <v>416</v>
      </c>
      <c r="J395">
        <v>0.05</v>
      </c>
      <c r="K395">
        <v>1185.5999999999999</v>
      </c>
      <c r="L395">
        <v>159.22999999999999</v>
      </c>
      <c r="M395" t="str">
        <f t="shared" si="54"/>
        <v>Stapler</v>
      </c>
      <c r="N395" t="str">
        <f t="shared" si="55"/>
        <v>Hyderabad</v>
      </c>
      <c r="O395" t="str">
        <f t="shared" si="56"/>
        <v>South</v>
      </c>
      <c r="P395" t="str">
        <f t="shared" si="57"/>
        <v>Office Supplies</v>
      </c>
      <c r="Q395" t="str">
        <f t="shared" si="58"/>
        <v>Office Supplies</v>
      </c>
      <c r="R395" t="str">
        <f t="shared" si="59"/>
        <v>South</v>
      </c>
      <c r="S395" t="str">
        <f t="shared" si="60"/>
        <v>Hyderabad</v>
      </c>
      <c r="T395">
        <f t="shared" si="61"/>
        <v>1185.5999999999999</v>
      </c>
      <c r="U395" t="str">
        <f t="shared" si="62"/>
        <v>OK</v>
      </c>
    </row>
    <row r="396" spans="1:21" x14ac:dyDescent="0.3">
      <c r="A396" t="s">
        <v>613</v>
      </c>
      <c r="B396" s="3">
        <v>45663</v>
      </c>
      <c r="C396" t="s">
        <v>278</v>
      </c>
      <c r="D396" t="s">
        <v>97</v>
      </c>
      <c r="E396" t="s">
        <v>44</v>
      </c>
      <c r="F396" t="s">
        <v>58</v>
      </c>
      <c r="G396" t="s">
        <v>126</v>
      </c>
      <c r="H396">
        <v>2</v>
      </c>
      <c r="I396">
        <v>728</v>
      </c>
      <c r="J396">
        <v>0</v>
      </c>
      <c r="K396">
        <v>1456</v>
      </c>
      <c r="L396">
        <v>366.57</v>
      </c>
      <c r="M396" t="str">
        <f t="shared" si="54"/>
        <v>USB Cable</v>
      </c>
      <c r="N396" t="str">
        <f t="shared" si="55"/>
        <v>Delhi</v>
      </c>
      <c r="O396" t="str">
        <f t="shared" si="56"/>
        <v>North</v>
      </c>
      <c r="P396" t="str">
        <f t="shared" si="57"/>
        <v>Accessories</v>
      </c>
      <c r="Q396" t="str">
        <f t="shared" si="58"/>
        <v>Accessories</v>
      </c>
      <c r="R396" t="str">
        <f t="shared" si="59"/>
        <v>North</v>
      </c>
      <c r="S396" t="str">
        <f t="shared" si="60"/>
        <v>Delhi</v>
      </c>
      <c r="T396">
        <f t="shared" si="61"/>
        <v>1456</v>
      </c>
      <c r="U396" t="str">
        <f t="shared" si="62"/>
        <v>OK</v>
      </c>
    </row>
    <row r="397" spans="1:21" x14ac:dyDescent="0.3">
      <c r="A397" t="s">
        <v>614</v>
      </c>
      <c r="B397" s="3">
        <v>45970</v>
      </c>
      <c r="C397" t="s">
        <v>75</v>
      </c>
      <c r="D397" t="s">
        <v>43</v>
      </c>
      <c r="E397" t="s">
        <v>44</v>
      </c>
      <c r="F397" t="s">
        <v>16</v>
      </c>
      <c r="G397" t="s">
        <v>17</v>
      </c>
      <c r="H397">
        <v>1</v>
      </c>
      <c r="I397">
        <v>655</v>
      </c>
      <c r="J397">
        <v>0.05</v>
      </c>
      <c r="K397">
        <v>622.25</v>
      </c>
      <c r="L397">
        <v>100.94</v>
      </c>
      <c r="M397" t="str">
        <f t="shared" si="54"/>
        <v>Phone Holder</v>
      </c>
      <c r="N397" t="str">
        <f t="shared" si="55"/>
        <v>Guwahati</v>
      </c>
      <c r="O397" t="str">
        <f t="shared" si="56"/>
        <v>East</v>
      </c>
      <c r="P397" t="str">
        <f t="shared" si="57"/>
        <v>Accessories</v>
      </c>
      <c r="Q397" t="str">
        <f t="shared" si="58"/>
        <v>Accessories</v>
      </c>
      <c r="R397" t="str">
        <f t="shared" si="59"/>
        <v>East</v>
      </c>
      <c r="S397" t="str">
        <f t="shared" si="60"/>
        <v>Guwahati</v>
      </c>
      <c r="T397">
        <f t="shared" si="61"/>
        <v>622.25</v>
      </c>
      <c r="U397" t="str">
        <f t="shared" si="62"/>
        <v>OK</v>
      </c>
    </row>
    <row r="398" spans="1:21" x14ac:dyDescent="0.3">
      <c r="A398" t="s">
        <v>615</v>
      </c>
      <c r="B398" s="3">
        <v>45702</v>
      </c>
      <c r="C398" t="s">
        <v>501</v>
      </c>
      <c r="D398" t="s">
        <v>88</v>
      </c>
      <c r="E398" t="s">
        <v>73</v>
      </c>
      <c r="F398" t="s">
        <v>21</v>
      </c>
      <c r="G398" t="s">
        <v>22</v>
      </c>
      <c r="H398">
        <v>1</v>
      </c>
      <c r="I398">
        <v>101</v>
      </c>
      <c r="J398">
        <v>0.1</v>
      </c>
      <c r="K398">
        <v>90.9</v>
      </c>
      <c r="L398">
        <v>20.59</v>
      </c>
      <c r="M398" t="str">
        <f t="shared" si="54"/>
        <v>Stapler</v>
      </c>
      <c r="N398" t="str">
        <f t="shared" si="55"/>
        <v>Ahmedabad</v>
      </c>
      <c r="O398" t="str">
        <f t="shared" si="56"/>
        <v>West</v>
      </c>
      <c r="P398" t="str">
        <f t="shared" si="57"/>
        <v>Office Supplies</v>
      </c>
      <c r="Q398" t="str">
        <f t="shared" si="58"/>
        <v>Office Supplies</v>
      </c>
      <c r="R398" t="str">
        <f t="shared" si="59"/>
        <v>West</v>
      </c>
      <c r="S398" t="str">
        <f t="shared" si="60"/>
        <v>Ahmedabad</v>
      </c>
      <c r="T398">
        <f t="shared" si="61"/>
        <v>90.9</v>
      </c>
      <c r="U398" t="str">
        <f t="shared" si="62"/>
        <v>OK</v>
      </c>
    </row>
    <row r="399" spans="1:21" x14ac:dyDescent="0.3">
      <c r="A399" t="s">
        <v>616</v>
      </c>
      <c r="B399" s="3">
        <v>45866</v>
      </c>
      <c r="C399" t="s">
        <v>617</v>
      </c>
      <c r="D399" t="s">
        <v>34</v>
      </c>
      <c r="E399" t="s">
        <v>15</v>
      </c>
      <c r="F399" t="s">
        <v>58</v>
      </c>
      <c r="G399" t="s">
        <v>69</v>
      </c>
      <c r="H399">
        <v>1</v>
      </c>
      <c r="I399">
        <v>20183</v>
      </c>
      <c r="J399">
        <v>0.2</v>
      </c>
      <c r="K399">
        <v>16146.4</v>
      </c>
      <c r="L399">
        <v>1684.05</v>
      </c>
      <c r="M399" t="str">
        <f t="shared" si="54"/>
        <v>Desk</v>
      </c>
      <c r="N399" t="str">
        <f t="shared" si="55"/>
        <v>Jaipur</v>
      </c>
      <c r="O399" t="str">
        <f t="shared" si="56"/>
        <v>North</v>
      </c>
      <c r="P399" t="str">
        <f t="shared" si="57"/>
        <v>Furniture</v>
      </c>
      <c r="Q399" t="str">
        <f t="shared" si="58"/>
        <v>Furniture</v>
      </c>
      <c r="R399" t="str">
        <f t="shared" si="59"/>
        <v>North</v>
      </c>
      <c r="S399" t="str">
        <f t="shared" si="60"/>
        <v>Jaipur</v>
      </c>
      <c r="T399">
        <f t="shared" si="61"/>
        <v>16146.400000000001</v>
      </c>
      <c r="U399" t="str">
        <f t="shared" si="62"/>
        <v>OK</v>
      </c>
    </row>
    <row r="400" spans="1:21" x14ac:dyDescent="0.3">
      <c r="A400" t="s">
        <v>618</v>
      </c>
      <c r="B400" s="3">
        <v>45863</v>
      </c>
      <c r="C400" t="s">
        <v>542</v>
      </c>
      <c r="D400" t="s">
        <v>80</v>
      </c>
      <c r="E400" t="s">
        <v>51</v>
      </c>
      <c r="F400" t="s">
        <v>27</v>
      </c>
      <c r="G400" t="s">
        <v>31</v>
      </c>
      <c r="H400">
        <v>1</v>
      </c>
      <c r="I400">
        <v>54749</v>
      </c>
      <c r="J400">
        <v>0.05</v>
      </c>
      <c r="K400">
        <v>52011.55</v>
      </c>
      <c r="L400">
        <v>7652.71</v>
      </c>
      <c r="M400" t="str">
        <f t="shared" si="54"/>
        <v>Laptop</v>
      </c>
      <c r="N400" t="str">
        <f t="shared" si="55"/>
        <v>Hyderabad</v>
      </c>
      <c r="O400" t="str">
        <f t="shared" si="56"/>
        <v>South</v>
      </c>
      <c r="P400" t="str">
        <f t="shared" si="57"/>
        <v>Electronics</v>
      </c>
      <c r="Q400" t="str">
        <f t="shared" si="58"/>
        <v>Electronics</v>
      </c>
      <c r="R400" t="str">
        <f t="shared" si="59"/>
        <v>South</v>
      </c>
      <c r="S400" t="str">
        <f t="shared" si="60"/>
        <v>Hyderabad</v>
      </c>
      <c r="T400">
        <f t="shared" si="61"/>
        <v>52011.549999999996</v>
      </c>
      <c r="U400" t="str">
        <f t="shared" si="62"/>
        <v>OK</v>
      </c>
    </row>
    <row r="401" spans="1:21" x14ac:dyDescent="0.3">
      <c r="A401" t="s">
        <v>619</v>
      </c>
      <c r="B401" s="3">
        <v>45794</v>
      </c>
      <c r="C401" t="s">
        <v>305</v>
      </c>
      <c r="D401" t="s">
        <v>43</v>
      </c>
      <c r="E401" t="s">
        <v>44</v>
      </c>
      <c r="F401" t="s">
        <v>16</v>
      </c>
      <c r="G401" t="s">
        <v>52</v>
      </c>
      <c r="H401">
        <v>1</v>
      </c>
      <c r="I401">
        <v>815</v>
      </c>
      <c r="J401">
        <v>0.1</v>
      </c>
      <c r="K401">
        <v>733.5</v>
      </c>
      <c r="L401">
        <v>160.85</v>
      </c>
      <c r="M401" t="str">
        <f t="shared" si="54"/>
        <v>Phone Holder</v>
      </c>
      <c r="N401" t="str">
        <f t="shared" si="55"/>
        <v>Kolkata</v>
      </c>
      <c r="O401" t="str">
        <f t="shared" si="56"/>
        <v>East</v>
      </c>
      <c r="P401" t="str">
        <f t="shared" si="57"/>
        <v>Accessories</v>
      </c>
      <c r="Q401" t="str">
        <f t="shared" si="58"/>
        <v>Accessories</v>
      </c>
      <c r="R401" t="str">
        <f t="shared" si="59"/>
        <v>East</v>
      </c>
      <c r="S401" t="str">
        <f t="shared" si="60"/>
        <v>Kolkata</v>
      </c>
      <c r="T401">
        <f t="shared" si="61"/>
        <v>733.5</v>
      </c>
      <c r="U401" t="str">
        <f t="shared" si="62"/>
        <v>OK</v>
      </c>
    </row>
    <row r="402" spans="1:21" x14ac:dyDescent="0.3">
      <c r="A402" t="s">
        <v>620</v>
      </c>
      <c r="B402" s="3">
        <v>45798</v>
      </c>
      <c r="C402" t="s">
        <v>139</v>
      </c>
      <c r="D402" t="s">
        <v>83</v>
      </c>
      <c r="E402" t="s">
        <v>73</v>
      </c>
      <c r="F402" t="s">
        <v>27</v>
      </c>
      <c r="G402" t="s">
        <v>40</v>
      </c>
      <c r="H402">
        <v>4</v>
      </c>
      <c r="I402">
        <v>660</v>
      </c>
      <c r="J402">
        <v>0.1</v>
      </c>
      <c r="K402">
        <v>2376</v>
      </c>
      <c r="L402">
        <v>244.92</v>
      </c>
      <c r="M402" t="str">
        <f t="shared" si="54"/>
        <v>Printer Paper</v>
      </c>
      <c r="N402" t="str">
        <f t="shared" si="55"/>
        <v>Chennai</v>
      </c>
      <c r="O402" t="str">
        <f t="shared" si="56"/>
        <v>South</v>
      </c>
      <c r="P402" t="str">
        <f t="shared" si="57"/>
        <v>Office Supplies</v>
      </c>
      <c r="Q402" t="str">
        <f t="shared" si="58"/>
        <v>Office Supplies</v>
      </c>
      <c r="R402" t="str">
        <f t="shared" si="59"/>
        <v>South</v>
      </c>
      <c r="S402" t="str">
        <f t="shared" si="60"/>
        <v>Chennai</v>
      </c>
      <c r="T402">
        <f t="shared" si="61"/>
        <v>2376</v>
      </c>
      <c r="U402" t="str">
        <f t="shared" si="62"/>
        <v>OK</v>
      </c>
    </row>
    <row r="403" spans="1:21" x14ac:dyDescent="0.3">
      <c r="A403" t="s">
        <v>621</v>
      </c>
      <c r="B403" s="3">
        <v>45785</v>
      </c>
      <c r="C403" t="s">
        <v>191</v>
      </c>
      <c r="D403" t="s">
        <v>47</v>
      </c>
      <c r="E403" t="s">
        <v>26</v>
      </c>
      <c r="F403" t="s">
        <v>58</v>
      </c>
      <c r="G403" t="s">
        <v>59</v>
      </c>
      <c r="H403">
        <v>5</v>
      </c>
      <c r="I403">
        <v>14684</v>
      </c>
      <c r="J403">
        <v>0</v>
      </c>
      <c r="K403">
        <v>73420</v>
      </c>
      <c r="L403">
        <v>17103.939999999999</v>
      </c>
      <c r="M403" t="str">
        <f t="shared" si="54"/>
        <v>Air Purifier</v>
      </c>
      <c r="N403" t="str">
        <f t="shared" si="55"/>
        <v>Chandigarh</v>
      </c>
      <c r="O403" t="str">
        <f t="shared" si="56"/>
        <v>North</v>
      </c>
      <c r="P403" t="str">
        <f t="shared" si="57"/>
        <v>Home Appliances</v>
      </c>
      <c r="Q403" t="str">
        <f t="shared" si="58"/>
        <v>Home Appliances</v>
      </c>
      <c r="R403" t="str">
        <f t="shared" si="59"/>
        <v>North</v>
      </c>
      <c r="S403" t="str">
        <f t="shared" si="60"/>
        <v>Chandigarh</v>
      </c>
      <c r="T403">
        <f t="shared" si="61"/>
        <v>73420</v>
      </c>
      <c r="U403" t="str">
        <f t="shared" si="62"/>
        <v>OK</v>
      </c>
    </row>
    <row r="404" spans="1:21" x14ac:dyDescent="0.3">
      <c r="A404" t="s">
        <v>622</v>
      </c>
      <c r="B404" s="3">
        <v>45898</v>
      </c>
      <c r="C404" t="s">
        <v>248</v>
      </c>
      <c r="D404" t="s">
        <v>88</v>
      </c>
      <c r="E404" t="s">
        <v>73</v>
      </c>
      <c r="F404" t="s">
        <v>58</v>
      </c>
      <c r="G404" t="s">
        <v>126</v>
      </c>
      <c r="H404">
        <v>2</v>
      </c>
      <c r="I404">
        <v>529</v>
      </c>
      <c r="J404">
        <v>0.1</v>
      </c>
      <c r="K404">
        <v>952.2</v>
      </c>
      <c r="L404">
        <v>153.9</v>
      </c>
      <c r="M404" t="str">
        <f t="shared" si="54"/>
        <v>Stapler</v>
      </c>
      <c r="N404" t="str">
        <f t="shared" si="55"/>
        <v>Delhi</v>
      </c>
      <c r="O404" t="str">
        <f t="shared" si="56"/>
        <v>North</v>
      </c>
      <c r="P404" t="str">
        <f t="shared" si="57"/>
        <v>Office Supplies</v>
      </c>
      <c r="Q404" t="str">
        <f t="shared" si="58"/>
        <v>Office Supplies</v>
      </c>
      <c r="R404" t="str">
        <f t="shared" si="59"/>
        <v>North</v>
      </c>
      <c r="S404" t="str">
        <f t="shared" si="60"/>
        <v>Delhi</v>
      </c>
      <c r="T404">
        <f t="shared" si="61"/>
        <v>952.2</v>
      </c>
      <c r="U404" t="str">
        <f t="shared" si="62"/>
        <v>OK</v>
      </c>
    </row>
    <row r="405" spans="1:21" x14ac:dyDescent="0.3">
      <c r="A405" t="s">
        <v>623</v>
      </c>
      <c r="B405" s="3">
        <v>45967</v>
      </c>
      <c r="C405" t="s">
        <v>156</v>
      </c>
      <c r="D405" t="s">
        <v>65</v>
      </c>
      <c r="E405" t="s">
        <v>26</v>
      </c>
      <c r="F405" t="s">
        <v>27</v>
      </c>
      <c r="G405" t="s">
        <v>28</v>
      </c>
      <c r="H405">
        <v>3</v>
      </c>
      <c r="I405">
        <v>2968</v>
      </c>
      <c r="J405">
        <v>0.15</v>
      </c>
      <c r="K405">
        <v>7568.4</v>
      </c>
      <c r="L405">
        <v>1848.79</v>
      </c>
      <c r="M405" t="str">
        <f t="shared" si="54"/>
        <v>Electric Kettle</v>
      </c>
      <c r="N405" t="str">
        <f t="shared" si="55"/>
        <v>Bengaluru</v>
      </c>
      <c r="O405" t="str">
        <f t="shared" si="56"/>
        <v>South</v>
      </c>
      <c r="P405" t="str">
        <f t="shared" si="57"/>
        <v>Home Appliances</v>
      </c>
      <c r="Q405" t="str">
        <f t="shared" si="58"/>
        <v>Home Appliances</v>
      </c>
      <c r="R405" t="str">
        <f t="shared" si="59"/>
        <v>South</v>
      </c>
      <c r="S405" t="str">
        <f t="shared" si="60"/>
        <v>Bengaluru</v>
      </c>
      <c r="T405">
        <f t="shared" si="61"/>
        <v>7568.4</v>
      </c>
      <c r="U405" t="str">
        <f t="shared" si="62"/>
        <v>OK</v>
      </c>
    </row>
    <row r="406" spans="1:21" x14ac:dyDescent="0.3">
      <c r="A406" t="s">
        <v>624</v>
      </c>
      <c r="B406" s="3">
        <v>45890</v>
      </c>
      <c r="C406" t="s">
        <v>24</v>
      </c>
      <c r="D406" t="s">
        <v>120</v>
      </c>
      <c r="E406" t="s">
        <v>51</v>
      </c>
      <c r="F406" t="s">
        <v>16</v>
      </c>
      <c r="G406" t="s">
        <v>104</v>
      </c>
      <c r="H406">
        <v>2</v>
      </c>
      <c r="I406">
        <v>1319</v>
      </c>
      <c r="J406">
        <v>0.15</v>
      </c>
      <c r="K406">
        <v>2242.3000000000002</v>
      </c>
      <c r="L406">
        <v>360.82</v>
      </c>
      <c r="M406" t="str">
        <f t="shared" si="54"/>
        <v>Mouse</v>
      </c>
      <c r="N406" t="str">
        <f t="shared" si="55"/>
        <v>Bhubaneswar</v>
      </c>
      <c r="O406" t="str">
        <f t="shared" si="56"/>
        <v>East</v>
      </c>
      <c r="P406" t="str">
        <f t="shared" si="57"/>
        <v>Electronics</v>
      </c>
      <c r="Q406" t="str">
        <f t="shared" si="58"/>
        <v>Electronics</v>
      </c>
      <c r="R406" t="str">
        <f t="shared" si="59"/>
        <v>East</v>
      </c>
      <c r="S406" t="str">
        <f t="shared" si="60"/>
        <v>Bhubaneswar</v>
      </c>
      <c r="T406">
        <f t="shared" si="61"/>
        <v>2242.2999999999997</v>
      </c>
      <c r="U406" t="str">
        <f t="shared" si="62"/>
        <v>OK</v>
      </c>
    </row>
    <row r="407" spans="1:21" x14ac:dyDescent="0.3">
      <c r="A407" t="s">
        <v>625</v>
      </c>
      <c r="B407" s="3">
        <v>45714</v>
      </c>
      <c r="C407" t="s">
        <v>300</v>
      </c>
      <c r="D407" t="s">
        <v>47</v>
      </c>
      <c r="E407" t="s">
        <v>26</v>
      </c>
      <c r="F407" t="s">
        <v>27</v>
      </c>
      <c r="G407" t="s">
        <v>40</v>
      </c>
      <c r="H407">
        <v>3</v>
      </c>
      <c r="I407">
        <v>20527</v>
      </c>
      <c r="J407">
        <v>0</v>
      </c>
      <c r="K407">
        <v>61581</v>
      </c>
      <c r="L407">
        <v>5751.34</v>
      </c>
      <c r="M407" t="str">
        <f t="shared" si="54"/>
        <v>Air Purifier</v>
      </c>
      <c r="N407" t="str">
        <f t="shared" si="55"/>
        <v>Chennai</v>
      </c>
      <c r="O407" t="str">
        <f t="shared" si="56"/>
        <v>South</v>
      </c>
      <c r="P407" t="str">
        <f t="shared" si="57"/>
        <v>Home Appliances</v>
      </c>
      <c r="Q407" t="str">
        <f t="shared" si="58"/>
        <v>Home Appliances</v>
      </c>
      <c r="R407" t="str">
        <f t="shared" si="59"/>
        <v>South</v>
      </c>
      <c r="S407" t="str">
        <f t="shared" si="60"/>
        <v>Chennai</v>
      </c>
      <c r="T407">
        <f t="shared" si="61"/>
        <v>61581</v>
      </c>
      <c r="U407" t="str">
        <f t="shared" si="62"/>
        <v>OK</v>
      </c>
    </row>
    <row r="408" spans="1:21" x14ac:dyDescent="0.3">
      <c r="A408" t="s">
        <v>626</v>
      </c>
      <c r="B408" s="3">
        <v>45877</v>
      </c>
      <c r="C408" t="s">
        <v>597</v>
      </c>
      <c r="D408" t="s">
        <v>153</v>
      </c>
      <c r="E408" t="s">
        <v>26</v>
      </c>
      <c r="F408" t="s">
        <v>58</v>
      </c>
      <c r="G408" t="s">
        <v>59</v>
      </c>
      <c r="H408">
        <v>2</v>
      </c>
      <c r="I408">
        <v>9863</v>
      </c>
      <c r="J408">
        <v>0.05</v>
      </c>
      <c r="K408">
        <v>18739.7</v>
      </c>
      <c r="L408">
        <v>3423.25</v>
      </c>
      <c r="M408" t="str">
        <f t="shared" si="54"/>
        <v>Coffee Maker</v>
      </c>
      <c r="N408" t="str">
        <f t="shared" si="55"/>
        <v>Chandigarh</v>
      </c>
      <c r="O408" t="str">
        <f t="shared" si="56"/>
        <v>North</v>
      </c>
      <c r="P408" t="str">
        <f t="shared" si="57"/>
        <v>Home Appliances</v>
      </c>
      <c r="Q408" t="str">
        <f t="shared" si="58"/>
        <v>Home Appliances</v>
      </c>
      <c r="R408" t="str">
        <f t="shared" si="59"/>
        <v>North</v>
      </c>
      <c r="S408" t="str">
        <f t="shared" si="60"/>
        <v>Chandigarh</v>
      </c>
      <c r="T408">
        <f t="shared" si="61"/>
        <v>18739.7</v>
      </c>
      <c r="U408" t="str">
        <f t="shared" si="62"/>
        <v>OK</v>
      </c>
    </row>
    <row r="409" spans="1:21" x14ac:dyDescent="0.3">
      <c r="A409" t="s">
        <v>627</v>
      </c>
      <c r="B409" s="3">
        <v>45878</v>
      </c>
      <c r="C409" t="s">
        <v>394</v>
      </c>
      <c r="D409" t="s">
        <v>103</v>
      </c>
      <c r="E409" t="s">
        <v>51</v>
      </c>
      <c r="F409" t="s">
        <v>16</v>
      </c>
      <c r="G409" t="s">
        <v>104</v>
      </c>
      <c r="H409">
        <v>2</v>
      </c>
      <c r="I409">
        <v>1746</v>
      </c>
      <c r="J409">
        <v>0.15</v>
      </c>
      <c r="K409">
        <v>2968.2</v>
      </c>
      <c r="L409">
        <v>598.63</v>
      </c>
      <c r="M409" t="str">
        <f t="shared" si="54"/>
        <v>Headphones</v>
      </c>
      <c r="N409" t="str">
        <f t="shared" si="55"/>
        <v>Bhubaneswar</v>
      </c>
      <c r="O409" t="str">
        <f t="shared" si="56"/>
        <v>East</v>
      </c>
      <c r="P409" t="str">
        <f t="shared" si="57"/>
        <v>Electronics</v>
      </c>
      <c r="Q409" t="str">
        <f t="shared" si="58"/>
        <v>Electronics</v>
      </c>
      <c r="R409" t="str">
        <f t="shared" si="59"/>
        <v>East</v>
      </c>
      <c r="S409" t="str">
        <f t="shared" si="60"/>
        <v>Bhubaneswar</v>
      </c>
      <c r="T409">
        <f t="shared" si="61"/>
        <v>2968.2</v>
      </c>
      <c r="U409" t="str">
        <f t="shared" si="62"/>
        <v>OK</v>
      </c>
    </row>
    <row r="410" spans="1:21" x14ac:dyDescent="0.3">
      <c r="A410" t="s">
        <v>628</v>
      </c>
      <c r="B410" s="3">
        <v>45779</v>
      </c>
      <c r="C410" t="s">
        <v>427</v>
      </c>
      <c r="D410" t="s">
        <v>20</v>
      </c>
      <c r="E410" t="s">
        <v>15</v>
      </c>
      <c r="F410" t="s">
        <v>21</v>
      </c>
      <c r="G410" t="s">
        <v>22</v>
      </c>
      <c r="H410">
        <v>1</v>
      </c>
      <c r="I410">
        <v>15222</v>
      </c>
      <c r="J410">
        <v>0.05</v>
      </c>
      <c r="K410">
        <v>14460.9</v>
      </c>
      <c r="L410">
        <v>3561.34</v>
      </c>
      <c r="M410" t="str">
        <f t="shared" si="54"/>
        <v>Filing Cabinet</v>
      </c>
      <c r="N410" t="str">
        <f t="shared" si="55"/>
        <v>Ahmedabad</v>
      </c>
      <c r="O410" t="str">
        <f t="shared" si="56"/>
        <v>West</v>
      </c>
      <c r="P410" t="str">
        <f t="shared" si="57"/>
        <v>Furniture</v>
      </c>
      <c r="Q410" t="str">
        <f t="shared" si="58"/>
        <v>Furniture</v>
      </c>
      <c r="R410" t="str">
        <f t="shared" si="59"/>
        <v>West</v>
      </c>
      <c r="S410" t="str">
        <f t="shared" si="60"/>
        <v>Ahmedabad</v>
      </c>
      <c r="T410">
        <f t="shared" si="61"/>
        <v>14460.9</v>
      </c>
      <c r="U410" t="str">
        <f t="shared" si="62"/>
        <v>OK</v>
      </c>
    </row>
    <row r="411" spans="1:21" x14ac:dyDescent="0.3">
      <c r="A411" t="s">
        <v>629</v>
      </c>
      <c r="B411" s="3">
        <v>45974</v>
      </c>
      <c r="C411" t="s">
        <v>116</v>
      </c>
      <c r="D411" t="s">
        <v>30</v>
      </c>
      <c r="E411" t="s">
        <v>15</v>
      </c>
      <c r="F411" t="s">
        <v>21</v>
      </c>
      <c r="G411" t="s">
        <v>55</v>
      </c>
      <c r="H411">
        <v>1</v>
      </c>
      <c r="I411">
        <v>4962</v>
      </c>
      <c r="J411">
        <v>0.1</v>
      </c>
      <c r="K411">
        <v>4465.8</v>
      </c>
      <c r="L411">
        <v>737.81</v>
      </c>
      <c r="M411" t="str">
        <f t="shared" si="54"/>
        <v>Bookshelf</v>
      </c>
      <c r="N411" t="str">
        <f t="shared" si="55"/>
        <v>Pune</v>
      </c>
      <c r="O411" t="str">
        <f t="shared" si="56"/>
        <v>West</v>
      </c>
      <c r="P411" t="str">
        <f t="shared" si="57"/>
        <v>Furniture</v>
      </c>
      <c r="Q411" t="str">
        <f t="shared" si="58"/>
        <v>Furniture</v>
      </c>
      <c r="R411" t="str">
        <f t="shared" si="59"/>
        <v>West</v>
      </c>
      <c r="S411" t="str">
        <f t="shared" si="60"/>
        <v>Pune</v>
      </c>
      <c r="T411">
        <f t="shared" si="61"/>
        <v>4465.8</v>
      </c>
      <c r="U411" t="str">
        <f t="shared" si="62"/>
        <v>OK</v>
      </c>
    </row>
    <row r="412" spans="1:21" x14ac:dyDescent="0.3">
      <c r="A412" t="s">
        <v>630</v>
      </c>
      <c r="B412" s="3">
        <v>45971</v>
      </c>
      <c r="C412" t="s">
        <v>412</v>
      </c>
      <c r="D412" t="s">
        <v>83</v>
      </c>
      <c r="E412" t="s">
        <v>26</v>
      </c>
      <c r="F412" t="s">
        <v>27</v>
      </c>
      <c r="G412" t="s">
        <v>31</v>
      </c>
      <c r="H412">
        <v>3</v>
      </c>
      <c r="I412">
        <v>260</v>
      </c>
      <c r="J412">
        <v>0</v>
      </c>
      <c r="K412">
        <v>780</v>
      </c>
      <c r="L412">
        <v>173.66</v>
      </c>
      <c r="M412" t="str">
        <f t="shared" si="54"/>
        <v>Printer Paper</v>
      </c>
      <c r="N412" t="str">
        <f t="shared" si="55"/>
        <v>Hyderabad</v>
      </c>
      <c r="O412" t="str">
        <f t="shared" si="56"/>
        <v>South</v>
      </c>
      <c r="P412" t="str">
        <f t="shared" si="57"/>
        <v>Home Appliances</v>
      </c>
      <c r="Q412" t="str">
        <f t="shared" si="58"/>
        <v>Home Appliances</v>
      </c>
      <c r="R412" t="str">
        <f t="shared" si="59"/>
        <v>South</v>
      </c>
      <c r="S412" t="str">
        <f t="shared" si="60"/>
        <v>Hyderabad</v>
      </c>
      <c r="T412">
        <f t="shared" si="61"/>
        <v>780</v>
      </c>
      <c r="U412" t="str">
        <f t="shared" si="62"/>
        <v>OK</v>
      </c>
    </row>
    <row r="413" spans="1:21" x14ac:dyDescent="0.3">
      <c r="A413" t="s">
        <v>632</v>
      </c>
      <c r="B413" s="3">
        <v>45872</v>
      </c>
      <c r="C413" t="s">
        <v>394</v>
      </c>
      <c r="D413" t="s">
        <v>80</v>
      </c>
      <c r="E413" t="s">
        <v>51</v>
      </c>
      <c r="F413" t="s">
        <v>16</v>
      </c>
      <c r="G413" t="s">
        <v>104</v>
      </c>
      <c r="H413">
        <v>2</v>
      </c>
      <c r="I413">
        <v>62327</v>
      </c>
      <c r="J413">
        <v>0.15</v>
      </c>
      <c r="K413">
        <v>105955.9</v>
      </c>
      <c r="L413">
        <v>26543.75</v>
      </c>
      <c r="M413" t="str">
        <f t="shared" si="54"/>
        <v>Laptop</v>
      </c>
      <c r="N413" t="str">
        <f t="shared" si="55"/>
        <v>Bhubaneswar</v>
      </c>
      <c r="O413" t="str">
        <f t="shared" si="56"/>
        <v>East</v>
      </c>
      <c r="P413" t="str">
        <f t="shared" si="57"/>
        <v>Electronics</v>
      </c>
      <c r="Q413" t="str">
        <f t="shared" si="58"/>
        <v>Electronics</v>
      </c>
      <c r="R413" t="str">
        <f t="shared" si="59"/>
        <v>East</v>
      </c>
      <c r="S413" t="str">
        <f t="shared" si="60"/>
        <v>Bhubaneswar</v>
      </c>
      <c r="T413">
        <f t="shared" si="61"/>
        <v>105955.9</v>
      </c>
      <c r="U413" t="str">
        <f t="shared" si="62"/>
        <v>OK</v>
      </c>
    </row>
    <row r="414" spans="1:21" x14ac:dyDescent="0.3">
      <c r="A414" t="s">
        <v>633</v>
      </c>
      <c r="B414" s="3">
        <v>45924</v>
      </c>
      <c r="C414" t="s">
        <v>260</v>
      </c>
      <c r="D414" t="s">
        <v>92</v>
      </c>
      <c r="E414" t="s">
        <v>51</v>
      </c>
      <c r="F414" t="s">
        <v>58</v>
      </c>
      <c r="G414" t="s">
        <v>126</v>
      </c>
      <c r="H414">
        <v>1</v>
      </c>
      <c r="I414">
        <v>12236</v>
      </c>
      <c r="J414">
        <v>0.05</v>
      </c>
      <c r="K414">
        <v>11624.2</v>
      </c>
      <c r="L414">
        <v>1491.39</v>
      </c>
      <c r="M414" t="str">
        <f t="shared" si="54"/>
        <v>Monitor</v>
      </c>
      <c r="N414" t="str">
        <f t="shared" si="55"/>
        <v>Delhi</v>
      </c>
      <c r="O414" t="str">
        <f t="shared" si="56"/>
        <v>North</v>
      </c>
      <c r="P414" t="str">
        <f t="shared" si="57"/>
        <v>Electronics</v>
      </c>
      <c r="Q414" t="str">
        <f t="shared" si="58"/>
        <v>Electronics</v>
      </c>
      <c r="R414" t="str">
        <f t="shared" si="59"/>
        <v>North</v>
      </c>
      <c r="S414" t="str">
        <f t="shared" si="60"/>
        <v>Delhi</v>
      </c>
      <c r="T414">
        <f t="shared" si="61"/>
        <v>11624.199999999999</v>
      </c>
      <c r="U414" t="str">
        <f t="shared" si="62"/>
        <v>OK</v>
      </c>
    </row>
    <row r="415" spans="1:21" x14ac:dyDescent="0.3">
      <c r="A415" t="s">
        <v>634</v>
      </c>
      <c r="B415" s="3">
        <v>45864</v>
      </c>
      <c r="C415" t="s">
        <v>123</v>
      </c>
      <c r="D415" t="s">
        <v>20</v>
      </c>
      <c r="E415" t="s">
        <v>15</v>
      </c>
      <c r="F415" t="s">
        <v>27</v>
      </c>
      <c r="G415" t="s">
        <v>31</v>
      </c>
      <c r="H415">
        <v>2</v>
      </c>
      <c r="I415">
        <v>11431</v>
      </c>
      <c r="J415">
        <v>0</v>
      </c>
      <c r="K415">
        <v>22862</v>
      </c>
      <c r="L415">
        <v>3858.46</v>
      </c>
      <c r="M415" t="str">
        <f t="shared" si="54"/>
        <v>Filing Cabinet</v>
      </c>
      <c r="N415" t="str">
        <f t="shared" si="55"/>
        <v>Hyderabad</v>
      </c>
      <c r="O415" t="str">
        <f t="shared" si="56"/>
        <v>South</v>
      </c>
      <c r="P415" t="str">
        <f t="shared" si="57"/>
        <v>Furniture</v>
      </c>
      <c r="Q415" t="str">
        <f t="shared" si="58"/>
        <v>Furniture</v>
      </c>
      <c r="R415" t="str">
        <f t="shared" si="59"/>
        <v>South</v>
      </c>
      <c r="S415" t="str">
        <f t="shared" si="60"/>
        <v>Hyderabad</v>
      </c>
      <c r="T415">
        <f t="shared" si="61"/>
        <v>22862</v>
      </c>
      <c r="U415" t="str">
        <f t="shared" si="62"/>
        <v>OK</v>
      </c>
    </row>
    <row r="416" spans="1:21" x14ac:dyDescent="0.3">
      <c r="A416" t="s">
        <v>635</v>
      </c>
      <c r="B416" s="3">
        <v>45951</v>
      </c>
      <c r="C416" t="s">
        <v>636</v>
      </c>
      <c r="D416" t="s">
        <v>65</v>
      </c>
      <c r="E416" t="s">
        <v>26</v>
      </c>
      <c r="F416" t="s">
        <v>58</v>
      </c>
      <c r="G416" t="s">
        <v>69</v>
      </c>
      <c r="H416">
        <v>2</v>
      </c>
      <c r="I416">
        <v>3301</v>
      </c>
      <c r="J416">
        <v>0.15</v>
      </c>
      <c r="K416">
        <v>5611.7</v>
      </c>
      <c r="L416">
        <v>701.51</v>
      </c>
      <c r="M416" t="str">
        <f t="shared" si="54"/>
        <v>Electric Kettle</v>
      </c>
      <c r="N416" t="str">
        <f t="shared" si="55"/>
        <v>Jaipur</v>
      </c>
      <c r="O416" t="str">
        <f t="shared" si="56"/>
        <v>North</v>
      </c>
      <c r="P416" t="str">
        <f t="shared" si="57"/>
        <v>Home Appliances</v>
      </c>
      <c r="Q416" t="str">
        <f t="shared" si="58"/>
        <v>Home Appliances</v>
      </c>
      <c r="R416" t="str">
        <f t="shared" si="59"/>
        <v>North</v>
      </c>
      <c r="S416" t="str">
        <f t="shared" si="60"/>
        <v>Jaipur</v>
      </c>
      <c r="T416">
        <f t="shared" si="61"/>
        <v>5611.7</v>
      </c>
      <c r="U416" t="str">
        <f t="shared" si="62"/>
        <v>OK</v>
      </c>
    </row>
    <row r="417" spans="1:21" x14ac:dyDescent="0.3">
      <c r="A417" t="s">
        <v>637</v>
      </c>
      <c r="B417" s="3">
        <v>45926</v>
      </c>
      <c r="C417" t="s">
        <v>326</v>
      </c>
      <c r="D417" t="s">
        <v>97</v>
      </c>
      <c r="E417" t="s">
        <v>44</v>
      </c>
      <c r="F417" t="s">
        <v>27</v>
      </c>
      <c r="G417" t="s">
        <v>40</v>
      </c>
      <c r="H417">
        <v>2</v>
      </c>
      <c r="I417">
        <v>1033</v>
      </c>
      <c r="J417">
        <v>0</v>
      </c>
      <c r="K417">
        <v>2066</v>
      </c>
      <c r="L417">
        <v>486.25</v>
      </c>
      <c r="M417" t="str">
        <f t="shared" si="54"/>
        <v>USB Cable</v>
      </c>
      <c r="N417" t="str">
        <f t="shared" si="55"/>
        <v>Chennai</v>
      </c>
      <c r="O417" t="str">
        <f t="shared" si="56"/>
        <v>South</v>
      </c>
      <c r="P417" t="str">
        <f t="shared" si="57"/>
        <v>Accessories</v>
      </c>
      <c r="Q417" t="str">
        <f t="shared" si="58"/>
        <v>Accessories</v>
      </c>
      <c r="R417" t="str">
        <f t="shared" si="59"/>
        <v>South</v>
      </c>
      <c r="S417" t="str">
        <f t="shared" si="60"/>
        <v>Chennai</v>
      </c>
      <c r="T417">
        <f t="shared" si="61"/>
        <v>2066</v>
      </c>
      <c r="U417" t="str">
        <f t="shared" si="62"/>
        <v>OK</v>
      </c>
    </row>
    <row r="418" spans="1:21" x14ac:dyDescent="0.3">
      <c r="A418" t="s">
        <v>638</v>
      </c>
      <c r="B418" s="3">
        <v>46014</v>
      </c>
      <c r="C418" t="s">
        <v>300</v>
      </c>
      <c r="D418" t="s">
        <v>153</v>
      </c>
      <c r="E418" t="s">
        <v>26</v>
      </c>
      <c r="F418" t="s">
        <v>27</v>
      </c>
      <c r="G418" t="s">
        <v>40</v>
      </c>
      <c r="H418">
        <v>3</v>
      </c>
      <c r="I418">
        <v>3630</v>
      </c>
      <c r="J418">
        <v>0</v>
      </c>
      <c r="K418">
        <v>10890</v>
      </c>
      <c r="L418">
        <v>1881.77</v>
      </c>
      <c r="M418" t="str">
        <f t="shared" si="54"/>
        <v>Coffee Maker</v>
      </c>
      <c r="N418" t="str">
        <f t="shared" si="55"/>
        <v>Chennai</v>
      </c>
      <c r="O418" t="str">
        <f t="shared" si="56"/>
        <v>South</v>
      </c>
      <c r="P418" t="str">
        <f t="shared" si="57"/>
        <v>Home Appliances</v>
      </c>
      <c r="Q418" t="str">
        <f t="shared" si="58"/>
        <v>Home Appliances</v>
      </c>
      <c r="R418" t="str">
        <f t="shared" si="59"/>
        <v>South</v>
      </c>
      <c r="S418" t="str">
        <f t="shared" si="60"/>
        <v>Chennai</v>
      </c>
      <c r="T418">
        <f t="shared" si="61"/>
        <v>10890</v>
      </c>
      <c r="U418" t="str">
        <f t="shared" si="62"/>
        <v>OK</v>
      </c>
    </row>
    <row r="419" spans="1:21" x14ac:dyDescent="0.3">
      <c r="A419" t="s">
        <v>639</v>
      </c>
      <c r="B419" s="3">
        <v>45736</v>
      </c>
      <c r="C419" t="s">
        <v>640</v>
      </c>
      <c r="D419" t="s">
        <v>103</v>
      </c>
      <c r="E419" t="s">
        <v>51</v>
      </c>
      <c r="F419" t="s">
        <v>21</v>
      </c>
      <c r="G419" t="s">
        <v>22</v>
      </c>
      <c r="H419">
        <v>2</v>
      </c>
      <c r="I419">
        <v>1504</v>
      </c>
      <c r="J419">
        <v>0.1</v>
      </c>
      <c r="K419">
        <v>2707.2</v>
      </c>
      <c r="L419">
        <v>391.48</v>
      </c>
      <c r="M419" t="str">
        <f t="shared" si="54"/>
        <v>Headphones</v>
      </c>
      <c r="N419" t="str">
        <f t="shared" si="55"/>
        <v>Ahmedabad</v>
      </c>
      <c r="O419" t="str">
        <f t="shared" si="56"/>
        <v>West</v>
      </c>
      <c r="P419" t="str">
        <f t="shared" si="57"/>
        <v>Electronics</v>
      </c>
      <c r="Q419" t="str">
        <f t="shared" si="58"/>
        <v>Electronics</v>
      </c>
      <c r="R419" t="str">
        <f t="shared" si="59"/>
        <v>West</v>
      </c>
      <c r="S419" t="str">
        <f t="shared" si="60"/>
        <v>Ahmedabad</v>
      </c>
      <c r="T419">
        <f t="shared" si="61"/>
        <v>2707.2000000000003</v>
      </c>
      <c r="U419" t="str">
        <f t="shared" si="62"/>
        <v>OK</v>
      </c>
    </row>
    <row r="420" spans="1:21" x14ac:dyDescent="0.3">
      <c r="A420" t="s">
        <v>641</v>
      </c>
      <c r="B420" s="3">
        <v>45887</v>
      </c>
      <c r="C420" t="s">
        <v>346</v>
      </c>
      <c r="D420" t="s">
        <v>103</v>
      </c>
      <c r="E420" t="s">
        <v>51</v>
      </c>
      <c r="F420" t="s">
        <v>16</v>
      </c>
      <c r="G420" t="s">
        <v>52</v>
      </c>
      <c r="H420">
        <v>1</v>
      </c>
      <c r="I420">
        <v>7034</v>
      </c>
      <c r="J420">
        <v>0.15</v>
      </c>
      <c r="K420">
        <v>5978.9</v>
      </c>
      <c r="L420">
        <v>1323.53</v>
      </c>
      <c r="M420" t="str">
        <f t="shared" si="54"/>
        <v>Headphones</v>
      </c>
      <c r="N420" t="str">
        <f t="shared" si="55"/>
        <v>Kolkata</v>
      </c>
      <c r="O420" t="str">
        <f t="shared" si="56"/>
        <v>East</v>
      </c>
      <c r="P420" t="str">
        <f t="shared" si="57"/>
        <v>Electronics</v>
      </c>
      <c r="Q420" t="str">
        <f t="shared" si="58"/>
        <v>Electronics</v>
      </c>
      <c r="R420" t="str">
        <f t="shared" si="59"/>
        <v>East</v>
      </c>
      <c r="S420" t="str">
        <f t="shared" si="60"/>
        <v>Kolkata</v>
      </c>
      <c r="T420">
        <f t="shared" si="61"/>
        <v>5978.9</v>
      </c>
      <c r="U420" t="str">
        <f t="shared" si="62"/>
        <v>OK</v>
      </c>
    </row>
    <row r="421" spans="1:21" x14ac:dyDescent="0.3">
      <c r="A421" t="s">
        <v>642</v>
      </c>
      <c r="B421" s="3">
        <v>45944</v>
      </c>
      <c r="C421" t="s">
        <v>39</v>
      </c>
      <c r="D421" t="s">
        <v>120</v>
      </c>
      <c r="E421" t="s">
        <v>51</v>
      </c>
      <c r="F421" t="s">
        <v>21</v>
      </c>
      <c r="G421" t="s">
        <v>22</v>
      </c>
      <c r="H421">
        <v>3</v>
      </c>
      <c r="I421">
        <v>1614</v>
      </c>
      <c r="J421">
        <v>0</v>
      </c>
      <c r="K421">
        <v>4842</v>
      </c>
      <c r="L421">
        <v>838.47</v>
      </c>
      <c r="M421" t="str">
        <f t="shared" si="54"/>
        <v>Mouse</v>
      </c>
      <c r="N421" t="str">
        <f t="shared" si="55"/>
        <v>Ahmedabad</v>
      </c>
      <c r="O421" t="str">
        <f t="shared" si="56"/>
        <v>West</v>
      </c>
      <c r="P421" t="str">
        <f t="shared" si="57"/>
        <v>Electronics</v>
      </c>
      <c r="Q421" t="str">
        <f t="shared" si="58"/>
        <v>Electronics</v>
      </c>
      <c r="R421" t="str">
        <f t="shared" si="59"/>
        <v>West</v>
      </c>
      <c r="S421" t="str">
        <f t="shared" si="60"/>
        <v>Ahmedabad</v>
      </c>
      <c r="T421">
        <f t="shared" si="61"/>
        <v>4842</v>
      </c>
      <c r="U421" t="str">
        <f t="shared" si="62"/>
        <v>OK</v>
      </c>
    </row>
    <row r="422" spans="1:21" x14ac:dyDescent="0.3">
      <c r="A422" t="s">
        <v>643</v>
      </c>
      <c r="B422" s="3">
        <v>45948</v>
      </c>
      <c r="C422" t="s">
        <v>555</v>
      </c>
      <c r="D422" t="s">
        <v>103</v>
      </c>
      <c r="E422" t="s">
        <v>51</v>
      </c>
      <c r="F422" t="s">
        <v>58</v>
      </c>
      <c r="G422" t="s">
        <v>126</v>
      </c>
      <c r="H422">
        <v>1</v>
      </c>
      <c r="I422">
        <v>4011</v>
      </c>
      <c r="J422">
        <v>0.15</v>
      </c>
      <c r="K422">
        <v>3409.35</v>
      </c>
      <c r="L422">
        <v>658.81</v>
      </c>
      <c r="M422" t="str">
        <f t="shared" si="54"/>
        <v>Headphones</v>
      </c>
      <c r="N422" t="str">
        <f t="shared" si="55"/>
        <v>Delhi</v>
      </c>
      <c r="O422" t="str">
        <f t="shared" si="56"/>
        <v>North</v>
      </c>
      <c r="P422" t="str">
        <f t="shared" si="57"/>
        <v>Electronics</v>
      </c>
      <c r="Q422" t="str">
        <f t="shared" si="58"/>
        <v>Electronics</v>
      </c>
      <c r="R422" t="str">
        <f t="shared" si="59"/>
        <v>North</v>
      </c>
      <c r="S422" t="str">
        <f t="shared" si="60"/>
        <v>Delhi</v>
      </c>
      <c r="T422">
        <f t="shared" si="61"/>
        <v>3409.35</v>
      </c>
      <c r="U422" t="str">
        <f t="shared" si="62"/>
        <v>OK</v>
      </c>
    </row>
    <row r="423" spans="1:21" x14ac:dyDescent="0.3">
      <c r="A423" t="s">
        <v>644</v>
      </c>
      <c r="B423" s="3">
        <v>45771</v>
      </c>
      <c r="C423" t="s">
        <v>90</v>
      </c>
      <c r="D423" t="s">
        <v>34</v>
      </c>
      <c r="E423" t="s">
        <v>15</v>
      </c>
      <c r="F423" t="s">
        <v>27</v>
      </c>
      <c r="G423" t="s">
        <v>31</v>
      </c>
      <c r="H423">
        <v>3</v>
      </c>
      <c r="I423">
        <v>12561</v>
      </c>
      <c r="J423">
        <v>0</v>
      </c>
      <c r="K423">
        <v>37683</v>
      </c>
      <c r="L423">
        <v>6870.63</v>
      </c>
      <c r="M423" t="str">
        <f t="shared" si="54"/>
        <v>Desk</v>
      </c>
      <c r="N423" t="str">
        <f t="shared" si="55"/>
        <v>Hyderabad</v>
      </c>
      <c r="O423" t="str">
        <f t="shared" si="56"/>
        <v>South</v>
      </c>
      <c r="P423" t="str">
        <f t="shared" si="57"/>
        <v>Furniture</v>
      </c>
      <c r="Q423" t="str">
        <f t="shared" si="58"/>
        <v>Furniture</v>
      </c>
      <c r="R423" t="str">
        <f t="shared" si="59"/>
        <v>South</v>
      </c>
      <c r="S423" t="str">
        <f t="shared" si="60"/>
        <v>Hyderabad</v>
      </c>
      <c r="T423">
        <f t="shared" si="61"/>
        <v>37683</v>
      </c>
      <c r="U423" t="str">
        <f t="shared" si="62"/>
        <v>OK</v>
      </c>
    </row>
    <row r="424" spans="1:21" x14ac:dyDescent="0.3">
      <c r="A424" t="s">
        <v>645</v>
      </c>
      <c r="B424" s="3">
        <v>45795</v>
      </c>
      <c r="C424" t="s">
        <v>363</v>
      </c>
      <c r="D424" t="s">
        <v>97</v>
      </c>
      <c r="E424" t="s">
        <v>44</v>
      </c>
      <c r="F424" t="s">
        <v>58</v>
      </c>
      <c r="G424" t="s">
        <v>126</v>
      </c>
      <c r="H424">
        <v>1</v>
      </c>
      <c r="I424">
        <v>316</v>
      </c>
      <c r="J424">
        <v>0.1</v>
      </c>
      <c r="K424">
        <v>284.39999999999998</v>
      </c>
      <c r="L424">
        <v>64.45</v>
      </c>
      <c r="M424" t="str">
        <f t="shared" si="54"/>
        <v>USB Cable</v>
      </c>
      <c r="N424" t="str">
        <f t="shared" si="55"/>
        <v>Delhi</v>
      </c>
      <c r="O424" t="str">
        <f t="shared" si="56"/>
        <v>North</v>
      </c>
      <c r="P424" t="str">
        <f t="shared" si="57"/>
        <v>Accessories</v>
      </c>
      <c r="Q424" t="str">
        <f t="shared" si="58"/>
        <v>Accessories</v>
      </c>
      <c r="R424" t="str">
        <f t="shared" si="59"/>
        <v>North</v>
      </c>
      <c r="S424" t="str">
        <f t="shared" si="60"/>
        <v>Delhi</v>
      </c>
      <c r="T424">
        <f t="shared" si="61"/>
        <v>284.40000000000003</v>
      </c>
      <c r="U424" t="str">
        <f t="shared" si="62"/>
        <v>OK</v>
      </c>
    </row>
    <row r="425" spans="1:21" x14ac:dyDescent="0.3">
      <c r="A425" t="s">
        <v>646</v>
      </c>
      <c r="B425" s="3">
        <v>46000</v>
      </c>
      <c r="C425" t="s">
        <v>412</v>
      </c>
      <c r="D425" t="s">
        <v>80</v>
      </c>
      <c r="E425" t="s">
        <v>51</v>
      </c>
      <c r="F425" t="s">
        <v>21</v>
      </c>
      <c r="G425" t="s">
        <v>22</v>
      </c>
      <c r="H425">
        <v>4</v>
      </c>
      <c r="I425">
        <v>82166</v>
      </c>
      <c r="J425">
        <v>0.05</v>
      </c>
      <c r="K425">
        <v>312230.8</v>
      </c>
      <c r="L425">
        <v>57929.9</v>
      </c>
      <c r="M425" t="str">
        <f t="shared" si="54"/>
        <v>Laptop</v>
      </c>
      <c r="N425" t="str">
        <f t="shared" si="55"/>
        <v>Ahmedabad</v>
      </c>
      <c r="O425" t="str">
        <f t="shared" si="56"/>
        <v>West</v>
      </c>
      <c r="P425" t="str">
        <f t="shared" si="57"/>
        <v>Electronics</v>
      </c>
      <c r="Q425" t="str">
        <f t="shared" si="58"/>
        <v>Electronics</v>
      </c>
      <c r="R425" t="str">
        <f t="shared" si="59"/>
        <v>West</v>
      </c>
      <c r="S425" t="str">
        <f t="shared" si="60"/>
        <v>Ahmedabad</v>
      </c>
      <c r="T425">
        <f t="shared" si="61"/>
        <v>312230.8</v>
      </c>
      <c r="U425" t="str">
        <f t="shared" si="62"/>
        <v>OK</v>
      </c>
    </row>
    <row r="426" spans="1:21" x14ac:dyDescent="0.3">
      <c r="A426" t="s">
        <v>647</v>
      </c>
      <c r="B426" s="3">
        <v>45903</v>
      </c>
      <c r="C426" t="s">
        <v>398</v>
      </c>
      <c r="D426" t="s">
        <v>47</v>
      </c>
      <c r="E426" t="s">
        <v>26</v>
      </c>
      <c r="F426" t="s">
        <v>21</v>
      </c>
      <c r="G426" t="s">
        <v>55</v>
      </c>
      <c r="H426">
        <v>3</v>
      </c>
      <c r="I426">
        <v>17727</v>
      </c>
      <c r="J426">
        <v>0.1</v>
      </c>
      <c r="K426">
        <v>47862.9</v>
      </c>
      <c r="L426">
        <v>4339.71</v>
      </c>
      <c r="M426" t="str">
        <f t="shared" si="54"/>
        <v>Air Purifier</v>
      </c>
      <c r="N426" t="str">
        <f t="shared" si="55"/>
        <v>Pune</v>
      </c>
      <c r="O426" t="str">
        <f t="shared" si="56"/>
        <v>West</v>
      </c>
      <c r="P426" t="str">
        <f t="shared" si="57"/>
        <v>Home Appliances</v>
      </c>
      <c r="Q426" t="str">
        <f t="shared" si="58"/>
        <v>Home Appliances</v>
      </c>
      <c r="R426" t="str">
        <f t="shared" si="59"/>
        <v>West</v>
      </c>
      <c r="S426" t="str">
        <f t="shared" si="60"/>
        <v>Pune</v>
      </c>
      <c r="T426">
        <f t="shared" si="61"/>
        <v>47862.9</v>
      </c>
      <c r="U426" t="str">
        <f t="shared" si="62"/>
        <v>OK</v>
      </c>
    </row>
    <row r="427" spans="1:21" x14ac:dyDescent="0.3">
      <c r="A427" t="s">
        <v>648</v>
      </c>
      <c r="B427" s="3">
        <v>45867</v>
      </c>
      <c r="C427" t="s">
        <v>412</v>
      </c>
      <c r="D427" t="s">
        <v>202</v>
      </c>
      <c r="E427" t="s">
        <v>44</v>
      </c>
      <c r="F427" t="s">
        <v>16</v>
      </c>
      <c r="G427" t="s">
        <v>104</v>
      </c>
      <c r="H427">
        <v>1</v>
      </c>
      <c r="I427">
        <v>3305</v>
      </c>
      <c r="J427">
        <v>0.1</v>
      </c>
      <c r="K427">
        <v>2974.5</v>
      </c>
      <c r="L427">
        <v>270.32</v>
      </c>
      <c r="M427" t="str">
        <f t="shared" si="54"/>
        <v>Laptop Stand</v>
      </c>
      <c r="N427" t="str">
        <f t="shared" si="55"/>
        <v>Bhubaneswar</v>
      </c>
      <c r="O427" t="str">
        <f t="shared" si="56"/>
        <v>East</v>
      </c>
      <c r="P427" t="str">
        <f t="shared" si="57"/>
        <v>Accessories</v>
      </c>
      <c r="Q427" t="str">
        <f t="shared" si="58"/>
        <v>Accessories</v>
      </c>
      <c r="R427" t="str">
        <f t="shared" si="59"/>
        <v>East</v>
      </c>
      <c r="S427" t="str">
        <f t="shared" si="60"/>
        <v>Bhubaneswar</v>
      </c>
      <c r="T427">
        <f t="shared" si="61"/>
        <v>2974.5</v>
      </c>
      <c r="U427" t="str">
        <f t="shared" si="62"/>
        <v>OK</v>
      </c>
    </row>
    <row r="428" spans="1:21" x14ac:dyDescent="0.3">
      <c r="A428" t="s">
        <v>649</v>
      </c>
      <c r="B428" s="3">
        <v>45996</v>
      </c>
      <c r="C428" t="s">
        <v>650</v>
      </c>
      <c r="D428" t="s">
        <v>83</v>
      </c>
      <c r="E428" t="s">
        <v>73</v>
      </c>
      <c r="F428" t="s">
        <v>27</v>
      </c>
      <c r="G428" t="s">
        <v>40</v>
      </c>
      <c r="H428">
        <v>3</v>
      </c>
      <c r="I428">
        <v>777</v>
      </c>
      <c r="J428">
        <v>0.05</v>
      </c>
      <c r="K428">
        <v>2214.4499999999998</v>
      </c>
      <c r="L428">
        <v>267.58</v>
      </c>
      <c r="M428" t="str">
        <f t="shared" si="54"/>
        <v>Printer Paper</v>
      </c>
      <c r="N428" t="str">
        <f t="shared" si="55"/>
        <v>Chennai</v>
      </c>
      <c r="O428" t="str">
        <f t="shared" si="56"/>
        <v>South</v>
      </c>
      <c r="P428" t="str">
        <f t="shared" si="57"/>
        <v>Office Supplies</v>
      </c>
      <c r="Q428" t="str">
        <f t="shared" si="58"/>
        <v>Office Supplies</v>
      </c>
      <c r="R428" t="str">
        <f t="shared" si="59"/>
        <v>South</v>
      </c>
      <c r="S428" t="str">
        <f t="shared" si="60"/>
        <v>Chennai</v>
      </c>
      <c r="T428">
        <f t="shared" si="61"/>
        <v>2214.4499999999998</v>
      </c>
      <c r="U428" t="str">
        <f t="shared" si="62"/>
        <v>OK</v>
      </c>
    </row>
    <row r="429" spans="1:21" x14ac:dyDescent="0.3">
      <c r="A429" t="s">
        <v>651</v>
      </c>
      <c r="B429" s="3">
        <v>45799</v>
      </c>
      <c r="C429" t="s">
        <v>328</v>
      </c>
      <c r="D429" t="s">
        <v>30</v>
      </c>
      <c r="E429" t="s">
        <v>15</v>
      </c>
      <c r="F429" t="s">
        <v>58</v>
      </c>
      <c r="G429" t="s">
        <v>126</v>
      </c>
      <c r="H429">
        <v>1</v>
      </c>
      <c r="I429">
        <v>11011</v>
      </c>
      <c r="J429">
        <v>0</v>
      </c>
      <c r="K429">
        <v>11011</v>
      </c>
      <c r="L429">
        <v>1258.4100000000001</v>
      </c>
      <c r="M429" t="str">
        <f t="shared" si="54"/>
        <v>Bookshelf</v>
      </c>
      <c r="N429" t="str">
        <f t="shared" si="55"/>
        <v>Delhi</v>
      </c>
      <c r="O429" t="str">
        <f t="shared" si="56"/>
        <v>North</v>
      </c>
      <c r="P429" t="str">
        <f t="shared" si="57"/>
        <v>Furniture</v>
      </c>
      <c r="Q429" t="str">
        <f t="shared" si="58"/>
        <v>Furniture</v>
      </c>
      <c r="R429" t="str">
        <f t="shared" si="59"/>
        <v>North</v>
      </c>
      <c r="S429" t="str">
        <f t="shared" si="60"/>
        <v>Delhi</v>
      </c>
      <c r="T429">
        <f t="shared" si="61"/>
        <v>11011</v>
      </c>
      <c r="U429" t="str">
        <f t="shared" si="62"/>
        <v>OK</v>
      </c>
    </row>
    <row r="430" spans="1:21" x14ac:dyDescent="0.3">
      <c r="A430" t="s">
        <v>652</v>
      </c>
      <c r="B430" s="3">
        <v>45788</v>
      </c>
      <c r="C430" t="s">
        <v>139</v>
      </c>
      <c r="D430" t="s">
        <v>20</v>
      </c>
      <c r="E430" t="s">
        <v>15</v>
      </c>
      <c r="F430" t="s">
        <v>27</v>
      </c>
      <c r="G430" t="s">
        <v>40</v>
      </c>
      <c r="H430">
        <v>2</v>
      </c>
      <c r="I430">
        <v>15489</v>
      </c>
      <c r="J430">
        <v>0.2</v>
      </c>
      <c r="K430">
        <v>24782.400000000001</v>
      </c>
      <c r="L430">
        <v>4879.6499999999996</v>
      </c>
      <c r="M430" t="str">
        <f t="shared" si="54"/>
        <v>Filing Cabinet</v>
      </c>
      <c r="N430" t="str">
        <f t="shared" si="55"/>
        <v>Chennai</v>
      </c>
      <c r="O430" t="str">
        <f t="shared" si="56"/>
        <v>South</v>
      </c>
      <c r="P430" t="str">
        <f t="shared" si="57"/>
        <v>Furniture</v>
      </c>
      <c r="Q430" t="str">
        <f t="shared" si="58"/>
        <v>Furniture</v>
      </c>
      <c r="R430" t="str">
        <f t="shared" si="59"/>
        <v>South</v>
      </c>
      <c r="S430" t="str">
        <f t="shared" si="60"/>
        <v>Chennai</v>
      </c>
      <c r="T430">
        <f t="shared" si="61"/>
        <v>24782.400000000001</v>
      </c>
      <c r="U430" t="str">
        <f t="shared" si="62"/>
        <v>OK</v>
      </c>
    </row>
    <row r="431" spans="1:21" x14ac:dyDescent="0.3">
      <c r="A431" t="s">
        <v>653</v>
      </c>
      <c r="B431" s="3">
        <v>45732</v>
      </c>
      <c r="C431" t="s">
        <v>253</v>
      </c>
      <c r="D431" t="s">
        <v>120</v>
      </c>
      <c r="E431" t="s">
        <v>51</v>
      </c>
      <c r="F431" t="s">
        <v>27</v>
      </c>
      <c r="G431" t="s">
        <v>40</v>
      </c>
      <c r="H431">
        <v>2</v>
      </c>
      <c r="I431">
        <v>1039</v>
      </c>
      <c r="J431">
        <v>0</v>
      </c>
      <c r="K431">
        <v>2078</v>
      </c>
      <c r="L431">
        <v>179.43</v>
      </c>
      <c r="M431" t="str">
        <f t="shared" si="54"/>
        <v>Mouse</v>
      </c>
      <c r="N431" t="str">
        <f t="shared" si="55"/>
        <v>Chennai</v>
      </c>
      <c r="O431" t="str">
        <f t="shared" si="56"/>
        <v>South</v>
      </c>
      <c r="P431" t="str">
        <f t="shared" si="57"/>
        <v>Electronics</v>
      </c>
      <c r="Q431" t="str">
        <f t="shared" si="58"/>
        <v>Electronics</v>
      </c>
      <c r="R431" t="str">
        <f t="shared" si="59"/>
        <v>South</v>
      </c>
      <c r="S431" t="str">
        <f t="shared" si="60"/>
        <v>Chennai</v>
      </c>
      <c r="T431">
        <f t="shared" si="61"/>
        <v>2078</v>
      </c>
      <c r="U431" t="str">
        <f t="shared" si="62"/>
        <v>OK</v>
      </c>
    </row>
    <row r="432" spans="1:21" x14ac:dyDescent="0.3">
      <c r="A432" t="s">
        <v>654</v>
      </c>
      <c r="B432" s="3">
        <v>45801</v>
      </c>
      <c r="C432" t="s">
        <v>429</v>
      </c>
      <c r="D432" t="s">
        <v>80</v>
      </c>
      <c r="E432" t="s">
        <v>51</v>
      </c>
      <c r="F432" t="s">
        <v>21</v>
      </c>
      <c r="G432" t="s">
        <v>22</v>
      </c>
      <c r="H432">
        <v>2</v>
      </c>
      <c r="I432">
        <v>68871</v>
      </c>
      <c r="J432">
        <v>0.1</v>
      </c>
      <c r="K432">
        <v>123967.8</v>
      </c>
      <c r="L432">
        <v>34120.57</v>
      </c>
      <c r="M432" t="str">
        <f t="shared" si="54"/>
        <v>Laptop</v>
      </c>
      <c r="N432" t="str">
        <f t="shared" si="55"/>
        <v>Ahmedabad</v>
      </c>
      <c r="O432" t="str">
        <f t="shared" si="56"/>
        <v>West</v>
      </c>
      <c r="P432" t="str">
        <f t="shared" si="57"/>
        <v>Electronics</v>
      </c>
      <c r="Q432" t="str">
        <f t="shared" si="58"/>
        <v>Electronics</v>
      </c>
      <c r="R432" t="str">
        <f t="shared" si="59"/>
        <v>West</v>
      </c>
      <c r="S432" t="str">
        <f t="shared" si="60"/>
        <v>Ahmedabad</v>
      </c>
      <c r="T432">
        <f t="shared" si="61"/>
        <v>123967.8</v>
      </c>
      <c r="U432" t="str">
        <f t="shared" si="62"/>
        <v>OK</v>
      </c>
    </row>
    <row r="433" spans="1:21" x14ac:dyDescent="0.3">
      <c r="A433" t="s">
        <v>655</v>
      </c>
      <c r="B433" s="3">
        <v>45730</v>
      </c>
      <c r="C433" t="s">
        <v>100</v>
      </c>
      <c r="D433" t="s">
        <v>30</v>
      </c>
      <c r="E433" t="s">
        <v>15</v>
      </c>
      <c r="F433" t="s">
        <v>21</v>
      </c>
      <c r="G433" t="s">
        <v>22</v>
      </c>
      <c r="H433">
        <v>5</v>
      </c>
      <c r="I433">
        <v>4785</v>
      </c>
      <c r="J433">
        <v>0.2</v>
      </c>
      <c r="K433">
        <v>19140</v>
      </c>
      <c r="L433">
        <v>3914.63</v>
      </c>
      <c r="M433" t="str">
        <f t="shared" si="54"/>
        <v>Bookshelf</v>
      </c>
      <c r="N433" t="str">
        <f t="shared" si="55"/>
        <v>Ahmedabad</v>
      </c>
      <c r="O433" t="str">
        <f t="shared" si="56"/>
        <v>West</v>
      </c>
      <c r="P433" t="str">
        <f t="shared" si="57"/>
        <v>Furniture</v>
      </c>
      <c r="Q433" t="str">
        <f t="shared" si="58"/>
        <v>Furniture</v>
      </c>
      <c r="R433" t="str">
        <f t="shared" si="59"/>
        <v>West</v>
      </c>
      <c r="S433" t="str">
        <f t="shared" si="60"/>
        <v>Ahmedabad</v>
      </c>
      <c r="T433">
        <f t="shared" si="61"/>
        <v>19140</v>
      </c>
      <c r="U433" t="str">
        <f t="shared" si="62"/>
        <v>OK</v>
      </c>
    </row>
    <row r="434" spans="1:21" x14ac:dyDescent="0.3">
      <c r="A434" t="s">
        <v>656</v>
      </c>
      <c r="B434" s="3">
        <v>45879</v>
      </c>
      <c r="C434" t="s">
        <v>234</v>
      </c>
      <c r="D434" t="s">
        <v>153</v>
      </c>
      <c r="E434" t="s">
        <v>26</v>
      </c>
      <c r="F434" t="s">
        <v>16</v>
      </c>
      <c r="G434" t="s">
        <v>52</v>
      </c>
      <c r="H434">
        <v>1</v>
      </c>
      <c r="I434">
        <v>5106</v>
      </c>
      <c r="J434">
        <v>0.05</v>
      </c>
      <c r="K434">
        <v>4850.7</v>
      </c>
      <c r="L434">
        <v>772.19</v>
      </c>
      <c r="M434" t="str">
        <f t="shared" si="54"/>
        <v>Coffee Maker</v>
      </c>
      <c r="N434" t="str">
        <f t="shared" si="55"/>
        <v>Kolkata</v>
      </c>
      <c r="O434" t="str">
        <f t="shared" si="56"/>
        <v>East</v>
      </c>
      <c r="P434" t="str">
        <f t="shared" si="57"/>
        <v>Home Appliances</v>
      </c>
      <c r="Q434" t="str">
        <f t="shared" si="58"/>
        <v>Home Appliances</v>
      </c>
      <c r="R434" t="str">
        <f t="shared" si="59"/>
        <v>East</v>
      </c>
      <c r="S434" t="str">
        <f t="shared" si="60"/>
        <v>Kolkata</v>
      </c>
      <c r="T434">
        <f t="shared" si="61"/>
        <v>4850.7</v>
      </c>
      <c r="U434" t="str">
        <f t="shared" si="62"/>
        <v>OK</v>
      </c>
    </row>
    <row r="435" spans="1:21" x14ac:dyDescent="0.3">
      <c r="A435" t="s">
        <v>657</v>
      </c>
      <c r="B435" s="3">
        <v>45668</v>
      </c>
      <c r="C435" t="s">
        <v>176</v>
      </c>
      <c r="D435" t="s">
        <v>68</v>
      </c>
      <c r="E435" t="s">
        <v>44</v>
      </c>
      <c r="F435" t="s">
        <v>58</v>
      </c>
      <c r="G435" t="s">
        <v>59</v>
      </c>
      <c r="H435">
        <v>3</v>
      </c>
      <c r="I435">
        <v>4381</v>
      </c>
      <c r="J435">
        <v>0</v>
      </c>
      <c r="K435">
        <v>13143</v>
      </c>
      <c r="L435">
        <v>2299.9</v>
      </c>
      <c r="M435" t="str">
        <f t="shared" si="54"/>
        <v>Webcam</v>
      </c>
      <c r="N435" t="str">
        <f t="shared" si="55"/>
        <v>Chandigarh</v>
      </c>
      <c r="O435" t="str">
        <f t="shared" si="56"/>
        <v>North</v>
      </c>
      <c r="P435" t="str">
        <f t="shared" si="57"/>
        <v>Accessories</v>
      </c>
      <c r="Q435" t="str">
        <f t="shared" si="58"/>
        <v>Accessories</v>
      </c>
      <c r="R435" t="str">
        <f t="shared" si="59"/>
        <v>North</v>
      </c>
      <c r="S435" t="str">
        <f t="shared" si="60"/>
        <v>Chandigarh</v>
      </c>
      <c r="T435">
        <f t="shared" si="61"/>
        <v>13143</v>
      </c>
      <c r="U435" t="str">
        <f t="shared" si="62"/>
        <v>OK</v>
      </c>
    </row>
    <row r="436" spans="1:21" x14ac:dyDescent="0.3">
      <c r="A436" t="s">
        <v>658</v>
      </c>
      <c r="B436" s="3">
        <v>45741</v>
      </c>
      <c r="C436" t="s">
        <v>640</v>
      </c>
      <c r="D436" t="s">
        <v>92</v>
      </c>
      <c r="E436" t="s">
        <v>51</v>
      </c>
      <c r="F436" t="s">
        <v>21</v>
      </c>
      <c r="G436" t="s">
        <v>22</v>
      </c>
      <c r="H436">
        <v>5</v>
      </c>
      <c r="I436">
        <v>21149</v>
      </c>
      <c r="J436">
        <v>0.2</v>
      </c>
      <c r="K436">
        <v>84596</v>
      </c>
      <c r="L436">
        <v>14207.74</v>
      </c>
      <c r="M436" t="str">
        <f t="shared" si="54"/>
        <v>Monitor</v>
      </c>
      <c r="N436" t="str">
        <f t="shared" si="55"/>
        <v>Ahmedabad</v>
      </c>
      <c r="O436" t="str">
        <f t="shared" si="56"/>
        <v>West</v>
      </c>
      <c r="P436" t="str">
        <f t="shared" si="57"/>
        <v>Electronics</v>
      </c>
      <c r="Q436" t="str">
        <f t="shared" si="58"/>
        <v>Electronics</v>
      </c>
      <c r="R436" t="str">
        <f t="shared" si="59"/>
        <v>West</v>
      </c>
      <c r="S436" t="str">
        <f t="shared" si="60"/>
        <v>Ahmedabad</v>
      </c>
      <c r="T436">
        <f t="shared" si="61"/>
        <v>84596</v>
      </c>
      <c r="U436" t="str">
        <f t="shared" si="62"/>
        <v>OK</v>
      </c>
    </row>
    <row r="437" spans="1:21" x14ac:dyDescent="0.3">
      <c r="A437" t="s">
        <v>659</v>
      </c>
      <c r="B437" s="3">
        <v>46007</v>
      </c>
      <c r="C437" t="s">
        <v>141</v>
      </c>
      <c r="D437" t="s">
        <v>50</v>
      </c>
      <c r="E437" t="s">
        <v>51</v>
      </c>
      <c r="F437" t="s">
        <v>27</v>
      </c>
      <c r="G437" t="s">
        <v>28</v>
      </c>
      <c r="H437">
        <v>1</v>
      </c>
      <c r="I437">
        <v>3032</v>
      </c>
      <c r="J437">
        <v>0.05</v>
      </c>
      <c r="K437">
        <v>2880.4</v>
      </c>
      <c r="L437">
        <v>434.19</v>
      </c>
      <c r="M437" t="str">
        <f t="shared" si="54"/>
        <v>Keyboard</v>
      </c>
      <c r="N437" t="str">
        <f t="shared" si="55"/>
        <v>Bengaluru</v>
      </c>
      <c r="O437" t="str">
        <f t="shared" si="56"/>
        <v>South</v>
      </c>
      <c r="P437" t="str">
        <f t="shared" si="57"/>
        <v>Electronics</v>
      </c>
      <c r="Q437" t="str">
        <f t="shared" si="58"/>
        <v>Electronics</v>
      </c>
      <c r="R437" t="str">
        <f t="shared" si="59"/>
        <v>South</v>
      </c>
      <c r="S437" t="str">
        <f t="shared" si="60"/>
        <v>Bengaluru</v>
      </c>
      <c r="T437">
        <f t="shared" si="61"/>
        <v>2880.4</v>
      </c>
      <c r="U437" t="str">
        <f t="shared" si="62"/>
        <v>OK</v>
      </c>
    </row>
    <row r="438" spans="1:21" x14ac:dyDescent="0.3">
      <c r="A438" t="s">
        <v>660</v>
      </c>
      <c r="B438" s="3">
        <v>45661</v>
      </c>
      <c r="C438" t="s">
        <v>300</v>
      </c>
      <c r="D438" t="s">
        <v>103</v>
      </c>
      <c r="E438" t="s">
        <v>51</v>
      </c>
      <c r="F438" t="s">
        <v>27</v>
      </c>
      <c r="G438" t="s">
        <v>40</v>
      </c>
      <c r="H438">
        <v>1</v>
      </c>
      <c r="I438">
        <v>3873</v>
      </c>
      <c r="J438">
        <v>0.15</v>
      </c>
      <c r="K438">
        <v>3292.05</v>
      </c>
      <c r="L438">
        <v>365.37</v>
      </c>
      <c r="M438" t="str">
        <f t="shared" si="54"/>
        <v>Headphones</v>
      </c>
      <c r="N438" t="str">
        <f t="shared" si="55"/>
        <v>Chennai</v>
      </c>
      <c r="O438" t="str">
        <f t="shared" si="56"/>
        <v>South</v>
      </c>
      <c r="P438" t="str">
        <f t="shared" si="57"/>
        <v>Electronics</v>
      </c>
      <c r="Q438" t="str">
        <f t="shared" si="58"/>
        <v>Electronics</v>
      </c>
      <c r="R438" t="str">
        <f t="shared" si="59"/>
        <v>South</v>
      </c>
      <c r="S438" t="str">
        <f t="shared" si="60"/>
        <v>Chennai</v>
      </c>
      <c r="T438">
        <f t="shared" si="61"/>
        <v>3292.0499999999997</v>
      </c>
      <c r="U438" t="str">
        <f t="shared" si="62"/>
        <v>OK</v>
      </c>
    </row>
    <row r="439" spans="1:21" x14ac:dyDescent="0.3">
      <c r="A439" t="s">
        <v>661</v>
      </c>
      <c r="B439" s="3">
        <v>45753</v>
      </c>
      <c r="C439" t="s">
        <v>94</v>
      </c>
      <c r="D439" t="s">
        <v>153</v>
      </c>
      <c r="E439" t="s">
        <v>26</v>
      </c>
      <c r="F439" t="s">
        <v>16</v>
      </c>
      <c r="G439" t="s">
        <v>104</v>
      </c>
      <c r="H439">
        <v>1</v>
      </c>
      <c r="I439">
        <v>6089</v>
      </c>
      <c r="J439">
        <v>0.15</v>
      </c>
      <c r="K439">
        <v>5175.6499999999996</v>
      </c>
      <c r="L439">
        <v>728.34</v>
      </c>
      <c r="M439" t="str">
        <f t="shared" si="54"/>
        <v>Coffee Maker</v>
      </c>
      <c r="N439" t="str">
        <f t="shared" si="55"/>
        <v>Bhubaneswar</v>
      </c>
      <c r="O439" t="str">
        <f t="shared" si="56"/>
        <v>East</v>
      </c>
      <c r="P439" t="str">
        <f t="shared" si="57"/>
        <v>Home Appliances</v>
      </c>
      <c r="Q439" t="str">
        <f t="shared" si="58"/>
        <v>Home Appliances</v>
      </c>
      <c r="R439" t="str">
        <f t="shared" si="59"/>
        <v>East</v>
      </c>
      <c r="S439" t="str">
        <f t="shared" si="60"/>
        <v>Bhubaneswar</v>
      </c>
      <c r="T439">
        <f t="shared" si="61"/>
        <v>5175.6499999999996</v>
      </c>
      <c r="U439" t="str">
        <f t="shared" si="62"/>
        <v>OK</v>
      </c>
    </row>
    <row r="440" spans="1:21" x14ac:dyDescent="0.3">
      <c r="A440" t="s">
        <v>662</v>
      </c>
      <c r="B440" s="3">
        <v>46000</v>
      </c>
      <c r="C440" t="s">
        <v>178</v>
      </c>
      <c r="D440" t="s">
        <v>65</v>
      </c>
      <c r="E440" t="s">
        <v>26</v>
      </c>
      <c r="F440" t="s">
        <v>21</v>
      </c>
      <c r="G440" t="s">
        <v>55</v>
      </c>
      <c r="H440">
        <v>1</v>
      </c>
      <c r="I440">
        <v>2717</v>
      </c>
      <c r="J440">
        <v>0.05</v>
      </c>
      <c r="K440">
        <v>2581.15</v>
      </c>
      <c r="L440">
        <v>631.03</v>
      </c>
      <c r="M440" t="str">
        <f t="shared" si="54"/>
        <v>Electric Kettle</v>
      </c>
      <c r="N440" t="str">
        <f t="shared" si="55"/>
        <v>Pune</v>
      </c>
      <c r="O440" t="str">
        <f t="shared" si="56"/>
        <v>West</v>
      </c>
      <c r="P440" t="str">
        <f t="shared" si="57"/>
        <v>Home Appliances</v>
      </c>
      <c r="Q440" t="str">
        <f t="shared" si="58"/>
        <v>Home Appliances</v>
      </c>
      <c r="R440" t="str">
        <f t="shared" si="59"/>
        <v>West</v>
      </c>
      <c r="S440" t="str">
        <f t="shared" si="60"/>
        <v>Pune</v>
      </c>
      <c r="T440">
        <f t="shared" si="61"/>
        <v>2581.15</v>
      </c>
      <c r="U440" t="str">
        <f t="shared" si="62"/>
        <v>OK</v>
      </c>
    </row>
    <row r="441" spans="1:21" x14ac:dyDescent="0.3">
      <c r="A441" t="s">
        <v>663</v>
      </c>
      <c r="B441" s="3">
        <v>45746</v>
      </c>
      <c r="C441" t="s">
        <v>24</v>
      </c>
      <c r="D441" t="s">
        <v>34</v>
      </c>
      <c r="E441" t="s">
        <v>15</v>
      </c>
      <c r="F441" t="s">
        <v>58</v>
      </c>
      <c r="G441" t="s">
        <v>69</v>
      </c>
      <c r="H441">
        <v>2</v>
      </c>
      <c r="I441">
        <v>19010</v>
      </c>
      <c r="J441">
        <v>0.15</v>
      </c>
      <c r="K441">
        <v>32317</v>
      </c>
      <c r="L441">
        <v>8158.12</v>
      </c>
      <c r="M441" t="str">
        <f t="shared" si="54"/>
        <v>Desk</v>
      </c>
      <c r="N441" t="str">
        <f t="shared" si="55"/>
        <v>Jaipur</v>
      </c>
      <c r="O441" t="str">
        <f t="shared" si="56"/>
        <v>North</v>
      </c>
      <c r="P441" t="str">
        <f t="shared" si="57"/>
        <v>Furniture</v>
      </c>
      <c r="Q441" t="str">
        <f t="shared" si="58"/>
        <v>Furniture</v>
      </c>
      <c r="R441" t="str">
        <f t="shared" si="59"/>
        <v>North</v>
      </c>
      <c r="S441" t="str">
        <f t="shared" si="60"/>
        <v>Jaipur</v>
      </c>
      <c r="T441">
        <f t="shared" si="61"/>
        <v>32317</v>
      </c>
      <c r="U441" t="str">
        <f t="shared" si="62"/>
        <v>OK</v>
      </c>
    </row>
    <row r="442" spans="1:21" x14ac:dyDescent="0.3">
      <c r="A442" t="s">
        <v>664</v>
      </c>
      <c r="B442" s="3">
        <v>45697</v>
      </c>
      <c r="C442" t="s">
        <v>665</v>
      </c>
      <c r="D442" t="s">
        <v>103</v>
      </c>
      <c r="E442" t="s">
        <v>51</v>
      </c>
      <c r="F442" t="s">
        <v>58</v>
      </c>
      <c r="G442" t="s">
        <v>126</v>
      </c>
      <c r="H442">
        <v>1</v>
      </c>
      <c r="I442">
        <v>2722</v>
      </c>
      <c r="J442">
        <v>0.1</v>
      </c>
      <c r="K442">
        <v>2449.8000000000002</v>
      </c>
      <c r="L442">
        <v>559.36</v>
      </c>
      <c r="M442" t="str">
        <f t="shared" si="54"/>
        <v>Headphones</v>
      </c>
      <c r="N442" t="str">
        <f t="shared" si="55"/>
        <v>Delhi</v>
      </c>
      <c r="O442" t="str">
        <f t="shared" si="56"/>
        <v>North</v>
      </c>
      <c r="P442" t="str">
        <f t="shared" si="57"/>
        <v>Electronics</v>
      </c>
      <c r="Q442" t="str">
        <f t="shared" si="58"/>
        <v>Electronics</v>
      </c>
      <c r="R442" t="str">
        <f t="shared" si="59"/>
        <v>North</v>
      </c>
      <c r="S442" t="str">
        <f t="shared" si="60"/>
        <v>Delhi</v>
      </c>
      <c r="T442">
        <f t="shared" si="61"/>
        <v>2449.8000000000002</v>
      </c>
      <c r="U442" t="str">
        <f t="shared" si="62"/>
        <v>OK</v>
      </c>
    </row>
    <row r="443" spans="1:21" x14ac:dyDescent="0.3">
      <c r="A443" t="s">
        <v>666</v>
      </c>
      <c r="B443" s="3">
        <v>45906</v>
      </c>
      <c r="C443" t="s">
        <v>125</v>
      </c>
      <c r="D443" t="s">
        <v>153</v>
      </c>
      <c r="E443" t="s">
        <v>26</v>
      </c>
      <c r="F443" t="s">
        <v>21</v>
      </c>
      <c r="G443" t="s">
        <v>22</v>
      </c>
      <c r="H443">
        <v>3</v>
      </c>
      <c r="I443">
        <v>5551</v>
      </c>
      <c r="J443">
        <v>0.05</v>
      </c>
      <c r="K443">
        <v>15820.35</v>
      </c>
      <c r="L443">
        <v>2702.08</v>
      </c>
      <c r="M443" t="str">
        <f t="shared" si="54"/>
        <v>Coffee Maker</v>
      </c>
      <c r="N443" t="str">
        <f t="shared" si="55"/>
        <v>Ahmedabad</v>
      </c>
      <c r="O443" t="str">
        <f t="shared" si="56"/>
        <v>West</v>
      </c>
      <c r="P443" t="str">
        <f t="shared" si="57"/>
        <v>Home Appliances</v>
      </c>
      <c r="Q443" t="str">
        <f t="shared" si="58"/>
        <v>Home Appliances</v>
      </c>
      <c r="R443" t="str">
        <f t="shared" si="59"/>
        <v>West</v>
      </c>
      <c r="S443" t="str">
        <f t="shared" si="60"/>
        <v>Ahmedabad</v>
      </c>
      <c r="T443">
        <f t="shared" si="61"/>
        <v>15820.349999999999</v>
      </c>
      <c r="U443" t="str">
        <f t="shared" si="62"/>
        <v>OK</v>
      </c>
    </row>
    <row r="444" spans="1:21" x14ac:dyDescent="0.3">
      <c r="A444" t="s">
        <v>667</v>
      </c>
      <c r="B444" s="3">
        <v>45994</v>
      </c>
      <c r="C444" t="s">
        <v>159</v>
      </c>
      <c r="D444" t="s">
        <v>65</v>
      </c>
      <c r="E444" t="s">
        <v>26</v>
      </c>
      <c r="F444" t="s">
        <v>58</v>
      </c>
      <c r="G444" t="s">
        <v>126</v>
      </c>
      <c r="H444">
        <v>3</v>
      </c>
      <c r="I444">
        <v>2883</v>
      </c>
      <c r="J444">
        <v>0.15</v>
      </c>
      <c r="K444">
        <v>7351.65</v>
      </c>
      <c r="L444">
        <v>1342.26</v>
      </c>
      <c r="M444" t="str">
        <f t="shared" si="54"/>
        <v>Electric Kettle</v>
      </c>
      <c r="N444" t="str">
        <f t="shared" si="55"/>
        <v>Delhi</v>
      </c>
      <c r="O444" t="str">
        <f t="shared" si="56"/>
        <v>North</v>
      </c>
      <c r="P444" t="str">
        <f t="shared" si="57"/>
        <v>Home Appliances</v>
      </c>
      <c r="Q444" t="str">
        <f t="shared" si="58"/>
        <v>Home Appliances</v>
      </c>
      <c r="R444" t="str">
        <f t="shared" si="59"/>
        <v>North</v>
      </c>
      <c r="S444" t="str">
        <f t="shared" si="60"/>
        <v>Delhi</v>
      </c>
      <c r="T444">
        <f t="shared" si="61"/>
        <v>7351.65</v>
      </c>
      <c r="U444" t="str">
        <f t="shared" si="62"/>
        <v>OK</v>
      </c>
    </row>
    <row r="445" spans="1:21" x14ac:dyDescent="0.3">
      <c r="A445" t="s">
        <v>668</v>
      </c>
      <c r="B445" s="3">
        <v>45729</v>
      </c>
      <c r="C445" t="s">
        <v>42</v>
      </c>
      <c r="D445" t="s">
        <v>65</v>
      </c>
      <c r="E445" t="s">
        <v>26</v>
      </c>
      <c r="F445" t="s">
        <v>21</v>
      </c>
      <c r="G445" t="s">
        <v>22</v>
      </c>
      <c r="H445">
        <v>1</v>
      </c>
      <c r="I445">
        <v>3384</v>
      </c>
      <c r="J445">
        <v>0</v>
      </c>
      <c r="K445">
        <v>3384</v>
      </c>
      <c r="L445">
        <v>657.09</v>
      </c>
      <c r="M445" t="str">
        <f t="shared" si="54"/>
        <v>Electric Kettle</v>
      </c>
      <c r="N445" t="str">
        <f t="shared" si="55"/>
        <v>Ahmedabad</v>
      </c>
      <c r="O445" t="str">
        <f t="shared" si="56"/>
        <v>West</v>
      </c>
      <c r="P445" t="str">
        <f t="shared" si="57"/>
        <v>Home Appliances</v>
      </c>
      <c r="Q445" t="str">
        <f t="shared" si="58"/>
        <v>Home Appliances</v>
      </c>
      <c r="R445" t="str">
        <f t="shared" si="59"/>
        <v>West</v>
      </c>
      <c r="S445" t="str">
        <f t="shared" si="60"/>
        <v>Ahmedabad</v>
      </c>
      <c r="T445">
        <f t="shared" si="61"/>
        <v>3384</v>
      </c>
      <c r="U445" t="str">
        <f t="shared" si="62"/>
        <v>OK</v>
      </c>
    </row>
    <row r="446" spans="1:21" x14ac:dyDescent="0.3">
      <c r="A446" t="s">
        <v>669</v>
      </c>
      <c r="B446" s="3">
        <v>45903</v>
      </c>
      <c r="C446" t="s">
        <v>670</v>
      </c>
      <c r="D446" t="s">
        <v>120</v>
      </c>
      <c r="E446" t="s">
        <v>51</v>
      </c>
      <c r="F446" t="s">
        <v>16</v>
      </c>
      <c r="G446" t="s">
        <v>52</v>
      </c>
      <c r="H446">
        <v>3</v>
      </c>
      <c r="I446">
        <v>914</v>
      </c>
      <c r="J446">
        <v>0.2</v>
      </c>
      <c r="K446">
        <v>2193.6</v>
      </c>
      <c r="L446">
        <v>601.01</v>
      </c>
      <c r="M446" t="str">
        <f t="shared" si="54"/>
        <v>Mouse</v>
      </c>
      <c r="N446" t="str">
        <f t="shared" si="55"/>
        <v>Kolkata</v>
      </c>
      <c r="O446" t="str">
        <f t="shared" si="56"/>
        <v>East</v>
      </c>
      <c r="P446" t="str">
        <f t="shared" si="57"/>
        <v>Electronics</v>
      </c>
      <c r="Q446" t="str">
        <f t="shared" si="58"/>
        <v>Electronics</v>
      </c>
      <c r="R446" t="str">
        <f t="shared" si="59"/>
        <v>East</v>
      </c>
      <c r="S446" t="str">
        <f t="shared" si="60"/>
        <v>Kolkata</v>
      </c>
      <c r="T446">
        <f t="shared" si="61"/>
        <v>2193.6</v>
      </c>
      <c r="U446" t="str">
        <f t="shared" si="62"/>
        <v>OK</v>
      </c>
    </row>
    <row r="447" spans="1:21" x14ac:dyDescent="0.3">
      <c r="A447" t="s">
        <v>671</v>
      </c>
      <c r="B447" s="3">
        <v>45913</v>
      </c>
      <c r="C447" t="s">
        <v>61</v>
      </c>
      <c r="D447" t="s">
        <v>34</v>
      </c>
      <c r="E447" t="s">
        <v>15</v>
      </c>
      <c r="F447" t="s">
        <v>27</v>
      </c>
      <c r="G447" t="s">
        <v>31</v>
      </c>
      <c r="H447">
        <v>1</v>
      </c>
      <c r="I447">
        <v>17022</v>
      </c>
      <c r="J447">
        <v>0.15</v>
      </c>
      <c r="K447">
        <v>14468.7</v>
      </c>
      <c r="L447">
        <v>3460.7</v>
      </c>
      <c r="M447" t="str">
        <f t="shared" si="54"/>
        <v>Desk</v>
      </c>
      <c r="N447" t="str">
        <f t="shared" si="55"/>
        <v>Hyderabad</v>
      </c>
      <c r="O447" t="str">
        <f t="shared" si="56"/>
        <v>South</v>
      </c>
      <c r="P447" t="str">
        <f t="shared" si="57"/>
        <v>Furniture</v>
      </c>
      <c r="Q447" t="str">
        <f t="shared" si="58"/>
        <v>Furniture</v>
      </c>
      <c r="R447" t="str">
        <f t="shared" si="59"/>
        <v>South</v>
      </c>
      <c r="S447" t="str">
        <f t="shared" si="60"/>
        <v>Hyderabad</v>
      </c>
      <c r="T447">
        <f t="shared" si="61"/>
        <v>14468.699999999999</v>
      </c>
      <c r="U447" t="str">
        <f t="shared" si="62"/>
        <v>OK</v>
      </c>
    </row>
    <row r="448" spans="1:21" x14ac:dyDescent="0.3">
      <c r="A448" t="s">
        <v>672</v>
      </c>
      <c r="B448" s="3">
        <v>45870</v>
      </c>
      <c r="C448" t="s">
        <v>189</v>
      </c>
      <c r="D448" t="s">
        <v>83</v>
      </c>
      <c r="E448" t="s">
        <v>73</v>
      </c>
      <c r="F448" t="s">
        <v>16</v>
      </c>
      <c r="G448" t="s">
        <v>104</v>
      </c>
      <c r="H448">
        <v>4</v>
      </c>
      <c r="I448">
        <v>412</v>
      </c>
      <c r="J448">
        <v>0.05</v>
      </c>
      <c r="K448">
        <v>1565.6</v>
      </c>
      <c r="L448">
        <v>125.45</v>
      </c>
      <c r="M448" t="str">
        <f t="shared" si="54"/>
        <v>Printer Paper</v>
      </c>
      <c r="N448" t="str">
        <f t="shared" si="55"/>
        <v>Bhubaneswar</v>
      </c>
      <c r="O448" t="str">
        <f t="shared" si="56"/>
        <v>East</v>
      </c>
      <c r="P448" t="str">
        <f t="shared" si="57"/>
        <v>Office Supplies</v>
      </c>
      <c r="Q448" t="str">
        <f t="shared" si="58"/>
        <v>Office Supplies</v>
      </c>
      <c r="R448" t="str">
        <f t="shared" si="59"/>
        <v>East</v>
      </c>
      <c r="S448" t="str">
        <f t="shared" si="60"/>
        <v>Bhubaneswar</v>
      </c>
      <c r="T448">
        <f t="shared" si="61"/>
        <v>1565.6</v>
      </c>
      <c r="U448" t="str">
        <f t="shared" si="62"/>
        <v>OK</v>
      </c>
    </row>
    <row r="449" spans="1:21" x14ac:dyDescent="0.3">
      <c r="A449" t="s">
        <v>673</v>
      </c>
      <c r="B449" s="3">
        <v>45994</v>
      </c>
      <c r="C449" t="s">
        <v>116</v>
      </c>
      <c r="D449" t="s">
        <v>47</v>
      </c>
      <c r="E449" t="s">
        <v>26</v>
      </c>
      <c r="F449" t="s">
        <v>21</v>
      </c>
      <c r="G449" t="s">
        <v>35</v>
      </c>
      <c r="H449">
        <v>1</v>
      </c>
      <c r="I449">
        <v>13875</v>
      </c>
      <c r="J449">
        <v>0.05</v>
      </c>
      <c r="K449">
        <v>13181.25</v>
      </c>
      <c r="L449">
        <v>1301.72</v>
      </c>
      <c r="M449" t="str">
        <f t="shared" si="54"/>
        <v>Air Purifier</v>
      </c>
      <c r="N449" t="str">
        <f t="shared" si="55"/>
        <v>Mumbai</v>
      </c>
      <c r="O449" t="str">
        <f t="shared" si="56"/>
        <v>West</v>
      </c>
      <c r="P449" t="str">
        <f t="shared" si="57"/>
        <v>Home Appliances</v>
      </c>
      <c r="Q449" t="str">
        <f t="shared" si="58"/>
        <v>Home Appliances</v>
      </c>
      <c r="R449" t="str">
        <f t="shared" si="59"/>
        <v>West</v>
      </c>
      <c r="S449" t="str">
        <f t="shared" si="60"/>
        <v>Mumbai</v>
      </c>
      <c r="T449">
        <f t="shared" si="61"/>
        <v>13181.25</v>
      </c>
      <c r="U449" t="str">
        <f t="shared" si="62"/>
        <v>OK</v>
      </c>
    </row>
    <row r="450" spans="1:21" x14ac:dyDescent="0.3">
      <c r="A450" t="s">
        <v>674</v>
      </c>
      <c r="B450" s="3">
        <v>45831</v>
      </c>
      <c r="C450" t="s">
        <v>456</v>
      </c>
      <c r="D450" t="s">
        <v>50</v>
      </c>
      <c r="E450" t="s">
        <v>51</v>
      </c>
      <c r="F450" t="s">
        <v>58</v>
      </c>
      <c r="G450" t="s">
        <v>59</v>
      </c>
      <c r="H450">
        <v>2</v>
      </c>
      <c r="I450">
        <v>3296</v>
      </c>
      <c r="J450">
        <v>0.15</v>
      </c>
      <c r="K450">
        <v>5603.2</v>
      </c>
      <c r="L450">
        <v>1109.3800000000001</v>
      </c>
      <c r="M450" t="str">
        <f t="shared" si="54"/>
        <v>Keyboard</v>
      </c>
      <c r="N450" t="str">
        <f t="shared" si="55"/>
        <v>Chandigarh</v>
      </c>
      <c r="O450" t="str">
        <f t="shared" si="56"/>
        <v>North</v>
      </c>
      <c r="P450" t="str">
        <f t="shared" si="57"/>
        <v>Electronics</v>
      </c>
      <c r="Q450" t="str">
        <f t="shared" si="58"/>
        <v>Electronics</v>
      </c>
      <c r="R450" t="str">
        <f t="shared" si="59"/>
        <v>North</v>
      </c>
      <c r="S450" t="str">
        <f t="shared" si="60"/>
        <v>Chandigarh</v>
      </c>
      <c r="T450">
        <f t="shared" si="61"/>
        <v>5603.2</v>
      </c>
      <c r="U450" t="str">
        <f t="shared" si="62"/>
        <v>OK</v>
      </c>
    </row>
    <row r="451" spans="1:21" x14ac:dyDescent="0.3">
      <c r="A451" t="s">
        <v>675</v>
      </c>
      <c r="B451" s="3">
        <v>45903</v>
      </c>
      <c r="C451" t="s">
        <v>407</v>
      </c>
      <c r="D451" t="s">
        <v>72</v>
      </c>
      <c r="E451" t="s">
        <v>73</v>
      </c>
      <c r="F451" t="s">
        <v>16</v>
      </c>
      <c r="G451" t="s">
        <v>104</v>
      </c>
      <c r="H451">
        <v>2</v>
      </c>
      <c r="I451">
        <v>817</v>
      </c>
      <c r="J451">
        <v>0.25</v>
      </c>
      <c r="K451">
        <v>1225.5</v>
      </c>
      <c r="L451">
        <v>286.63</v>
      </c>
      <c r="M451" t="str">
        <f t="shared" ref="M451:M514" si="63">TRIM(D451)</f>
        <v>Desk Organizer</v>
      </c>
      <c r="N451" t="str">
        <f t="shared" ref="N451:N514" si="64">TRIM(G451)</f>
        <v>Bhubaneswar</v>
      </c>
      <c r="O451" t="str">
        <f t="shared" ref="O451:O514" si="65">TRIM(F:F)</f>
        <v>East</v>
      </c>
      <c r="P451" t="str">
        <f t="shared" ref="P451:P514" si="66">TRIM(E451)</f>
        <v>Office Supplies</v>
      </c>
      <c r="Q451" t="str">
        <f t="shared" ref="Q451:Q514" si="67">PROPER(E451)</f>
        <v>Office Supplies</v>
      </c>
      <c r="R451" t="str">
        <f t="shared" ref="R451:R514" si="68">PROPER(F451)</f>
        <v>East</v>
      </c>
      <c r="S451" t="str">
        <f t="shared" ref="S451:S514" si="69">PROPER(G451)</f>
        <v>Bhubaneswar</v>
      </c>
      <c r="T451">
        <f t="shared" ref="T451:T514" si="70">H451*I451*(1-J451)</f>
        <v>1225.5</v>
      </c>
      <c r="U451" t="str">
        <f t="shared" ref="U451:U514" si="71">IF(ROUND(K451,2)=ROUND(T451,2),"OK","CHECK")</f>
        <v>OK</v>
      </c>
    </row>
    <row r="452" spans="1:21" x14ac:dyDescent="0.3">
      <c r="A452" t="s">
        <v>676</v>
      </c>
      <c r="B452" s="3">
        <v>45806</v>
      </c>
      <c r="C452" t="s">
        <v>223</v>
      </c>
      <c r="D452" t="s">
        <v>153</v>
      </c>
      <c r="E452" t="s">
        <v>26</v>
      </c>
      <c r="F452" t="s">
        <v>58</v>
      </c>
      <c r="G452" t="s">
        <v>69</v>
      </c>
      <c r="H452">
        <v>1</v>
      </c>
      <c r="I452">
        <v>7350</v>
      </c>
      <c r="J452">
        <v>0.05</v>
      </c>
      <c r="K452">
        <v>6982.5</v>
      </c>
      <c r="L452">
        <v>1494.3</v>
      </c>
      <c r="M452" t="str">
        <f t="shared" si="63"/>
        <v>Coffee Maker</v>
      </c>
      <c r="N452" t="str">
        <f t="shared" si="64"/>
        <v>Jaipur</v>
      </c>
      <c r="O452" t="str">
        <f t="shared" si="65"/>
        <v>North</v>
      </c>
      <c r="P452" t="str">
        <f t="shared" si="66"/>
        <v>Home Appliances</v>
      </c>
      <c r="Q452" t="str">
        <f t="shared" si="67"/>
        <v>Home Appliances</v>
      </c>
      <c r="R452" t="str">
        <f t="shared" si="68"/>
        <v>North</v>
      </c>
      <c r="S452" t="str">
        <f t="shared" si="69"/>
        <v>Jaipur</v>
      </c>
      <c r="T452">
        <f t="shared" si="70"/>
        <v>6982.5</v>
      </c>
      <c r="U452" t="str">
        <f t="shared" si="71"/>
        <v>OK</v>
      </c>
    </row>
    <row r="453" spans="1:21" x14ac:dyDescent="0.3">
      <c r="A453" t="s">
        <v>677</v>
      </c>
      <c r="B453" s="3">
        <v>45837</v>
      </c>
      <c r="C453" t="s">
        <v>358</v>
      </c>
      <c r="D453" t="s">
        <v>153</v>
      </c>
      <c r="E453" t="s">
        <v>26</v>
      </c>
      <c r="F453" t="s">
        <v>58</v>
      </c>
      <c r="G453" t="s">
        <v>59</v>
      </c>
      <c r="H453">
        <v>1</v>
      </c>
      <c r="I453">
        <v>8897</v>
      </c>
      <c r="J453">
        <v>0.2</v>
      </c>
      <c r="K453">
        <v>7117.6</v>
      </c>
      <c r="L453">
        <v>1987.8</v>
      </c>
      <c r="M453" t="str">
        <f t="shared" si="63"/>
        <v>Coffee Maker</v>
      </c>
      <c r="N453" t="str">
        <f t="shared" si="64"/>
        <v>Chandigarh</v>
      </c>
      <c r="O453" t="str">
        <f t="shared" si="65"/>
        <v>North</v>
      </c>
      <c r="P453" t="str">
        <f t="shared" si="66"/>
        <v>Home Appliances</v>
      </c>
      <c r="Q453" t="str">
        <f t="shared" si="67"/>
        <v>Home Appliances</v>
      </c>
      <c r="R453" t="str">
        <f t="shared" si="68"/>
        <v>North</v>
      </c>
      <c r="S453" t="str">
        <f t="shared" si="69"/>
        <v>Chandigarh</v>
      </c>
      <c r="T453">
        <f t="shared" si="70"/>
        <v>7117.6</v>
      </c>
      <c r="U453" t="str">
        <f t="shared" si="71"/>
        <v>OK</v>
      </c>
    </row>
    <row r="454" spans="1:21" x14ac:dyDescent="0.3">
      <c r="A454" t="s">
        <v>678</v>
      </c>
      <c r="B454" s="3">
        <v>45945</v>
      </c>
      <c r="C454" t="s">
        <v>670</v>
      </c>
      <c r="D454" t="s">
        <v>92</v>
      </c>
      <c r="E454" t="s">
        <v>51</v>
      </c>
      <c r="F454" t="s">
        <v>21</v>
      </c>
      <c r="G454" t="s">
        <v>35</v>
      </c>
      <c r="H454">
        <v>1</v>
      </c>
      <c r="I454">
        <v>20594</v>
      </c>
      <c r="J454">
        <v>0</v>
      </c>
      <c r="K454">
        <v>20594</v>
      </c>
      <c r="L454">
        <v>4153.07</v>
      </c>
      <c r="M454" t="str">
        <f t="shared" si="63"/>
        <v>Monitor</v>
      </c>
      <c r="N454" t="str">
        <f t="shared" si="64"/>
        <v>Mumbai</v>
      </c>
      <c r="O454" t="str">
        <f t="shared" si="65"/>
        <v>West</v>
      </c>
      <c r="P454" t="str">
        <f t="shared" si="66"/>
        <v>Electronics</v>
      </c>
      <c r="Q454" t="str">
        <f t="shared" si="67"/>
        <v>Electronics</v>
      </c>
      <c r="R454" t="str">
        <f t="shared" si="68"/>
        <v>West</v>
      </c>
      <c r="S454" t="str">
        <f t="shared" si="69"/>
        <v>Mumbai</v>
      </c>
      <c r="T454">
        <f t="shared" si="70"/>
        <v>20594</v>
      </c>
      <c r="U454" t="str">
        <f t="shared" si="71"/>
        <v>OK</v>
      </c>
    </row>
    <row r="455" spans="1:21" x14ac:dyDescent="0.3">
      <c r="A455" t="s">
        <v>679</v>
      </c>
      <c r="B455" s="3">
        <v>45889</v>
      </c>
      <c r="C455" t="s">
        <v>75</v>
      </c>
      <c r="D455" t="s">
        <v>43</v>
      </c>
      <c r="E455" t="s">
        <v>44</v>
      </c>
      <c r="F455" t="s">
        <v>58</v>
      </c>
      <c r="G455" t="s">
        <v>59</v>
      </c>
      <c r="H455">
        <v>1</v>
      </c>
      <c r="I455">
        <v>367</v>
      </c>
      <c r="J455">
        <v>0.1</v>
      </c>
      <c r="K455">
        <v>330.3</v>
      </c>
      <c r="L455">
        <v>69.459999999999994</v>
      </c>
      <c r="M455" t="str">
        <f t="shared" si="63"/>
        <v>Phone Holder</v>
      </c>
      <c r="N455" t="str">
        <f t="shared" si="64"/>
        <v>Chandigarh</v>
      </c>
      <c r="O455" t="str">
        <f t="shared" si="65"/>
        <v>North</v>
      </c>
      <c r="P455" t="str">
        <f t="shared" si="66"/>
        <v>Accessories</v>
      </c>
      <c r="Q455" t="str">
        <f t="shared" si="67"/>
        <v>Accessories</v>
      </c>
      <c r="R455" t="str">
        <f t="shared" si="68"/>
        <v>North</v>
      </c>
      <c r="S455" t="str">
        <f t="shared" si="69"/>
        <v>Chandigarh</v>
      </c>
      <c r="T455">
        <f t="shared" si="70"/>
        <v>330.3</v>
      </c>
      <c r="U455" t="str">
        <f t="shared" si="71"/>
        <v>OK</v>
      </c>
    </row>
    <row r="456" spans="1:21" x14ac:dyDescent="0.3">
      <c r="A456" t="s">
        <v>680</v>
      </c>
      <c r="B456" s="3">
        <v>45713</v>
      </c>
      <c r="C456" t="s">
        <v>354</v>
      </c>
      <c r="D456" t="s">
        <v>47</v>
      </c>
      <c r="E456" t="s">
        <v>26</v>
      </c>
      <c r="F456" t="s">
        <v>58</v>
      </c>
      <c r="G456" t="s">
        <v>59</v>
      </c>
      <c r="H456">
        <v>1</v>
      </c>
      <c r="I456">
        <v>7992</v>
      </c>
      <c r="J456">
        <v>0</v>
      </c>
      <c r="K456">
        <v>7992</v>
      </c>
      <c r="L456">
        <v>1961.01</v>
      </c>
      <c r="M456" t="str">
        <f t="shared" si="63"/>
        <v>Air Purifier</v>
      </c>
      <c r="N456" t="str">
        <f t="shared" si="64"/>
        <v>Chandigarh</v>
      </c>
      <c r="O456" t="str">
        <f t="shared" si="65"/>
        <v>North</v>
      </c>
      <c r="P456" t="str">
        <f t="shared" si="66"/>
        <v>Home Appliances</v>
      </c>
      <c r="Q456" t="str">
        <f t="shared" si="67"/>
        <v>Home Appliances</v>
      </c>
      <c r="R456" t="str">
        <f t="shared" si="68"/>
        <v>North</v>
      </c>
      <c r="S456" t="str">
        <f t="shared" si="69"/>
        <v>Chandigarh</v>
      </c>
      <c r="T456">
        <f t="shared" si="70"/>
        <v>7992</v>
      </c>
      <c r="U456" t="str">
        <f t="shared" si="71"/>
        <v>OK</v>
      </c>
    </row>
    <row r="457" spans="1:21" x14ac:dyDescent="0.3">
      <c r="A457" t="s">
        <v>681</v>
      </c>
      <c r="B457" s="3">
        <v>45796</v>
      </c>
      <c r="C457" t="s">
        <v>274</v>
      </c>
      <c r="D457" t="s">
        <v>80</v>
      </c>
      <c r="E457" t="s">
        <v>51</v>
      </c>
      <c r="F457" t="s">
        <v>16</v>
      </c>
      <c r="G457" t="s">
        <v>17</v>
      </c>
      <c r="H457">
        <v>1</v>
      </c>
      <c r="I457">
        <v>58288</v>
      </c>
      <c r="J457">
        <v>0.05</v>
      </c>
      <c r="K457">
        <v>55373.599999999999</v>
      </c>
      <c r="L457">
        <v>4889.4799999999996</v>
      </c>
      <c r="M457" t="str">
        <f t="shared" si="63"/>
        <v>Laptop</v>
      </c>
      <c r="N457" t="str">
        <f t="shared" si="64"/>
        <v>Guwahati</v>
      </c>
      <c r="O457" t="str">
        <f t="shared" si="65"/>
        <v>East</v>
      </c>
      <c r="P457" t="str">
        <f t="shared" si="66"/>
        <v>Electronics</v>
      </c>
      <c r="Q457" t="str">
        <f t="shared" si="67"/>
        <v>Electronics</v>
      </c>
      <c r="R457" t="str">
        <f t="shared" si="68"/>
        <v>East</v>
      </c>
      <c r="S457" t="str">
        <f t="shared" si="69"/>
        <v>Guwahati</v>
      </c>
      <c r="T457">
        <f t="shared" si="70"/>
        <v>55373.599999999999</v>
      </c>
      <c r="U457" t="str">
        <f t="shared" si="71"/>
        <v>OK</v>
      </c>
    </row>
    <row r="458" spans="1:21" x14ac:dyDescent="0.3">
      <c r="A458" t="s">
        <v>682</v>
      </c>
      <c r="B458" s="3">
        <v>45841</v>
      </c>
      <c r="C458" t="s">
        <v>503</v>
      </c>
      <c r="D458" t="s">
        <v>80</v>
      </c>
      <c r="E458" t="s">
        <v>51</v>
      </c>
      <c r="F458" t="s">
        <v>27</v>
      </c>
      <c r="G458" t="s">
        <v>31</v>
      </c>
      <c r="H458">
        <v>1</v>
      </c>
      <c r="I458">
        <v>78924</v>
      </c>
      <c r="J458">
        <v>0.2</v>
      </c>
      <c r="K458">
        <v>63139.199999999997</v>
      </c>
      <c r="L458">
        <v>16224.94</v>
      </c>
      <c r="M458" t="str">
        <f t="shared" si="63"/>
        <v>Laptop</v>
      </c>
      <c r="N458" t="str">
        <f t="shared" si="64"/>
        <v>Hyderabad</v>
      </c>
      <c r="O458" t="str">
        <f t="shared" si="65"/>
        <v>South</v>
      </c>
      <c r="P458" t="str">
        <f t="shared" si="66"/>
        <v>Electronics</v>
      </c>
      <c r="Q458" t="str">
        <f t="shared" si="67"/>
        <v>Electronics</v>
      </c>
      <c r="R458" t="str">
        <f t="shared" si="68"/>
        <v>South</v>
      </c>
      <c r="S458" t="str">
        <f t="shared" si="69"/>
        <v>Hyderabad</v>
      </c>
      <c r="T458">
        <f t="shared" si="70"/>
        <v>63139.200000000004</v>
      </c>
      <c r="U458" t="str">
        <f t="shared" si="71"/>
        <v>OK</v>
      </c>
    </row>
    <row r="459" spans="1:21" x14ac:dyDescent="0.3">
      <c r="A459" t="s">
        <v>683</v>
      </c>
      <c r="B459" s="3">
        <v>45926</v>
      </c>
      <c r="C459" t="s">
        <v>391</v>
      </c>
      <c r="D459" t="s">
        <v>14</v>
      </c>
      <c r="E459" t="s">
        <v>15</v>
      </c>
      <c r="F459" t="s">
        <v>16</v>
      </c>
      <c r="G459" t="s">
        <v>104</v>
      </c>
      <c r="H459">
        <v>1</v>
      </c>
      <c r="I459">
        <v>14593</v>
      </c>
      <c r="J459">
        <v>0.1</v>
      </c>
      <c r="K459">
        <v>13133.7</v>
      </c>
      <c r="L459">
        <v>2686.34</v>
      </c>
      <c r="M459" t="str">
        <f t="shared" si="63"/>
        <v>Office Chair</v>
      </c>
      <c r="N459" t="str">
        <f t="shared" si="64"/>
        <v>Bhubaneswar</v>
      </c>
      <c r="O459" t="str">
        <f t="shared" si="65"/>
        <v>East</v>
      </c>
      <c r="P459" t="str">
        <f t="shared" si="66"/>
        <v>Furniture</v>
      </c>
      <c r="Q459" t="str">
        <f t="shared" si="67"/>
        <v>Furniture</v>
      </c>
      <c r="R459" t="str">
        <f t="shared" si="68"/>
        <v>East</v>
      </c>
      <c r="S459" t="str">
        <f t="shared" si="69"/>
        <v>Bhubaneswar</v>
      </c>
      <c r="T459">
        <f t="shared" si="70"/>
        <v>13133.7</v>
      </c>
      <c r="U459" t="str">
        <f t="shared" si="71"/>
        <v>OK</v>
      </c>
    </row>
    <row r="460" spans="1:21" x14ac:dyDescent="0.3">
      <c r="A460" t="s">
        <v>684</v>
      </c>
      <c r="B460" s="3">
        <v>45941</v>
      </c>
      <c r="C460" t="s">
        <v>109</v>
      </c>
      <c r="D460" t="s">
        <v>30</v>
      </c>
      <c r="E460" t="s">
        <v>15</v>
      </c>
      <c r="F460" t="s">
        <v>27</v>
      </c>
      <c r="G460" t="s">
        <v>31</v>
      </c>
      <c r="H460">
        <v>1</v>
      </c>
      <c r="I460">
        <v>7762</v>
      </c>
      <c r="J460">
        <v>0.15</v>
      </c>
      <c r="K460">
        <v>6597.7</v>
      </c>
      <c r="L460">
        <v>1762.23</v>
      </c>
      <c r="M460" t="str">
        <f t="shared" si="63"/>
        <v>Bookshelf</v>
      </c>
      <c r="N460" t="str">
        <f t="shared" si="64"/>
        <v>Hyderabad</v>
      </c>
      <c r="O460" t="str">
        <f t="shared" si="65"/>
        <v>South</v>
      </c>
      <c r="P460" t="str">
        <f t="shared" si="66"/>
        <v>Furniture</v>
      </c>
      <c r="Q460" t="str">
        <f t="shared" si="67"/>
        <v>Furniture</v>
      </c>
      <c r="R460" t="str">
        <f t="shared" si="68"/>
        <v>South</v>
      </c>
      <c r="S460" t="str">
        <f t="shared" si="69"/>
        <v>Hyderabad</v>
      </c>
      <c r="T460">
        <f t="shared" si="70"/>
        <v>6597.7</v>
      </c>
      <c r="U460" t="str">
        <f t="shared" si="71"/>
        <v>OK</v>
      </c>
    </row>
    <row r="461" spans="1:21" x14ac:dyDescent="0.3">
      <c r="A461" t="s">
        <v>685</v>
      </c>
      <c r="B461" s="3">
        <v>45841</v>
      </c>
      <c r="C461" t="s">
        <v>131</v>
      </c>
      <c r="D461" t="s">
        <v>43</v>
      </c>
      <c r="E461" t="s">
        <v>44</v>
      </c>
      <c r="F461" t="s">
        <v>16</v>
      </c>
      <c r="G461" t="s">
        <v>52</v>
      </c>
      <c r="H461">
        <v>2</v>
      </c>
      <c r="I461">
        <v>481</v>
      </c>
      <c r="J461">
        <v>0.2</v>
      </c>
      <c r="K461">
        <v>769.6</v>
      </c>
      <c r="L461">
        <v>130.33000000000001</v>
      </c>
      <c r="M461" t="str">
        <f t="shared" si="63"/>
        <v>Phone Holder</v>
      </c>
      <c r="N461" t="str">
        <f t="shared" si="64"/>
        <v>Kolkata</v>
      </c>
      <c r="O461" t="str">
        <f t="shared" si="65"/>
        <v>East</v>
      </c>
      <c r="P461" t="str">
        <f t="shared" si="66"/>
        <v>Accessories</v>
      </c>
      <c r="Q461" t="str">
        <f t="shared" si="67"/>
        <v>Accessories</v>
      </c>
      <c r="R461" t="str">
        <f t="shared" si="68"/>
        <v>East</v>
      </c>
      <c r="S461" t="str">
        <f t="shared" si="69"/>
        <v>Kolkata</v>
      </c>
      <c r="T461">
        <f t="shared" si="70"/>
        <v>769.6</v>
      </c>
      <c r="U461" t="str">
        <f t="shared" si="71"/>
        <v>OK</v>
      </c>
    </row>
    <row r="462" spans="1:21" x14ac:dyDescent="0.3">
      <c r="A462" t="s">
        <v>686</v>
      </c>
      <c r="B462" s="3">
        <v>46017</v>
      </c>
      <c r="C462" t="s">
        <v>77</v>
      </c>
      <c r="D462" t="s">
        <v>92</v>
      </c>
      <c r="E462" t="s">
        <v>51</v>
      </c>
      <c r="F462" t="s">
        <v>58</v>
      </c>
      <c r="G462" t="s">
        <v>69</v>
      </c>
      <c r="H462">
        <v>2</v>
      </c>
      <c r="I462">
        <v>23470</v>
      </c>
      <c r="J462">
        <v>0.15</v>
      </c>
      <c r="K462">
        <v>39899</v>
      </c>
      <c r="L462">
        <v>9233.01</v>
      </c>
      <c r="M462" t="str">
        <f t="shared" si="63"/>
        <v>Monitor</v>
      </c>
      <c r="N462" t="str">
        <f t="shared" si="64"/>
        <v>Jaipur</v>
      </c>
      <c r="O462" t="str">
        <f t="shared" si="65"/>
        <v>North</v>
      </c>
      <c r="P462" t="str">
        <f t="shared" si="66"/>
        <v>Electronics</v>
      </c>
      <c r="Q462" t="str">
        <f t="shared" si="67"/>
        <v>Electronics</v>
      </c>
      <c r="R462" t="str">
        <f t="shared" si="68"/>
        <v>North</v>
      </c>
      <c r="S462" t="str">
        <f t="shared" si="69"/>
        <v>Jaipur</v>
      </c>
      <c r="T462">
        <f t="shared" si="70"/>
        <v>39899</v>
      </c>
      <c r="U462" t="str">
        <f t="shared" si="71"/>
        <v>OK</v>
      </c>
    </row>
    <row r="463" spans="1:21" x14ac:dyDescent="0.3">
      <c r="A463" t="s">
        <v>687</v>
      </c>
      <c r="B463" s="3">
        <v>45701</v>
      </c>
      <c r="C463" t="s">
        <v>326</v>
      </c>
      <c r="D463" t="s">
        <v>120</v>
      </c>
      <c r="E463" t="s">
        <v>51</v>
      </c>
      <c r="F463" t="s">
        <v>58</v>
      </c>
      <c r="G463" t="s">
        <v>126</v>
      </c>
      <c r="H463">
        <v>1</v>
      </c>
      <c r="I463">
        <v>1124</v>
      </c>
      <c r="J463">
        <v>0.2</v>
      </c>
      <c r="K463">
        <v>899.2</v>
      </c>
      <c r="L463">
        <v>232.99</v>
      </c>
      <c r="M463" t="str">
        <f t="shared" si="63"/>
        <v>Mouse</v>
      </c>
      <c r="N463" t="str">
        <f t="shared" si="64"/>
        <v>Delhi</v>
      </c>
      <c r="O463" t="str">
        <f t="shared" si="65"/>
        <v>North</v>
      </c>
      <c r="P463" t="str">
        <f t="shared" si="66"/>
        <v>Electronics</v>
      </c>
      <c r="Q463" t="str">
        <f t="shared" si="67"/>
        <v>Electronics</v>
      </c>
      <c r="R463" t="str">
        <f t="shared" si="68"/>
        <v>North</v>
      </c>
      <c r="S463" t="str">
        <f t="shared" si="69"/>
        <v>Delhi</v>
      </c>
      <c r="T463">
        <f t="shared" si="70"/>
        <v>899.2</v>
      </c>
      <c r="U463" t="str">
        <f t="shared" si="71"/>
        <v>OK</v>
      </c>
    </row>
    <row r="464" spans="1:21" x14ac:dyDescent="0.3">
      <c r="A464" t="s">
        <v>688</v>
      </c>
      <c r="B464" s="3">
        <v>45903</v>
      </c>
      <c r="C464" t="s">
        <v>139</v>
      </c>
      <c r="D464" t="s">
        <v>30</v>
      </c>
      <c r="E464" t="s">
        <v>15</v>
      </c>
      <c r="F464" t="s">
        <v>21</v>
      </c>
      <c r="G464" t="s">
        <v>35</v>
      </c>
      <c r="H464">
        <v>1</v>
      </c>
      <c r="I464">
        <v>6254</v>
      </c>
      <c r="J464">
        <v>0.05</v>
      </c>
      <c r="K464">
        <v>5941.3</v>
      </c>
      <c r="L464">
        <v>986.21</v>
      </c>
      <c r="M464" t="str">
        <f t="shared" si="63"/>
        <v>Bookshelf</v>
      </c>
      <c r="N464" t="str">
        <f t="shared" si="64"/>
        <v>Mumbai</v>
      </c>
      <c r="O464" t="str">
        <f t="shared" si="65"/>
        <v>West</v>
      </c>
      <c r="P464" t="str">
        <f t="shared" si="66"/>
        <v>Furniture</v>
      </c>
      <c r="Q464" t="str">
        <f t="shared" si="67"/>
        <v>Furniture</v>
      </c>
      <c r="R464" t="str">
        <f t="shared" si="68"/>
        <v>West</v>
      </c>
      <c r="S464" t="str">
        <f t="shared" si="69"/>
        <v>Mumbai</v>
      </c>
      <c r="T464">
        <f t="shared" si="70"/>
        <v>5941.2999999999993</v>
      </c>
      <c r="U464" t="str">
        <f t="shared" si="71"/>
        <v>OK</v>
      </c>
    </row>
    <row r="465" spans="1:21" x14ac:dyDescent="0.3">
      <c r="A465" t="s">
        <v>689</v>
      </c>
      <c r="B465" s="3">
        <v>45951</v>
      </c>
      <c r="C465" t="s">
        <v>194</v>
      </c>
      <c r="D465" t="s">
        <v>97</v>
      </c>
      <c r="E465" t="s">
        <v>44</v>
      </c>
      <c r="F465" t="s">
        <v>27</v>
      </c>
      <c r="G465" t="s">
        <v>28</v>
      </c>
      <c r="H465">
        <v>2</v>
      </c>
      <c r="I465">
        <v>1152</v>
      </c>
      <c r="J465">
        <v>0</v>
      </c>
      <c r="K465">
        <v>2304</v>
      </c>
      <c r="L465">
        <v>522.49</v>
      </c>
      <c r="M465" t="str">
        <f t="shared" si="63"/>
        <v>USB Cable</v>
      </c>
      <c r="N465" t="str">
        <f t="shared" si="64"/>
        <v>Bengaluru</v>
      </c>
      <c r="O465" t="str">
        <f t="shared" si="65"/>
        <v>South</v>
      </c>
      <c r="P465" t="str">
        <f t="shared" si="66"/>
        <v>Accessories</v>
      </c>
      <c r="Q465" t="str">
        <f t="shared" si="67"/>
        <v>Accessories</v>
      </c>
      <c r="R465" t="str">
        <f t="shared" si="68"/>
        <v>South</v>
      </c>
      <c r="S465" t="str">
        <f t="shared" si="69"/>
        <v>Bengaluru</v>
      </c>
      <c r="T465">
        <f t="shared" si="70"/>
        <v>2304</v>
      </c>
      <c r="U465" t="str">
        <f t="shared" si="71"/>
        <v>OK</v>
      </c>
    </row>
    <row r="466" spans="1:21" x14ac:dyDescent="0.3">
      <c r="A466" t="s">
        <v>690</v>
      </c>
      <c r="B466" s="3">
        <v>45727</v>
      </c>
      <c r="C466" t="s">
        <v>501</v>
      </c>
      <c r="D466" t="s">
        <v>80</v>
      </c>
      <c r="E466" t="s">
        <v>51</v>
      </c>
      <c r="F466" t="s">
        <v>27</v>
      </c>
      <c r="G466" t="s">
        <v>28</v>
      </c>
      <c r="H466">
        <v>4</v>
      </c>
      <c r="I466">
        <v>58758</v>
      </c>
      <c r="J466">
        <v>0.15</v>
      </c>
      <c r="K466">
        <v>199777.2</v>
      </c>
      <c r="L466">
        <v>42299.28</v>
      </c>
      <c r="M466" t="str">
        <f t="shared" si="63"/>
        <v>Laptop</v>
      </c>
      <c r="N466" t="str">
        <f t="shared" si="64"/>
        <v>Bengaluru</v>
      </c>
      <c r="O466" t="str">
        <f t="shared" si="65"/>
        <v>South</v>
      </c>
      <c r="P466" t="str">
        <f t="shared" si="66"/>
        <v>Electronics</v>
      </c>
      <c r="Q466" t="str">
        <f t="shared" si="67"/>
        <v>Electronics</v>
      </c>
      <c r="R466" t="str">
        <f t="shared" si="68"/>
        <v>South</v>
      </c>
      <c r="S466" t="str">
        <f t="shared" si="69"/>
        <v>Bengaluru</v>
      </c>
      <c r="T466">
        <f t="shared" si="70"/>
        <v>199777.19999999998</v>
      </c>
      <c r="U466" t="str">
        <f t="shared" si="71"/>
        <v>OK</v>
      </c>
    </row>
    <row r="467" spans="1:21" x14ac:dyDescent="0.3">
      <c r="A467" t="s">
        <v>691</v>
      </c>
      <c r="B467" s="3">
        <v>45849</v>
      </c>
      <c r="C467" t="s">
        <v>102</v>
      </c>
      <c r="D467" t="s">
        <v>50</v>
      </c>
      <c r="E467" t="s">
        <v>51</v>
      </c>
      <c r="F467" t="s">
        <v>27</v>
      </c>
      <c r="G467" t="s">
        <v>31</v>
      </c>
      <c r="H467">
        <v>4</v>
      </c>
      <c r="I467">
        <v>1879</v>
      </c>
      <c r="J467">
        <v>0.05</v>
      </c>
      <c r="K467">
        <v>7140.2</v>
      </c>
      <c r="L467">
        <v>586.65</v>
      </c>
      <c r="M467" t="str">
        <f t="shared" si="63"/>
        <v>Keyboard</v>
      </c>
      <c r="N467" t="str">
        <f t="shared" si="64"/>
        <v>Hyderabad</v>
      </c>
      <c r="O467" t="str">
        <f t="shared" si="65"/>
        <v>South</v>
      </c>
      <c r="P467" t="str">
        <f t="shared" si="66"/>
        <v>Electronics</v>
      </c>
      <c r="Q467" t="str">
        <f t="shared" si="67"/>
        <v>Electronics</v>
      </c>
      <c r="R467" t="str">
        <f t="shared" si="68"/>
        <v>South</v>
      </c>
      <c r="S467" t="str">
        <f t="shared" si="69"/>
        <v>Hyderabad</v>
      </c>
      <c r="T467">
        <f t="shared" si="70"/>
        <v>7140.2</v>
      </c>
      <c r="U467" t="str">
        <f t="shared" si="71"/>
        <v>OK</v>
      </c>
    </row>
    <row r="468" spans="1:21" x14ac:dyDescent="0.3">
      <c r="A468" t="s">
        <v>692</v>
      </c>
      <c r="B468" s="3">
        <v>45968</v>
      </c>
      <c r="C468" t="s">
        <v>412</v>
      </c>
      <c r="D468" t="s">
        <v>307</v>
      </c>
      <c r="E468" t="s">
        <v>73</v>
      </c>
      <c r="F468" t="s">
        <v>58</v>
      </c>
      <c r="G468" t="s">
        <v>126</v>
      </c>
      <c r="H468">
        <v>1</v>
      </c>
      <c r="I468">
        <v>114</v>
      </c>
      <c r="J468">
        <v>0.1</v>
      </c>
      <c r="K468">
        <v>102.6</v>
      </c>
      <c r="L468">
        <v>12.85</v>
      </c>
      <c r="M468" t="str">
        <f t="shared" si="63"/>
        <v>Notebook</v>
      </c>
      <c r="N468" t="str">
        <f t="shared" si="64"/>
        <v>Delhi</v>
      </c>
      <c r="O468" t="str">
        <f t="shared" si="65"/>
        <v>North</v>
      </c>
      <c r="P468" t="str">
        <f t="shared" si="66"/>
        <v>Office Supplies</v>
      </c>
      <c r="Q468" t="str">
        <f t="shared" si="67"/>
        <v>Office Supplies</v>
      </c>
      <c r="R468" t="str">
        <f t="shared" si="68"/>
        <v>North</v>
      </c>
      <c r="S468" t="str">
        <f t="shared" si="69"/>
        <v>Delhi</v>
      </c>
      <c r="T468">
        <f t="shared" si="70"/>
        <v>102.60000000000001</v>
      </c>
      <c r="U468" t="str">
        <f t="shared" si="71"/>
        <v>OK</v>
      </c>
    </row>
    <row r="469" spans="1:21" x14ac:dyDescent="0.3">
      <c r="A469" t="s">
        <v>693</v>
      </c>
      <c r="B469" s="3">
        <v>45687</v>
      </c>
      <c r="C469" t="s">
        <v>217</v>
      </c>
      <c r="D469" t="s">
        <v>47</v>
      </c>
      <c r="E469" t="s">
        <v>26</v>
      </c>
      <c r="F469" t="s">
        <v>21</v>
      </c>
      <c r="G469" t="s">
        <v>22</v>
      </c>
      <c r="H469">
        <v>4</v>
      </c>
      <c r="I469">
        <v>10346</v>
      </c>
      <c r="J469">
        <v>0.15</v>
      </c>
      <c r="K469">
        <v>35176.400000000001</v>
      </c>
      <c r="L469">
        <v>8368.41</v>
      </c>
      <c r="M469" t="str">
        <f t="shared" si="63"/>
        <v>Air Purifier</v>
      </c>
      <c r="N469" t="str">
        <f t="shared" si="64"/>
        <v>Ahmedabad</v>
      </c>
      <c r="O469" t="str">
        <f t="shared" si="65"/>
        <v>West</v>
      </c>
      <c r="P469" t="str">
        <f t="shared" si="66"/>
        <v>Home Appliances</v>
      </c>
      <c r="Q469" t="str">
        <f t="shared" si="67"/>
        <v>Home Appliances</v>
      </c>
      <c r="R469" t="str">
        <f t="shared" si="68"/>
        <v>West</v>
      </c>
      <c r="S469" t="str">
        <f t="shared" si="69"/>
        <v>Ahmedabad</v>
      </c>
      <c r="T469">
        <f t="shared" si="70"/>
        <v>35176.400000000001</v>
      </c>
      <c r="U469" t="str">
        <f t="shared" si="71"/>
        <v>OK</v>
      </c>
    </row>
    <row r="470" spans="1:21" x14ac:dyDescent="0.3">
      <c r="A470" t="s">
        <v>694</v>
      </c>
      <c r="B470" s="3">
        <v>45760</v>
      </c>
      <c r="C470" t="s">
        <v>61</v>
      </c>
      <c r="D470" t="s">
        <v>307</v>
      </c>
      <c r="E470" t="s">
        <v>73</v>
      </c>
      <c r="F470" t="s">
        <v>27</v>
      </c>
      <c r="G470" t="s">
        <v>28</v>
      </c>
      <c r="H470">
        <v>5</v>
      </c>
      <c r="I470">
        <v>240</v>
      </c>
      <c r="J470">
        <v>0.05</v>
      </c>
      <c r="K470">
        <v>1140</v>
      </c>
      <c r="L470">
        <v>102.68</v>
      </c>
      <c r="M470" t="str">
        <f t="shared" si="63"/>
        <v>Notebook</v>
      </c>
      <c r="N470" t="str">
        <f t="shared" si="64"/>
        <v>Bengaluru</v>
      </c>
      <c r="O470" t="str">
        <f t="shared" si="65"/>
        <v>South</v>
      </c>
      <c r="P470" t="str">
        <f t="shared" si="66"/>
        <v>Office Supplies</v>
      </c>
      <c r="Q470" t="str">
        <f t="shared" si="67"/>
        <v>Office Supplies</v>
      </c>
      <c r="R470" t="str">
        <f t="shared" si="68"/>
        <v>South</v>
      </c>
      <c r="S470" t="str">
        <f t="shared" si="69"/>
        <v>Bengaluru</v>
      </c>
      <c r="T470">
        <f t="shared" si="70"/>
        <v>1140</v>
      </c>
      <c r="U470" t="str">
        <f t="shared" si="71"/>
        <v>OK</v>
      </c>
    </row>
    <row r="471" spans="1:21" x14ac:dyDescent="0.3">
      <c r="A471" t="s">
        <v>695</v>
      </c>
      <c r="B471" s="3">
        <v>45697</v>
      </c>
      <c r="C471" t="s">
        <v>278</v>
      </c>
      <c r="D471" t="s">
        <v>80</v>
      </c>
      <c r="E471" t="s">
        <v>51</v>
      </c>
      <c r="F471" t="s">
        <v>16</v>
      </c>
      <c r="G471" t="s">
        <v>104</v>
      </c>
      <c r="H471">
        <v>5</v>
      </c>
      <c r="I471">
        <v>67977</v>
      </c>
      <c r="J471">
        <v>0</v>
      </c>
      <c r="K471">
        <v>339885</v>
      </c>
      <c r="L471">
        <v>74010.81</v>
      </c>
      <c r="M471" t="str">
        <f t="shared" si="63"/>
        <v>Laptop</v>
      </c>
      <c r="N471" t="str">
        <f t="shared" si="64"/>
        <v>Bhubaneswar</v>
      </c>
      <c r="O471" t="str">
        <f t="shared" si="65"/>
        <v>East</v>
      </c>
      <c r="P471" t="str">
        <f t="shared" si="66"/>
        <v>Electronics</v>
      </c>
      <c r="Q471" t="str">
        <f t="shared" si="67"/>
        <v>Electronics</v>
      </c>
      <c r="R471" t="str">
        <f t="shared" si="68"/>
        <v>East</v>
      </c>
      <c r="S471" t="str">
        <f t="shared" si="69"/>
        <v>Bhubaneswar</v>
      </c>
      <c r="T471">
        <f t="shared" si="70"/>
        <v>339885</v>
      </c>
      <c r="U471" t="str">
        <f t="shared" si="71"/>
        <v>OK</v>
      </c>
    </row>
    <row r="472" spans="1:21" x14ac:dyDescent="0.3">
      <c r="A472" t="s">
        <v>696</v>
      </c>
      <c r="B472" s="3">
        <v>45756</v>
      </c>
      <c r="C472" t="s">
        <v>482</v>
      </c>
      <c r="D472" t="s">
        <v>97</v>
      </c>
      <c r="E472" t="s">
        <v>44</v>
      </c>
      <c r="F472" t="s">
        <v>27</v>
      </c>
      <c r="G472" t="s">
        <v>40</v>
      </c>
      <c r="H472">
        <v>1</v>
      </c>
      <c r="I472">
        <v>594</v>
      </c>
      <c r="J472">
        <v>0.15</v>
      </c>
      <c r="K472">
        <v>504.9</v>
      </c>
      <c r="L472">
        <v>73.53</v>
      </c>
      <c r="M472" t="str">
        <f t="shared" si="63"/>
        <v>USB Cable</v>
      </c>
      <c r="N472" t="str">
        <f t="shared" si="64"/>
        <v>Chennai</v>
      </c>
      <c r="O472" t="str">
        <f t="shared" si="65"/>
        <v>South</v>
      </c>
      <c r="P472" t="str">
        <f t="shared" si="66"/>
        <v>Accessories</v>
      </c>
      <c r="Q472" t="str">
        <f t="shared" si="67"/>
        <v>Accessories</v>
      </c>
      <c r="R472" t="str">
        <f t="shared" si="68"/>
        <v>South</v>
      </c>
      <c r="S472" t="str">
        <f t="shared" si="69"/>
        <v>Chennai</v>
      </c>
      <c r="T472">
        <f t="shared" si="70"/>
        <v>504.9</v>
      </c>
      <c r="U472" t="str">
        <f t="shared" si="71"/>
        <v>OK</v>
      </c>
    </row>
    <row r="473" spans="1:21" x14ac:dyDescent="0.3">
      <c r="A473" t="s">
        <v>697</v>
      </c>
      <c r="B473" s="3">
        <v>45919</v>
      </c>
      <c r="C473" t="s">
        <v>310</v>
      </c>
      <c r="D473" t="s">
        <v>80</v>
      </c>
      <c r="E473" t="s">
        <v>51</v>
      </c>
      <c r="F473" t="s">
        <v>21</v>
      </c>
      <c r="G473" t="s">
        <v>55</v>
      </c>
      <c r="H473">
        <v>2</v>
      </c>
      <c r="I473">
        <v>52307</v>
      </c>
      <c r="J473">
        <v>0</v>
      </c>
      <c r="K473">
        <v>104614</v>
      </c>
      <c r="L473">
        <v>20430.54</v>
      </c>
      <c r="M473" t="str">
        <f t="shared" si="63"/>
        <v>Laptop</v>
      </c>
      <c r="N473" t="str">
        <f t="shared" si="64"/>
        <v>Pune</v>
      </c>
      <c r="O473" t="str">
        <f t="shared" si="65"/>
        <v>West</v>
      </c>
      <c r="P473" t="str">
        <f t="shared" si="66"/>
        <v>Electronics</v>
      </c>
      <c r="Q473" t="str">
        <f t="shared" si="67"/>
        <v>Electronics</v>
      </c>
      <c r="R473" t="str">
        <f t="shared" si="68"/>
        <v>West</v>
      </c>
      <c r="S473" t="str">
        <f t="shared" si="69"/>
        <v>Pune</v>
      </c>
      <c r="T473">
        <f t="shared" si="70"/>
        <v>104614</v>
      </c>
      <c r="U473" t="str">
        <f t="shared" si="71"/>
        <v>OK</v>
      </c>
    </row>
    <row r="474" spans="1:21" x14ac:dyDescent="0.3">
      <c r="A474" t="s">
        <v>698</v>
      </c>
      <c r="B474" s="3">
        <v>45717</v>
      </c>
      <c r="C474" t="s">
        <v>448</v>
      </c>
      <c r="D474" t="s">
        <v>88</v>
      </c>
      <c r="E474" t="s">
        <v>73</v>
      </c>
      <c r="F474" t="s">
        <v>58</v>
      </c>
      <c r="G474" t="s">
        <v>59</v>
      </c>
      <c r="H474">
        <v>1</v>
      </c>
      <c r="I474">
        <v>567</v>
      </c>
      <c r="J474">
        <v>0.1</v>
      </c>
      <c r="K474">
        <v>510.3</v>
      </c>
      <c r="L474">
        <v>95.08</v>
      </c>
      <c r="M474" t="str">
        <f t="shared" si="63"/>
        <v>Stapler</v>
      </c>
      <c r="N474" t="str">
        <f t="shared" si="64"/>
        <v>Chandigarh</v>
      </c>
      <c r="O474" t="str">
        <f t="shared" si="65"/>
        <v>North</v>
      </c>
      <c r="P474" t="str">
        <f t="shared" si="66"/>
        <v>Office Supplies</v>
      </c>
      <c r="Q474" t="str">
        <f t="shared" si="67"/>
        <v>Office Supplies</v>
      </c>
      <c r="R474" t="str">
        <f t="shared" si="68"/>
        <v>North</v>
      </c>
      <c r="S474" t="str">
        <f t="shared" si="69"/>
        <v>Chandigarh</v>
      </c>
      <c r="T474">
        <f t="shared" si="70"/>
        <v>510.3</v>
      </c>
      <c r="U474" t="str">
        <f t="shared" si="71"/>
        <v>OK</v>
      </c>
    </row>
    <row r="475" spans="1:21" x14ac:dyDescent="0.3">
      <c r="A475" t="s">
        <v>699</v>
      </c>
      <c r="B475" s="3">
        <v>45855</v>
      </c>
      <c r="C475" t="s">
        <v>141</v>
      </c>
      <c r="D475" t="s">
        <v>68</v>
      </c>
      <c r="E475" t="s">
        <v>44</v>
      </c>
      <c r="F475" t="s">
        <v>21</v>
      </c>
      <c r="G475" t="s">
        <v>55</v>
      </c>
      <c r="H475">
        <v>2</v>
      </c>
      <c r="I475">
        <v>5639</v>
      </c>
      <c r="J475">
        <v>0.05</v>
      </c>
      <c r="K475">
        <v>10714.1</v>
      </c>
      <c r="L475">
        <v>2845.88</v>
      </c>
      <c r="M475" t="str">
        <f t="shared" si="63"/>
        <v>Webcam</v>
      </c>
      <c r="N475" t="str">
        <f t="shared" si="64"/>
        <v>Pune</v>
      </c>
      <c r="O475" t="str">
        <f t="shared" si="65"/>
        <v>West</v>
      </c>
      <c r="P475" t="str">
        <f t="shared" si="66"/>
        <v>Accessories</v>
      </c>
      <c r="Q475" t="str">
        <f t="shared" si="67"/>
        <v>Accessories</v>
      </c>
      <c r="R475" t="str">
        <f t="shared" si="68"/>
        <v>West</v>
      </c>
      <c r="S475" t="str">
        <f t="shared" si="69"/>
        <v>Pune</v>
      </c>
      <c r="T475">
        <f t="shared" si="70"/>
        <v>10714.1</v>
      </c>
      <c r="U475" t="str">
        <f t="shared" si="71"/>
        <v>OK</v>
      </c>
    </row>
    <row r="476" spans="1:21" x14ac:dyDescent="0.3">
      <c r="A476" t="s">
        <v>700</v>
      </c>
      <c r="B476" s="3">
        <v>45676</v>
      </c>
      <c r="C476" t="s">
        <v>319</v>
      </c>
      <c r="D476" t="s">
        <v>120</v>
      </c>
      <c r="E476" t="s">
        <v>51</v>
      </c>
      <c r="F476" t="s">
        <v>16</v>
      </c>
      <c r="G476" t="s">
        <v>17</v>
      </c>
      <c r="H476">
        <v>3</v>
      </c>
      <c r="I476">
        <v>479</v>
      </c>
      <c r="J476">
        <v>0.1</v>
      </c>
      <c r="K476">
        <v>1293.3</v>
      </c>
      <c r="L476">
        <v>271.14</v>
      </c>
      <c r="M476" t="str">
        <f t="shared" si="63"/>
        <v>Mouse</v>
      </c>
      <c r="N476" t="str">
        <f t="shared" si="64"/>
        <v>Guwahati</v>
      </c>
      <c r="O476" t="str">
        <f t="shared" si="65"/>
        <v>East</v>
      </c>
      <c r="P476" t="str">
        <f t="shared" si="66"/>
        <v>Electronics</v>
      </c>
      <c r="Q476" t="str">
        <f t="shared" si="67"/>
        <v>Electronics</v>
      </c>
      <c r="R476" t="str">
        <f t="shared" si="68"/>
        <v>East</v>
      </c>
      <c r="S476" t="str">
        <f t="shared" si="69"/>
        <v>Guwahati</v>
      </c>
      <c r="T476">
        <f t="shared" si="70"/>
        <v>1293.3</v>
      </c>
      <c r="U476" t="str">
        <f t="shared" si="71"/>
        <v>OK</v>
      </c>
    </row>
    <row r="477" spans="1:21" x14ac:dyDescent="0.3">
      <c r="A477" t="s">
        <v>701</v>
      </c>
      <c r="B477" s="3">
        <v>45802</v>
      </c>
      <c r="C477" t="s">
        <v>116</v>
      </c>
      <c r="D477" t="s">
        <v>65</v>
      </c>
      <c r="E477" t="s">
        <v>26</v>
      </c>
      <c r="F477" t="s">
        <v>27</v>
      </c>
      <c r="G477" t="s">
        <v>28</v>
      </c>
      <c r="H477">
        <v>4</v>
      </c>
      <c r="I477">
        <v>4375</v>
      </c>
      <c r="J477">
        <v>0.05</v>
      </c>
      <c r="K477">
        <v>16625</v>
      </c>
      <c r="L477">
        <v>3823.84</v>
      </c>
      <c r="M477" t="str">
        <f t="shared" si="63"/>
        <v>Electric Kettle</v>
      </c>
      <c r="N477" t="str">
        <f t="shared" si="64"/>
        <v>Bengaluru</v>
      </c>
      <c r="O477" t="str">
        <f t="shared" si="65"/>
        <v>South</v>
      </c>
      <c r="P477" t="str">
        <f t="shared" si="66"/>
        <v>Home Appliances</v>
      </c>
      <c r="Q477" t="str">
        <f t="shared" si="67"/>
        <v>Home Appliances</v>
      </c>
      <c r="R477" t="str">
        <f t="shared" si="68"/>
        <v>South</v>
      </c>
      <c r="S477" t="str">
        <f t="shared" si="69"/>
        <v>Bengaluru</v>
      </c>
      <c r="T477">
        <f t="shared" si="70"/>
        <v>16625</v>
      </c>
      <c r="U477" t="str">
        <f t="shared" si="71"/>
        <v>OK</v>
      </c>
    </row>
    <row r="478" spans="1:21" x14ac:dyDescent="0.3">
      <c r="A478" t="s">
        <v>702</v>
      </c>
      <c r="B478" s="3">
        <v>45896</v>
      </c>
      <c r="C478" t="s">
        <v>326</v>
      </c>
      <c r="D478" t="s">
        <v>47</v>
      </c>
      <c r="E478" t="s">
        <v>26</v>
      </c>
      <c r="F478" t="s">
        <v>21</v>
      </c>
      <c r="G478" t="s">
        <v>22</v>
      </c>
      <c r="H478">
        <v>1</v>
      </c>
      <c r="I478">
        <v>15345</v>
      </c>
      <c r="J478">
        <v>0</v>
      </c>
      <c r="K478">
        <v>15345</v>
      </c>
      <c r="L478">
        <v>4011.95</v>
      </c>
      <c r="M478" t="str">
        <f t="shared" si="63"/>
        <v>Air Purifier</v>
      </c>
      <c r="N478" t="str">
        <f t="shared" si="64"/>
        <v>Ahmedabad</v>
      </c>
      <c r="O478" t="str">
        <f t="shared" si="65"/>
        <v>West</v>
      </c>
      <c r="P478" t="str">
        <f t="shared" si="66"/>
        <v>Home Appliances</v>
      </c>
      <c r="Q478" t="str">
        <f t="shared" si="67"/>
        <v>Home Appliances</v>
      </c>
      <c r="R478" t="str">
        <f t="shared" si="68"/>
        <v>West</v>
      </c>
      <c r="S478" t="str">
        <f t="shared" si="69"/>
        <v>Ahmedabad</v>
      </c>
      <c r="T478">
        <f t="shared" si="70"/>
        <v>15345</v>
      </c>
      <c r="U478" t="str">
        <f t="shared" si="71"/>
        <v>OK</v>
      </c>
    </row>
    <row r="479" spans="1:21" x14ac:dyDescent="0.3">
      <c r="A479" t="s">
        <v>703</v>
      </c>
      <c r="B479" s="3">
        <v>45851</v>
      </c>
      <c r="C479" t="s">
        <v>544</v>
      </c>
      <c r="D479" t="s">
        <v>20</v>
      </c>
      <c r="E479" t="s">
        <v>15</v>
      </c>
      <c r="F479" t="s">
        <v>21</v>
      </c>
      <c r="G479" t="s">
        <v>35</v>
      </c>
      <c r="H479">
        <v>2</v>
      </c>
      <c r="I479">
        <v>7545</v>
      </c>
      <c r="J479">
        <v>0.1</v>
      </c>
      <c r="K479">
        <v>13581</v>
      </c>
      <c r="L479">
        <v>3073.34</v>
      </c>
      <c r="M479" t="str">
        <f t="shared" si="63"/>
        <v>Filing Cabinet</v>
      </c>
      <c r="N479" t="str">
        <f t="shared" si="64"/>
        <v>Mumbai</v>
      </c>
      <c r="O479" t="str">
        <f t="shared" si="65"/>
        <v>West</v>
      </c>
      <c r="P479" t="str">
        <f t="shared" si="66"/>
        <v>Furniture</v>
      </c>
      <c r="Q479" t="str">
        <f t="shared" si="67"/>
        <v>Furniture</v>
      </c>
      <c r="R479" t="str">
        <f t="shared" si="68"/>
        <v>West</v>
      </c>
      <c r="S479" t="str">
        <f t="shared" si="69"/>
        <v>Mumbai</v>
      </c>
      <c r="T479">
        <f t="shared" si="70"/>
        <v>13581</v>
      </c>
      <c r="U479" t="str">
        <f t="shared" si="71"/>
        <v>OK</v>
      </c>
    </row>
    <row r="480" spans="1:21" x14ac:dyDescent="0.3">
      <c r="A480" t="s">
        <v>704</v>
      </c>
      <c r="B480" s="3">
        <v>45760</v>
      </c>
      <c r="C480" t="s">
        <v>705</v>
      </c>
      <c r="D480" t="s">
        <v>202</v>
      </c>
      <c r="E480" t="s">
        <v>44</v>
      </c>
      <c r="F480" t="s">
        <v>21</v>
      </c>
      <c r="G480" t="s">
        <v>22</v>
      </c>
      <c r="H480">
        <v>2</v>
      </c>
      <c r="I480">
        <v>2538</v>
      </c>
      <c r="J480">
        <v>0.05</v>
      </c>
      <c r="K480">
        <v>4822.2</v>
      </c>
      <c r="L480">
        <v>1111.42</v>
      </c>
      <c r="M480" t="str">
        <f t="shared" si="63"/>
        <v>Laptop Stand</v>
      </c>
      <c r="N480" t="str">
        <f t="shared" si="64"/>
        <v>Ahmedabad</v>
      </c>
      <c r="O480" t="str">
        <f t="shared" si="65"/>
        <v>West</v>
      </c>
      <c r="P480" t="str">
        <f t="shared" si="66"/>
        <v>Accessories</v>
      </c>
      <c r="Q480" t="str">
        <f t="shared" si="67"/>
        <v>Accessories</v>
      </c>
      <c r="R480" t="str">
        <f t="shared" si="68"/>
        <v>West</v>
      </c>
      <c r="S480" t="str">
        <f t="shared" si="69"/>
        <v>Ahmedabad</v>
      </c>
      <c r="T480">
        <f t="shared" si="70"/>
        <v>4822.2</v>
      </c>
      <c r="U480" t="str">
        <f t="shared" si="71"/>
        <v>OK</v>
      </c>
    </row>
    <row r="481" spans="1:21" x14ac:dyDescent="0.3">
      <c r="A481" t="s">
        <v>706</v>
      </c>
      <c r="B481" s="3">
        <v>45717</v>
      </c>
      <c r="C481" t="s">
        <v>580</v>
      </c>
      <c r="D481" t="s">
        <v>103</v>
      </c>
      <c r="E481" t="s">
        <v>51</v>
      </c>
      <c r="F481" t="s">
        <v>58</v>
      </c>
      <c r="G481" t="s">
        <v>59</v>
      </c>
      <c r="H481">
        <v>2</v>
      </c>
      <c r="I481">
        <v>8170</v>
      </c>
      <c r="J481">
        <v>0.1</v>
      </c>
      <c r="K481">
        <v>14706</v>
      </c>
      <c r="L481">
        <v>1200.18</v>
      </c>
      <c r="M481" t="str">
        <f t="shared" si="63"/>
        <v>Headphones</v>
      </c>
      <c r="N481" t="str">
        <f t="shared" si="64"/>
        <v>Chandigarh</v>
      </c>
      <c r="O481" t="str">
        <f t="shared" si="65"/>
        <v>North</v>
      </c>
      <c r="P481" t="str">
        <f t="shared" si="66"/>
        <v>Electronics</v>
      </c>
      <c r="Q481" t="str">
        <f t="shared" si="67"/>
        <v>Electronics</v>
      </c>
      <c r="R481" t="str">
        <f t="shared" si="68"/>
        <v>North</v>
      </c>
      <c r="S481" t="str">
        <f t="shared" si="69"/>
        <v>Chandigarh</v>
      </c>
      <c r="T481">
        <f t="shared" si="70"/>
        <v>14706</v>
      </c>
      <c r="U481" t="str">
        <f t="shared" si="71"/>
        <v>OK</v>
      </c>
    </row>
    <row r="482" spans="1:21" x14ac:dyDescent="0.3">
      <c r="A482" t="s">
        <v>707</v>
      </c>
      <c r="B482" s="3">
        <v>45663</v>
      </c>
      <c r="C482" t="s">
        <v>180</v>
      </c>
      <c r="D482" t="s">
        <v>120</v>
      </c>
      <c r="E482" t="s">
        <v>51</v>
      </c>
      <c r="F482" t="s">
        <v>21</v>
      </c>
      <c r="G482" t="s">
        <v>35</v>
      </c>
      <c r="H482">
        <v>1</v>
      </c>
      <c r="I482">
        <v>1920</v>
      </c>
      <c r="J482">
        <v>0.1</v>
      </c>
      <c r="K482">
        <v>1728</v>
      </c>
      <c r="L482">
        <v>315.91000000000003</v>
      </c>
      <c r="M482" t="str">
        <f t="shared" si="63"/>
        <v>Mouse</v>
      </c>
      <c r="N482" t="str">
        <f t="shared" si="64"/>
        <v>Mumbai</v>
      </c>
      <c r="O482" t="str">
        <f t="shared" si="65"/>
        <v>West</v>
      </c>
      <c r="P482" t="str">
        <f t="shared" si="66"/>
        <v>Electronics</v>
      </c>
      <c r="Q482" t="str">
        <f t="shared" si="67"/>
        <v>Electronics</v>
      </c>
      <c r="R482" t="str">
        <f t="shared" si="68"/>
        <v>West</v>
      </c>
      <c r="S482" t="str">
        <f t="shared" si="69"/>
        <v>Mumbai</v>
      </c>
      <c r="T482">
        <f t="shared" si="70"/>
        <v>1728</v>
      </c>
      <c r="U482" t="str">
        <f t="shared" si="71"/>
        <v>OK</v>
      </c>
    </row>
    <row r="483" spans="1:21" x14ac:dyDescent="0.3">
      <c r="A483" t="s">
        <v>708</v>
      </c>
      <c r="B483" s="3">
        <v>45763</v>
      </c>
      <c r="C483" t="s">
        <v>451</v>
      </c>
      <c r="D483" t="s">
        <v>30</v>
      </c>
      <c r="E483" t="s">
        <v>15</v>
      </c>
      <c r="F483" t="s">
        <v>16</v>
      </c>
      <c r="G483" t="s">
        <v>17</v>
      </c>
      <c r="H483">
        <v>1</v>
      </c>
      <c r="I483">
        <v>13794</v>
      </c>
      <c r="J483">
        <v>0.2</v>
      </c>
      <c r="K483">
        <v>11035.2</v>
      </c>
      <c r="L483">
        <v>1754.94</v>
      </c>
      <c r="M483" t="str">
        <f t="shared" si="63"/>
        <v>Bookshelf</v>
      </c>
      <c r="N483" t="str">
        <f t="shared" si="64"/>
        <v>Guwahati</v>
      </c>
      <c r="O483" t="str">
        <f t="shared" si="65"/>
        <v>East</v>
      </c>
      <c r="P483" t="str">
        <f t="shared" si="66"/>
        <v>Furniture</v>
      </c>
      <c r="Q483" t="str">
        <f t="shared" si="67"/>
        <v>Furniture</v>
      </c>
      <c r="R483" t="str">
        <f t="shared" si="68"/>
        <v>East</v>
      </c>
      <c r="S483" t="str">
        <f t="shared" si="69"/>
        <v>Guwahati</v>
      </c>
      <c r="T483">
        <f t="shared" si="70"/>
        <v>11035.2</v>
      </c>
      <c r="U483" t="str">
        <f t="shared" si="71"/>
        <v>OK</v>
      </c>
    </row>
    <row r="484" spans="1:21" x14ac:dyDescent="0.3">
      <c r="A484" t="s">
        <v>709</v>
      </c>
      <c r="B484" s="3">
        <v>45807</v>
      </c>
      <c r="C484" t="s">
        <v>401</v>
      </c>
      <c r="D484" t="s">
        <v>50</v>
      </c>
      <c r="E484" t="s">
        <v>51</v>
      </c>
      <c r="F484" t="s">
        <v>27</v>
      </c>
      <c r="G484" t="s">
        <v>28</v>
      </c>
      <c r="H484">
        <v>3</v>
      </c>
      <c r="I484">
        <v>1518</v>
      </c>
      <c r="J484">
        <v>0.25</v>
      </c>
      <c r="K484">
        <v>3415.5</v>
      </c>
      <c r="L484">
        <v>290.83999999999997</v>
      </c>
      <c r="M484" t="str">
        <f t="shared" si="63"/>
        <v>Keyboard</v>
      </c>
      <c r="N484" t="str">
        <f t="shared" si="64"/>
        <v>Bengaluru</v>
      </c>
      <c r="O484" t="str">
        <f t="shared" si="65"/>
        <v>South</v>
      </c>
      <c r="P484" t="str">
        <f t="shared" si="66"/>
        <v>Electronics</v>
      </c>
      <c r="Q484" t="str">
        <f t="shared" si="67"/>
        <v>Electronics</v>
      </c>
      <c r="R484" t="str">
        <f t="shared" si="68"/>
        <v>South</v>
      </c>
      <c r="S484" t="str">
        <f t="shared" si="69"/>
        <v>Bengaluru</v>
      </c>
      <c r="T484">
        <f t="shared" si="70"/>
        <v>3415.5</v>
      </c>
      <c r="U484" t="str">
        <f t="shared" si="71"/>
        <v>OK</v>
      </c>
    </row>
    <row r="485" spans="1:21" x14ac:dyDescent="0.3">
      <c r="A485" t="s">
        <v>710</v>
      </c>
      <c r="B485" s="3">
        <v>45908</v>
      </c>
      <c r="C485" t="s">
        <v>174</v>
      </c>
      <c r="D485" t="s">
        <v>80</v>
      </c>
      <c r="E485" t="s">
        <v>51</v>
      </c>
      <c r="F485" t="s">
        <v>27</v>
      </c>
      <c r="G485" t="s">
        <v>28</v>
      </c>
      <c r="H485">
        <v>4</v>
      </c>
      <c r="I485">
        <v>52247</v>
      </c>
      <c r="J485">
        <v>0.1</v>
      </c>
      <c r="K485">
        <v>188089.2</v>
      </c>
      <c r="L485">
        <v>23423.73</v>
      </c>
      <c r="M485" t="str">
        <f t="shared" si="63"/>
        <v>Laptop</v>
      </c>
      <c r="N485" t="str">
        <f t="shared" si="64"/>
        <v>Bengaluru</v>
      </c>
      <c r="O485" t="str">
        <f t="shared" si="65"/>
        <v>South</v>
      </c>
      <c r="P485" t="str">
        <f t="shared" si="66"/>
        <v>Electronics</v>
      </c>
      <c r="Q485" t="str">
        <f t="shared" si="67"/>
        <v>Electronics</v>
      </c>
      <c r="R485" t="str">
        <f t="shared" si="68"/>
        <v>South</v>
      </c>
      <c r="S485" t="str">
        <f t="shared" si="69"/>
        <v>Bengaluru</v>
      </c>
      <c r="T485">
        <f t="shared" si="70"/>
        <v>188089.2</v>
      </c>
      <c r="U485" t="str">
        <f t="shared" si="71"/>
        <v>OK</v>
      </c>
    </row>
    <row r="486" spans="1:21" x14ac:dyDescent="0.3">
      <c r="A486" t="s">
        <v>711</v>
      </c>
      <c r="B486" s="3">
        <v>45894</v>
      </c>
      <c r="C486" t="s">
        <v>116</v>
      </c>
      <c r="D486" t="s">
        <v>153</v>
      </c>
      <c r="E486" t="s">
        <v>26</v>
      </c>
      <c r="F486" t="s">
        <v>27</v>
      </c>
      <c r="G486" t="s">
        <v>28</v>
      </c>
      <c r="H486">
        <v>2</v>
      </c>
      <c r="I486">
        <v>5817</v>
      </c>
      <c r="J486">
        <v>0.15</v>
      </c>
      <c r="K486">
        <v>9888.9</v>
      </c>
      <c r="L486">
        <v>2223.48</v>
      </c>
      <c r="M486" t="str">
        <f t="shared" si="63"/>
        <v>Coffee Maker</v>
      </c>
      <c r="N486" t="str">
        <f t="shared" si="64"/>
        <v>Bengaluru</v>
      </c>
      <c r="O486" t="str">
        <f t="shared" si="65"/>
        <v>South</v>
      </c>
      <c r="P486" t="str">
        <f t="shared" si="66"/>
        <v>Home Appliances</v>
      </c>
      <c r="Q486" t="str">
        <f t="shared" si="67"/>
        <v>Home Appliances</v>
      </c>
      <c r="R486" t="str">
        <f t="shared" si="68"/>
        <v>South</v>
      </c>
      <c r="S486" t="str">
        <f t="shared" si="69"/>
        <v>Bengaluru</v>
      </c>
      <c r="T486">
        <f t="shared" si="70"/>
        <v>9888.9</v>
      </c>
      <c r="U486" t="str">
        <f t="shared" si="71"/>
        <v>OK</v>
      </c>
    </row>
    <row r="487" spans="1:21" x14ac:dyDescent="0.3">
      <c r="A487" t="s">
        <v>712</v>
      </c>
      <c r="B487" s="3">
        <v>45991</v>
      </c>
      <c r="C487" t="s">
        <v>713</v>
      </c>
      <c r="D487" t="s">
        <v>30</v>
      </c>
      <c r="E487" t="s">
        <v>15</v>
      </c>
      <c r="F487" t="s">
        <v>58</v>
      </c>
      <c r="G487" t="s">
        <v>126</v>
      </c>
      <c r="H487">
        <v>1</v>
      </c>
      <c r="I487">
        <v>7688</v>
      </c>
      <c r="J487">
        <v>0</v>
      </c>
      <c r="K487">
        <v>7688</v>
      </c>
      <c r="L487">
        <v>976.37</v>
      </c>
      <c r="M487" t="str">
        <f t="shared" si="63"/>
        <v>Bookshelf</v>
      </c>
      <c r="N487" t="str">
        <f t="shared" si="64"/>
        <v>Delhi</v>
      </c>
      <c r="O487" t="str">
        <f t="shared" si="65"/>
        <v>North</v>
      </c>
      <c r="P487" t="str">
        <f t="shared" si="66"/>
        <v>Furniture</v>
      </c>
      <c r="Q487" t="str">
        <f t="shared" si="67"/>
        <v>Furniture</v>
      </c>
      <c r="R487" t="str">
        <f t="shared" si="68"/>
        <v>North</v>
      </c>
      <c r="S487" t="str">
        <f t="shared" si="69"/>
        <v>Delhi</v>
      </c>
      <c r="T487">
        <f t="shared" si="70"/>
        <v>7688</v>
      </c>
      <c r="U487" t="str">
        <f t="shared" si="71"/>
        <v>OK</v>
      </c>
    </row>
    <row r="488" spans="1:21" x14ac:dyDescent="0.3">
      <c r="A488" t="s">
        <v>714</v>
      </c>
      <c r="B488" s="3">
        <v>45866</v>
      </c>
      <c r="C488" t="s">
        <v>354</v>
      </c>
      <c r="D488" t="s">
        <v>97</v>
      </c>
      <c r="E488" t="s">
        <v>44</v>
      </c>
      <c r="F488" t="s">
        <v>16</v>
      </c>
      <c r="G488" t="s">
        <v>17</v>
      </c>
      <c r="H488">
        <v>1</v>
      </c>
      <c r="I488">
        <v>1075</v>
      </c>
      <c r="J488">
        <v>0.2</v>
      </c>
      <c r="K488">
        <v>860</v>
      </c>
      <c r="L488">
        <v>140.97999999999999</v>
      </c>
      <c r="M488" t="str">
        <f t="shared" si="63"/>
        <v>USB Cable</v>
      </c>
      <c r="N488" t="str">
        <f t="shared" si="64"/>
        <v>Guwahati</v>
      </c>
      <c r="O488" t="str">
        <f t="shared" si="65"/>
        <v>East</v>
      </c>
      <c r="P488" t="str">
        <f t="shared" si="66"/>
        <v>Accessories</v>
      </c>
      <c r="Q488" t="str">
        <f t="shared" si="67"/>
        <v>Accessories</v>
      </c>
      <c r="R488" t="str">
        <f t="shared" si="68"/>
        <v>East</v>
      </c>
      <c r="S488" t="str">
        <f t="shared" si="69"/>
        <v>Guwahati</v>
      </c>
      <c r="T488">
        <f t="shared" si="70"/>
        <v>860</v>
      </c>
      <c r="U488" t="str">
        <f t="shared" si="71"/>
        <v>OK</v>
      </c>
    </row>
    <row r="489" spans="1:21" x14ac:dyDescent="0.3">
      <c r="A489" t="s">
        <v>715</v>
      </c>
      <c r="B489" s="3">
        <v>45844</v>
      </c>
      <c r="C489" t="s">
        <v>555</v>
      </c>
      <c r="D489" t="s">
        <v>80</v>
      </c>
      <c r="E489" t="s">
        <v>51</v>
      </c>
      <c r="F489" t="s">
        <v>16</v>
      </c>
      <c r="G489" t="s">
        <v>104</v>
      </c>
      <c r="H489">
        <v>2</v>
      </c>
      <c r="I489">
        <v>45452</v>
      </c>
      <c r="J489">
        <v>0.15</v>
      </c>
      <c r="K489">
        <v>77268.399999999994</v>
      </c>
      <c r="L489">
        <v>10916.99</v>
      </c>
      <c r="M489" t="str">
        <f t="shared" si="63"/>
        <v>Laptop</v>
      </c>
      <c r="N489" t="str">
        <f t="shared" si="64"/>
        <v>Bhubaneswar</v>
      </c>
      <c r="O489" t="str">
        <f t="shared" si="65"/>
        <v>East</v>
      </c>
      <c r="P489" t="str">
        <f t="shared" si="66"/>
        <v>Electronics</v>
      </c>
      <c r="Q489" t="str">
        <f t="shared" si="67"/>
        <v>Electronics</v>
      </c>
      <c r="R489" t="str">
        <f t="shared" si="68"/>
        <v>East</v>
      </c>
      <c r="S489" t="str">
        <f t="shared" si="69"/>
        <v>Bhubaneswar</v>
      </c>
      <c r="T489">
        <f t="shared" si="70"/>
        <v>77268.399999999994</v>
      </c>
      <c r="U489" t="str">
        <f t="shared" si="71"/>
        <v>OK</v>
      </c>
    </row>
    <row r="490" spans="1:21" x14ac:dyDescent="0.3">
      <c r="A490" t="s">
        <v>716</v>
      </c>
      <c r="B490" s="3">
        <v>45903</v>
      </c>
      <c r="C490" t="s">
        <v>191</v>
      </c>
      <c r="D490" t="s">
        <v>72</v>
      </c>
      <c r="E490" t="s">
        <v>73</v>
      </c>
      <c r="F490" t="s">
        <v>58</v>
      </c>
      <c r="G490" t="s">
        <v>59</v>
      </c>
      <c r="H490">
        <v>2</v>
      </c>
      <c r="I490">
        <v>511</v>
      </c>
      <c r="J490">
        <v>0.1</v>
      </c>
      <c r="K490">
        <v>919.8</v>
      </c>
      <c r="L490">
        <v>123.53</v>
      </c>
      <c r="M490" t="str">
        <f t="shared" si="63"/>
        <v>Desk Organizer</v>
      </c>
      <c r="N490" t="str">
        <f t="shared" si="64"/>
        <v>Chandigarh</v>
      </c>
      <c r="O490" t="str">
        <f t="shared" si="65"/>
        <v>North</v>
      </c>
      <c r="P490" t="str">
        <f t="shared" si="66"/>
        <v>Office Supplies</v>
      </c>
      <c r="Q490" t="str">
        <f t="shared" si="67"/>
        <v>Office Supplies</v>
      </c>
      <c r="R490" t="str">
        <f t="shared" si="68"/>
        <v>North</v>
      </c>
      <c r="S490" t="str">
        <f t="shared" si="69"/>
        <v>Chandigarh</v>
      </c>
      <c r="T490">
        <f t="shared" si="70"/>
        <v>919.80000000000007</v>
      </c>
      <c r="U490" t="str">
        <f t="shared" si="71"/>
        <v>OK</v>
      </c>
    </row>
    <row r="491" spans="1:21" x14ac:dyDescent="0.3">
      <c r="A491" t="s">
        <v>717</v>
      </c>
      <c r="B491" s="3">
        <v>45911</v>
      </c>
      <c r="C491" t="s">
        <v>403</v>
      </c>
      <c r="D491" t="s">
        <v>120</v>
      </c>
      <c r="E491" t="s">
        <v>51</v>
      </c>
      <c r="F491" t="s">
        <v>21</v>
      </c>
      <c r="G491" t="s">
        <v>35</v>
      </c>
      <c r="H491">
        <v>1</v>
      </c>
      <c r="I491">
        <v>799</v>
      </c>
      <c r="J491">
        <v>0.05</v>
      </c>
      <c r="K491">
        <v>759.05</v>
      </c>
      <c r="L491">
        <v>100.1</v>
      </c>
      <c r="M491" t="str">
        <f t="shared" si="63"/>
        <v>Mouse</v>
      </c>
      <c r="N491" t="str">
        <f t="shared" si="64"/>
        <v>Mumbai</v>
      </c>
      <c r="O491" t="str">
        <f t="shared" si="65"/>
        <v>West</v>
      </c>
      <c r="P491" t="str">
        <f t="shared" si="66"/>
        <v>Electronics</v>
      </c>
      <c r="Q491" t="str">
        <f t="shared" si="67"/>
        <v>Electronics</v>
      </c>
      <c r="R491" t="str">
        <f t="shared" si="68"/>
        <v>West</v>
      </c>
      <c r="S491" t="str">
        <f t="shared" si="69"/>
        <v>Mumbai</v>
      </c>
      <c r="T491">
        <f t="shared" si="70"/>
        <v>759.05</v>
      </c>
      <c r="U491" t="str">
        <f t="shared" si="71"/>
        <v>OK</v>
      </c>
    </row>
    <row r="492" spans="1:21" x14ac:dyDescent="0.3">
      <c r="A492" t="s">
        <v>718</v>
      </c>
      <c r="B492" s="3">
        <v>46006</v>
      </c>
      <c r="C492" t="s">
        <v>719</v>
      </c>
      <c r="D492" t="s">
        <v>43</v>
      </c>
      <c r="E492" t="s">
        <v>44</v>
      </c>
      <c r="F492" t="s">
        <v>21</v>
      </c>
      <c r="G492" t="s">
        <v>55</v>
      </c>
      <c r="H492">
        <v>2</v>
      </c>
      <c r="I492">
        <v>645</v>
      </c>
      <c r="J492">
        <v>0.05</v>
      </c>
      <c r="K492">
        <v>1225.5</v>
      </c>
      <c r="L492">
        <v>179.41</v>
      </c>
      <c r="M492" t="str">
        <f t="shared" si="63"/>
        <v>Phone Holder</v>
      </c>
      <c r="N492" t="str">
        <f t="shared" si="64"/>
        <v>Pune</v>
      </c>
      <c r="O492" t="str">
        <f t="shared" si="65"/>
        <v>West</v>
      </c>
      <c r="P492" t="str">
        <f t="shared" si="66"/>
        <v>Accessories</v>
      </c>
      <c r="Q492" t="str">
        <f t="shared" si="67"/>
        <v>Accessories</v>
      </c>
      <c r="R492" t="str">
        <f t="shared" si="68"/>
        <v>West</v>
      </c>
      <c r="S492" t="str">
        <f t="shared" si="69"/>
        <v>Pune</v>
      </c>
      <c r="T492">
        <f t="shared" si="70"/>
        <v>1225.5</v>
      </c>
      <c r="U492" t="str">
        <f t="shared" si="71"/>
        <v>OK</v>
      </c>
    </row>
    <row r="493" spans="1:21" x14ac:dyDescent="0.3">
      <c r="A493" t="s">
        <v>720</v>
      </c>
      <c r="B493" s="3">
        <v>45942</v>
      </c>
      <c r="C493" t="s">
        <v>178</v>
      </c>
      <c r="D493" t="s">
        <v>120</v>
      </c>
      <c r="E493" t="s">
        <v>51</v>
      </c>
      <c r="F493" t="s">
        <v>58</v>
      </c>
      <c r="G493" t="s">
        <v>126</v>
      </c>
      <c r="H493">
        <v>1</v>
      </c>
      <c r="I493">
        <v>1110</v>
      </c>
      <c r="J493">
        <v>0.1</v>
      </c>
      <c r="K493">
        <v>999</v>
      </c>
      <c r="L493">
        <v>112.16</v>
      </c>
      <c r="M493" t="str">
        <f t="shared" si="63"/>
        <v>Mouse</v>
      </c>
      <c r="N493" t="str">
        <f t="shared" si="64"/>
        <v>Delhi</v>
      </c>
      <c r="O493" t="str">
        <f t="shared" si="65"/>
        <v>North</v>
      </c>
      <c r="P493" t="str">
        <f t="shared" si="66"/>
        <v>Electronics</v>
      </c>
      <c r="Q493" t="str">
        <f t="shared" si="67"/>
        <v>Electronics</v>
      </c>
      <c r="R493" t="str">
        <f t="shared" si="68"/>
        <v>North</v>
      </c>
      <c r="S493" t="str">
        <f t="shared" si="69"/>
        <v>Delhi</v>
      </c>
      <c r="T493">
        <f t="shared" si="70"/>
        <v>999</v>
      </c>
      <c r="U493" t="str">
        <f t="shared" si="71"/>
        <v>OK</v>
      </c>
    </row>
    <row r="494" spans="1:21" x14ac:dyDescent="0.3">
      <c r="A494" t="s">
        <v>721</v>
      </c>
      <c r="B494" s="3">
        <v>45942</v>
      </c>
      <c r="C494" t="s">
        <v>463</v>
      </c>
      <c r="D494" t="s">
        <v>103</v>
      </c>
      <c r="E494" t="s">
        <v>51</v>
      </c>
      <c r="F494" t="s">
        <v>16</v>
      </c>
      <c r="G494" t="s">
        <v>17</v>
      </c>
      <c r="H494">
        <v>1</v>
      </c>
      <c r="I494">
        <v>3292</v>
      </c>
      <c r="J494">
        <v>0.05</v>
      </c>
      <c r="K494">
        <v>3127.4</v>
      </c>
      <c r="L494">
        <v>505.67</v>
      </c>
      <c r="M494" t="str">
        <f t="shared" si="63"/>
        <v>Headphones</v>
      </c>
      <c r="N494" t="str">
        <f t="shared" si="64"/>
        <v>Guwahati</v>
      </c>
      <c r="O494" t="str">
        <f t="shared" si="65"/>
        <v>East</v>
      </c>
      <c r="P494" t="str">
        <f t="shared" si="66"/>
        <v>Electronics</v>
      </c>
      <c r="Q494" t="str">
        <f t="shared" si="67"/>
        <v>Electronics</v>
      </c>
      <c r="R494" t="str">
        <f t="shared" si="68"/>
        <v>East</v>
      </c>
      <c r="S494" t="str">
        <f t="shared" si="69"/>
        <v>Guwahati</v>
      </c>
      <c r="T494">
        <f t="shared" si="70"/>
        <v>3127.3999999999996</v>
      </c>
      <c r="U494" t="str">
        <f t="shared" si="71"/>
        <v>OK</v>
      </c>
    </row>
    <row r="495" spans="1:21" x14ac:dyDescent="0.3">
      <c r="A495" t="s">
        <v>722</v>
      </c>
      <c r="B495" s="3">
        <v>45932</v>
      </c>
      <c r="C495" t="s">
        <v>300</v>
      </c>
      <c r="D495" t="s">
        <v>120</v>
      </c>
      <c r="E495" t="s">
        <v>51</v>
      </c>
      <c r="F495" t="s">
        <v>27</v>
      </c>
      <c r="G495" t="s">
        <v>28</v>
      </c>
      <c r="H495">
        <v>2</v>
      </c>
      <c r="I495">
        <v>748</v>
      </c>
      <c r="J495">
        <v>0.1</v>
      </c>
      <c r="K495">
        <v>1346.4</v>
      </c>
      <c r="L495">
        <v>177.68</v>
      </c>
      <c r="M495" t="str">
        <f t="shared" si="63"/>
        <v>Mouse</v>
      </c>
      <c r="N495" t="str">
        <f t="shared" si="64"/>
        <v>Bengaluru</v>
      </c>
      <c r="O495" t="str">
        <f t="shared" si="65"/>
        <v>South</v>
      </c>
      <c r="P495" t="str">
        <f t="shared" si="66"/>
        <v>Electronics</v>
      </c>
      <c r="Q495" t="str">
        <f t="shared" si="67"/>
        <v>Electronics</v>
      </c>
      <c r="R495" t="str">
        <f t="shared" si="68"/>
        <v>South</v>
      </c>
      <c r="S495" t="str">
        <f t="shared" si="69"/>
        <v>Bengaluru</v>
      </c>
      <c r="T495">
        <f t="shared" si="70"/>
        <v>1346.4</v>
      </c>
      <c r="U495" t="str">
        <f t="shared" si="71"/>
        <v>OK</v>
      </c>
    </row>
    <row r="496" spans="1:21" x14ac:dyDescent="0.3">
      <c r="A496" t="s">
        <v>723</v>
      </c>
      <c r="B496" s="3">
        <v>45888</v>
      </c>
      <c r="C496" t="s">
        <v>319</v>
      </c>
      <c r="D496" t="s">
        <v>30</v>
      </c>
      <c r="E496" t="s">
        <v>15</v>
      </c>
      <c r="F496" t="s">
        <v>21</v>
      </c>
      <c r="G496" t="s">
        <v>35</v>
      </c>
      <c r="H496">
        <v>1</v>
      </c>
      <c r="I496">
        <v>10657</v>
      </c>
      <c r="J496">
        <v>0.15</v>
      </c>
      <c r="K496">
        <v>9058.4500000000007</v>
      </c>
      <c r="L496">
        <v>2156.85</v>
      </c>
      <c r="M496" t="str">
        <f t="shared" si="63"/>
        <v>Bookshelf</v>
      </c>
      <c r="N496" t="str">
        <f t="shared" si="64"/>
        <v>Mumbai</v>
      </c>
      <c r="O496" t="str">
        <f t="shared" si="65"/>
        <v>West</v>
      </c>
      <c r="P496" t="str">
        <f t="shared" si="66"/>
        <v>Furniture</v>
      </c>
      <c r="Q496" t="str">
        <f t="shared" si="67"/>
        <v>Furniture</v>
      </c>
      <c r="R496" t="str">
        <f t="shared" si="68"/>
        <v>West</v>
      </c>
      <c r="S496" t="str">
        <f t="shared" si="69"/>
        <v>Mumbai</v>
      </c>
      <c r="T496">
        <f t="shared" si="70"/>
        <v>9058.4499999999989</v>
      </c>
      <c r="U496" t="str">
        <f t="shared" si="71"/>
        <v>OK</v>
      </c>
    </row>
    <row r="497" spans="1:21" x14ac:dyDescent="0.3">
      <c r="A497" t="s">
        <v>724</v>
      </c>
      <c r="B497" s="3">
        <v>45662</v>
      </c>
      <c r="C497" t="s">
        <v>358</v>
      </c>
      <c r="D497" t="s">
        <v>72</v>
      </c>
      <c r="E497" t="s">
        <v>73</v>
      </c>
      <c r="F497" t="s">
        <v>27</v>
      </c>
      <c r="G497" t="s">
        <v>40</v>
      </c>
      <c r="H497">
        <v>1</v>
      </c>
      <c r="I497">
        <v>951</v>
      </c>
      <c r="J497">
        <v>0.05</v>
      </c>
      <c r="K497">
        <v>903.45</v>
      </c>
      <c r="L497">
        <v>193.57</v>
      </c>
      <c r="M497" t="str">
        <f t="shared" si="63"/>
        <v>Desk Organizer</v>
      </c>
      <c r="N497" t="str">
        <f t="shared" si="64"/>
        <v>Chennai</v>
      </c>
      <c r="O497" t="str">
        <f t="shared" si="65"/>
        <v>South</v>
      </c>
      <c r="P497" t="str">
        <f t="shared" si="66"/>
        <v>Office Supplies</v>
      </c>
      <c r="Q497" t="str">
        <f t="shared" si="67"/>
        <v>Office Supplies</v>
      </c>
      <c r="R497" t="str">
        <f t="shared" si="68"/>
        <v>South</v>
      </c>
      <c r="S497" t="str">
        <f t="shared" si="69"/>
        <v>Chennai</v>
      </c>
      <c r="T497">
        <f t="shared" si="70"/>
        <v>903.44999999999993</v>
      </c>
      <c r="U497" t="str">
        <f t="shared" si="71"/>
        <v>OK</v>
      </c>
    </row>
    <row r="498" spans="1:21" x14ac:dyDescent="0.3">
      <c r="A498" t="s">
        <v>725</v>
      </c>
      <c r="B498" s="3">
        <v>45752</v>
      </c>
      <c r="C498" t="s">
        <v>713</v>
      </c>
      <c r="D498" t="s">
        <v>92</v>
      </c>
      <c r="E498" t="s">
        <v>51</v>
      </c>
      <c r="F498" t="s">
        <v>58</v>
      </c>
      <c r="G498" t="s">
        <v>69</v>
      </c>
      <c r="H498">
        <v>5</v>
      </c>
      <c r="I498">
        <v>24636</v>
      </c>
      <c r="J498">
        <v>0.15</v>
      </c>
      <c r="K498">
        <v>104703</v>
      </c>
      <c r="L498">
        <v>22184.95</v>
      </c>
      <c r="M498" t="str">
        <f t="shared" si="63"/>
        <v>Monitor</v>
      </c>
      <c r="N498" t="str">
        <f t="shared" si="64"/>
        <v>Jaipur</v>
      </c>
      <c r="O498" t="str">
        <f t="shared" si="65"/>
        <v>North</v>
      </c>
      <c r="P498" t="str">
        <f t="shared" si="66"/>
        <v>Electronics</v>
      </c>
      <c r="Q498" t="str">
        <f t="shared" si="67"/>
        <v>Electronics</v>
      </c>
      <c r="R498" t="str">
        <f t="shared" si="68"/>
        <v>North</v>
      </c>
      <c r="S498" t="str">
        <f t="shared" si="69"/>
        <v>Jaipur</v>
      </c>
      <c r="T498">
        <f t="shared" si="70"/>
        <v>104703</v>
      </c>
      <c r="U498" t="str">
        <f t="shared" si="71"/>
        <v>OK</v>
      </c>
    </row>
    <row r="499" spans="1:21" x14ac:dyDescent="0.3">
      <c r="A499" t="s">
        <v>726</v>
      </c>
      <c r="B499" s="3">
        <v>45945</v>
      </c>
      <c r="C499" t="s">
        <v>234</v>
      </c>
      <c r="D499" t="s">
        <v>202</v>
      </c>
      <c r="E499" t="s">
        <v>44</v>
      </c>
      <c r="F499" t="s">
        <v>16</v>
      </c>
      <c r="G499" t="s">
        <v>52</v>
      </c>
      <c r="H499">
        <v>2</v>
      </c>
      <c r="I499">
        <v>1969</v>
      </c>
      <c r="J499">
        <v>0.05</v>
      </c>
      <c r="K499">
        <v>3741.1</v>
      </c>
      <c r="L499">
        <v>546.41</v>
      </c>
      <c r="M499" t="str">
        <f t="shared" si="63"/>
        <v>Laptop Stand</v>
      </c>
      <c r="N499" t="str">
        <f t="shared" si="64"/>
        <v>Kolkata</v>
      </c>
      <c r="O499" t="str">
        <f t="shared" si="65"/>
        <v>East</v>
      </c>
      <c r="P499" t="str">
        <f t="shared" si="66"/>
        <v>Accessories</v>
      </c>
      <c r="Q499" t="str">
        <f t="shared" si="67"/>
        <v>Accessories</v>
      </c>
      <c r="R499" t="str">
        <f t="shared" si="68"/>
        <v>East</v>
      </c>
      <c r="S499" t="str">
        <f t="shared" si="69"/>
        <v>Kolkata</v>
      </c>
      <c r="T499">
        <f t="shared" si="70"/>
        <v>3741.1</v>
      </c>
      <c r="U499" t="str">
        <f t="shared" si="71"/>
        <v>OK</v>
      </c>
    </row>
    <row r="500" spans="1:21" x14ac:dyDescent="0.3">
      <c r="A500" t="s">
        <v>727</v>
      </c>
      <c r="B500" s="3">
        <v>45902</v>
      </c>
      <c r="C500" t="s">
        <v>719</v>
      </c>
      <c r="D500" t="s">
        <v>65</v>
      </c>
      <c r="E500" t="s">
        <v>26</v>
      </c>
      <c r="F500" t="s">
        <v>27</v>
      </c>
      <c r="G500" t="s">
        <v>31</v>
      </c>
      <c r="H500">
        <v>2</v>
      </c>
      <c r="I500">
        <v>2120</v>
      </c>
      <c r="J500">
        <v>0</v>
      </c>
      <c r="K500">
        <v>4240</v>
      </c>
      <c r="L500">
        <v>423.62</v>
      </c>
      <c r="M500" t="str">
        <f t="shared" si="63"/>
        <v>Electric Kettle</v>
      </c>
      <c r="N500" t="str">
        <f t="shared" si="64"/>
        <v>Hyderabad</v>
      </c>
      <c r="O500" t="str">
        <f t="shared" si="65"/>
        <v>South</v>
      </c>
      <c r="P500" t="str">
        <f t="shared" si="66"/>
        <v>Home Appliances</v>
      </c>
      <c r="Q500" t="str">
        <f t="shared" si="67"/>
        <v>Home Appliances</v>
      </c>
      <c r="R500" t="str">
        <f t="shared" si="68"/>
        <v>South</v>
      </c>
      <c r="S500" t="str">
        <f t="shared" si="69"/>
        <v>Hyderabad</v>
      </c>
      <c r="T500">
        <f t="shared" si="70"/>
        <v>4240</v>
      </c>
      <c r="U500" t="str">
        <f t="shared" si="71"/>
        <v>OK</v>
      </c>
    </row>
    <row r="501" spans="1:21" x14ac:dyDescent="0.3">
      <c r="A501" t="s">
        <v>728</v>
      </c>
      <c r="B501" s="3">
        <v>45866</v>
      </c>
      <c r="C501" t="s">
        <v>178</v>
      </c>
      <c r="D501" t="s">
        <v>92</v>
      </c>
      <c r="E501" t="s">
        <v>51</v>
      </c>
      <c r="F501" t="s">
        <v>21</v>
      </c>
      <c r="G501" t="s">
        <v>22</v>
      </c>
      <c r="H501">
        <v>4</v>
      </c>
      <c r="I501">
        <v>24871</v>
      </c>
      <c r="J501">
        <v>0.05</v>
      </c>
      <c r="K501">
        <v>94509.8</v>
      </c>
      <c r="L501">
        <v>11536.22</v>
      </c>
      <c r="M501" t="str">
        <f t="shared" si="63"/>
        <v>Monitor</v>
      </c>
      <c r="N501" t="str">
        <f t="shared" si="64"/>
        <v>Ahmedabad</v>
      </c>
      <c r="O501" t="str">
        <f t="shared" si="65"/>
        <v>West</v>
      </c>
      <c r="P501" t="str">
        <f t="shared" si="66"/>
        <v>Electronics</v>
      </c>
      <c r="Q501" t="str">
        <f t="shared" si="67"/>
        <v>Electronics</v>
      </c>
      <c r="R501" t="str">
        <f t="shared" si="68"/>
        <v>West</v>
      </c>
      <c r="S501" t="str">
        <f t="shared" si="69"/>
        <v>Ahmedabad</v>
      </c>
      <c r="T501">
        <f t="shared" si="70"/>
        <v>94509.799999999988</v>
      </c>
      <c r="U501" t="str">
        <f t="shared" si="71"/>
        <v>OK</v>
      </c>
    </row>
    <row r="502" spans="1:21" x14ac:dyDescent="0.3">
      <c r="A502" t="s">
        <v>729</v>
      </c>
      <c r="B502" s="3">
        <v>45953</v>
      </c>
      <c r="C502" t="s">
        <v>310</v>
      </c>
      <c r="D502" t="s">
        <v>307</v>
      </c>
      <c r="E502" t="s">
        <v>73</v>
      </c>
      <c r="F502" t="s">
        <v>21</v>
      </c>
      <c r="G502" t="s">
        <v>22</v>
      </c>
      <c r="H502">
        <v>1</v>
      </c>
      <c r="I502">
        <v>437</v>
      </c>
      <c r="J502">
        <v>0</v>
      </c>
      <c r="K502">
        <v>437</v>
      </c>
      <c r="L502">
        <v>48.23</v>
      </c>
      <c r="M502" t="str">
        <f t="shared" si="63"/>
        <v>Notebook</v>
      </c>
      <c r="N502" t="str">
        <f t="shared" si="64"/>
        <v>Ahmedabad</v>
      </c>
      <c r="O502" t="str">
        <f t="shared" si="65"/>
        <v>West</v>
      </c>
      <c r="P502" t="str">
        <f t="shared" si="66"/>
        <v>Office Supplies</v>
      </c>
      <c r="Q502" t="str">
        <f t="shared" si="67"/>
        <v>Office Supplies</v>
      </c>
      <c r="R502" t="str">
        <f t="shared" si="68"/>
        <v>West</v>
      </c>
      <c r="S502" t="str">
        <f t="shared" si="69"/>
        <v>Ahmedabad</v>
      </c>
      <c r="T502">
        <f t="shared" si="70"/>
        <v>437</v>
      </c>
      <c r="U502" t="str">
        <f t="shared" si="71"/>
        <v>OK</v>
      </c>
    </row>
    <row r="503" spans="1:21" x14ac:dyDescent="0.3">
      <c r="A503" t="s">
        <v>730</v>
      </c>
      <c r="B503" s="3">
        <v>45973</v>
      </c>
      <c r="C503" t="s">
        <v>731</v>
      </c>
      <c r="D503" t="s">
        <v>25</v>
      </c>
      <c r="E503" t="s">
        <v>26</v>
      </c>
      <c r="F503" t="s">
        <v>58</v>
      </c>
      <c r="G503" t="s">
        <v>69</v>
      </c>
      <c r="H503">
        <v>1</v>
      </c>
      <c r="I503">
        <v>10537</v>
      </c>
      <c r="J503">
        <v>0</v>
      </c>
      <c r="K503">
        <v>10537</v>
      </c>
      <c r="L503">
        <v>881.71</v>
      </c>
      <c r="M503" t="str">
        <f t="shared" si="63"/>
        <v>Microwave</v>
      </c>
      <c r="N503" t="str">
        <f t="shared" si="64"/>
        <v>Jaipur</v>
      </c>
      <c r="O503" t="str">
        <f t="shared" si="65"/>
        <v>North</v>
      </c>
      <c r="P503" t="str">
        <f t="shared" si="66"/>
        <v>Home Appliances</v>
      </c>
      <c r="Q503" t="str">
        <f t="shared" si="67"/>
        <v>Home Appliances</v>
      </c>
      <c r="R503" t="str">
        <f t="shared" si="68"/>
        <v>North</v>
      </c>
      <c r="S503" t="str">
        <f t="shared" si="69"/>
        <v>Jaipur</v>
      </c>
      <c r="T503">
        <f t="shared" si="70"/>
        <v>10537</v>
      </c>
      <c r="U503" t="str">
        <f t="shared" si="71"/>
        <v>OK</v>
      </c>
    </row>
    <row r="504" spans="1:21" x14ac:dyDescent="0.3">
      <c r="A504" t="s">
        <v>732</v>
      </c>
      <c r="B504" s="3">
        <v>46018</v>
      </c>
      <c r="C504" t="s">
        <v>187</v>
      </c>
      <c r="D504" t="s">
        <v>72</v>
      </c>
      <c r="E504" t="s">
        <v>73</v>
      </c>
      <c r="F504" t="s">
        <v>58</v>
      </c>
      <c r="G504" t="s">
        <v>126</v>
      </c>
      <c r="H504">
        <v>2</v>
      </c>
      <c r="I504">
        <v>489</v>
      </c>
      <c r="J504">
        <v>0.1</v>
      </c>
      <c r="K504">
        <v>880.2</v>
      </c>
      <c r="L504">
        <v>107.8</v>
      </c>
      <c r="M504" t="str">
        <f t="shared" si="63"/>
        <v>Desk Organizer</v>
      </c>
      <c r="N504" t="str">
        <f t="shared" si="64"/>
        <v>Delhi</v>
      </c>
      <c r="O504" t="str">
        <f t="shared" si="65"/>
        <v>North</v>
      </c>
      <c r="P504" t="str">
        <f t="shared" si="66"/>
        <v>Office Supplies</v>
      </c>
      <c r="Q504" t="str">
        <f t="shared" si="67"/>
        <v>Office Supplies</v>
      </c>
      <c r="R504" t="str">
        <f t="shared" si="68"/>
        <v>North</v>
      </c>
      <c r="S504" t="str">
        <f t="shared" si="69"/>
        <v>Delhi</v>
      </c>
      <c r="T504">
        <f t="shared" si="70"/>
        <v>880.2</v>
      </c>
      <c r="U504" t="str">
        <f t="shared" si="71"/>
        <v>OK</v>
      </c>
    </row>
    <row r="505" spans="1:21" x14ac:dyDescent="0.3">
      <c r="A505" t="s">
        <v>733</v>
      </c>
      <c r="B505" s="3">
        <v>45746</v>
      </c>
      <c r="C505" t="s">
        <v>595</v>
      </c>
      <c r="D505" t="s">
        <v>92</v>
      </c>
      <c r="E505" t="s">
        <v>51</v>
      </c>
      <c r="F505" t="s">
        <v>21</v>
      </c>
      <c r="G505" t="s">
        <v>55</v>
      </c>
      <c r="H505">
        <v>4</v>
      </c>
      <c r="I505">
        <v>14312</v>
      </c>
      <c r="J505">
        <v>0.05</v>
      </c>
      <c r="K505">
        <v>54385.599999999999</v>
      </c>
      <c r="L505">
        <v>4499.67</v>
      </c>
      <c r="M505" t="str">
        <f t="shared" si="63"/>
        <v>Monitor</v>
      </c>
      <c r="N505" t="str">
        <f t="shared" si="64"/>
        <v>Pune</v>
      </c>
      <c r="O505" t="str">
        <f t="shared" si="65"/>
        <v>West</v>
      </c>
      <c r="P505" t="str">
        <f t="shared" si="66"/>
        <v>Electronics</v>
      </c>
      <c r="Q505" t="str">
        <f t="shared" si="67"/>
        <v>Electronics</v>
      </c>
      <c r="R505" t="str">
        <f t="shared" si="68"/>
        <v>West</v>
      </c>
      <c r="S505" t="str">
        <f t="shared" si="69"/>
        <v>Pune</v>
      </c>
      <c r="T505">
        <f t="shared" si="70"/>
        <v>54385.599999999999</v>
      </c>
      <c r="U505" t="str">
        <f t="shared" si="71"/>
        <v>OK</v>
      </c>
    </row>
    <row r="506" spans="1:21" x14ac:dyDescent="0.3">
      <c r="A506" t="s">
        <v>734</v>
      </c>
      <c r="B506" s="3">
        <v>45717</v>
      </c>
      <c r="C506" t="s">
        <v>260</v>
      </c>
      <c r="D506" t="s">
        <v>72</v>
      </c>
      <c r="E506" t="s">
        <v>73</v>
      </c>
      <c r="F506" t="s">
        <v>21</v>
      </c>
      <c r="G506" t="s">
        <v>22</v>
      </c>
      <c r="H506">
        <v>3</v>
      </c>
      <c r="I506">
        <v>889</v>
      </c>
      <c r="J506">
        <v>0.15</v>
      </c>
      <c r="K506">
        <v>2266.9499999999998</v>
      </c>
      <c r="L506">
        <v>404.7</v>
      </c>
      <c r="M506" t="str">
        <f t="shared" si="63"/>
        <v>Desk Organizer</v>
      </c>
      <c r="N506" t="str">
        <f t="shared" si="64"/>
        <v>Ahmedabad</v>
      </c>
      <c r="O506" t="str">
        <f t="shared" si="65"/>
        <v>West</v>
      </c>
      <c r="P506" t="str">
        <f t="shared" si="66"/>
        <v>Office Supplies</v>
      </c>
      <c r="Q506" t="str">
        <f t="shared" si="67"/>
        <v>Office Supplies</v>
      </c>
      <c r="R506" t="str">
        <f t="shared" si="68"/>
        <v>West</v>
      </c>
      <c r="S506" t="str">
        <f t="shared" si="69"/>
        <v>Ahmedabad</v>
      </c>
      <c r="T506">
        <f t="shared" si="70"/>
        <v>2266.9499999999998</v>
      </c>
      <c r="U506" t="str">
        <f t="shared" si="71"/>
        <v>OK</v>
      </c>
    </row>
    <row r="507" spans="1:21" x14ac:dyDescent="0.3">
      <c r="A507" t="s">
        <v>735</v>
      </c>
      <c r="B507" s="3">
        <v>45672</v>
      </c>
      <c r="C507" t="s">
        <v>295</v>
      </c>
      <c r="D507" t="s">
        <v>307</v>
      </c>
      <c r="E507" t="s">
        <v>73</v>
      </c>
      <c r="F507" t="s">
        <v>27</v>
      </c>
      <c r="G507" t="s">
        <v>28</v>
      </c>
      <c r="H507">
        <v>4</v>
      </c>
      <c r="I507">
        <v>293</v>
      </c>
      <c r="J507">
        <v>0.1</v>
      </c>
      <c r="K507">
        <v>1054.8</v>
      </c>
      <c r="L507">
        <v>189.92</v>
      </c>
      <c r="M507" t="str">
        <f t="shared" si="63"/>
        <v>Notebook</v>
      </c>
      <c r="N507" t="str">
        <f t="shared" si="64"/>
        <v>Bengaluru</v>
      </c>
      <c r="O507" t="str">
        <f t="shared" si="65"/>
        <v>South</v>
      </c>
      <c r="P507" t="str">
        <f t="shared" si="66"/>
        <v>Office Supplies</v>
      </c>
      <c r="Q507" t="str">
        <f t="shared" si="67"/>
        <v>Office Supplies</v>
      </c>
      <c r="R507" t="str">
        <f t="shared" si="68"/>
        <v>South</v>
      </c>
      <c r="S507" t="str">
        <f t="shared" si="69"/>
        <v>Bengaluru</v>
      </c>
      <c r="T507">
        <f t="shared" si="70"/>
        <v>1054.8</v>
      </c>
      <c r="U507" t="str">
        <f t="shared" si="71"/>
        <v>OK</v>
      </c>
    </row>
    <row r="508" spans="1:21" x14ac:dyDescent="0.3">
      <c r="A508" t="s">
        <v>736</v>
      </c>
      <c r="B508" s="3">
        <v>45819</v>
      </c>
      <c r="C508" t="s">
        <v>225</v>
      </c>
      <c r="D508" t="s">
        <v>47</v>
      </c>
      <c r="E508" t="s">
        <v>26</v>
      </c>
      <c r="F508" t="s">
        <v>27</v>
      </c>
      <c r="G508" t="s">
        <v>40</v>
      </c>
      <c r="H508">
        <v>4</v>
      </c>
      <c r="I508">
        <v>13099</v>
      </c>
      <c r="J508">
        <v>0</v>
      </c>
      <c r="K508">
        <v>52396</v>
      </c>
      <c r="L508">
        <v>11681.36</v>
      </c>
      <c r="M508" t="str">
        <f t="shared" si="63"/>
        <v>Air Purifier</v>
      </c>
      <c r="N508" t="str">
        <f t="shared" si="64"/>
        <v>Chennai</v>
      </c>
      <c r="O508" t="str">
        <f t="shared" si="65"/>
        <v>South</v>
      </c>
      <c r="P508" t="str">
        <f t="shared" si="66"/>
        <v>Home Appliances</v>
      </c>
      <c r="Q508" t="str">
        <f t="shared" si="67"/>
        <v>Home Appliances</v>
      </c>
      <c r="R508" t="str">
        <f t="shared" si="68"/>
        <v>South</v>
      </c>
      <c r="S508" t="str">
        <f t="shared" si="69"/>
        <v>Chennai</v>
      </c>
      <c r="T508">
        <f t="shared" si="70"/>
        <v>52396</v>
      </c>
      <c r="U508" t="str">
        <f t="shared" si="71"/>
        <v>OK</v>
      </c>
    </row>
    <row r="509" spans="1:21" x14ac:dyDescent="0.3">
      <c r="A509" t="s">
        <v>737</v>
      </c>
      <c r="B509" s="3">
        <v>46013</v>
      </c>
      <c r="C509" t="s">
        <v>346</v>
      </c>
      <c r="D509" t="s">
        <v>88</v>
      </c>
      <c r="E509" t="s">
        <v>73</v>
      </c>
      <c r="F509" t="s">
        <v>21</v>
      </c>
      <c r="G509" t="s">
        <v>35</v>
      </c>
      <c r="H509">
        <v>2</v>
      </c>
      <c r="I509">
        <v>254</v>
      </c>
      <c r="J509">
        <v>0.15</v>
      </c>
      <c r="K509">
        <v>431.8</v>
      </c>
      <c r="L509">
        <v>87.61</v>
      </c>
      <c r="M509" t="str">
        <f t="shared" si="63"/>
        <v>Stapler</v>
      </c>
      <c r="N509" t="str">
        <f t="shared" si="64"/>
        <v>Mumbai</v>
      </c>
      <c r="O509" t="str">
        <f t="shared" si="65"/>
        <v>West</v>
      </c>
      <c r="P509" t="str">
        <f t="shared" si="66"/>
        <v>Office Supplies</v>
      </c>
      <c r="Q509" t="str">
        <f t="shared" si="67"/>
        <v>Office Supplies</v>
      </c>
      <c r="R509" t="str">
        <f t="shared" si="68"/>
        <v>West</v>
      </c>
      <c r="S509" t="str">
        <f t="shared" si="69"/>
        <v>Mumbai</v>
      </c>
      <c r="T509">
        <f t="shared" si="70"/>
        <v>431.8</v>
      </c>
      <c r="U509" t="str">
        <f t="shared" si="71"/>
        <v>OK</v>
      </c>
    </row>
    <row r="510" spans="1:21" x14ac:dyDescent="0.3">
      <c r="A510" t="s">
        <v>738</v>
      </c>
      <c r="B510" s="3">
        <v>45844</v>
      </c>
      <c r="C510" t="s">
        <v>206</v>
      </c>
      <c r="D510" t="s">
        <v>20</v>
      </c>
      <c r="E510" t="s">
        <v>15</v>
      </c>
      <c r="F510" t="s">
        <v>58</v>
      </c>
      <c r="G510" t="s">
        <v>59</v>
      </c>
      <c r="H510">
        <v>4</v>
      </c>
      <c r="I510">
        <v>8584</v>
      </c>
      <c r="J510">
        <v>0</v>
      </c>
      <c r="K510">
        <v>34336</v>
      </c>
      <c r="L510">
        <v>5784.7</v>
      </c>
      <c r="M510" t="str">
        <f t="shared" si="63"/>
        <v>Filing Cabinet</v>
      </c>
      <c r="N510" t="str">
        <f t="shared" si="64"/>
        <v>Chandigarh</v>
      </c>
      <c r="O510" t="str">
        <f t="shared" si="65"/>
        <v>North</v>
      </c>
      <c r="P510" t="str">
        <f t="shared" si="66"/>
        <v>Furniture</v>
      </c>
      <c r="Q510" t="str">
        <f t="shared" si="67"/>
        <v>Furniture</v>
      </c>
      <c r="R510" t="str">
        <f t="shared" si="68"/>
        <v>North</v>
      </c>
      <c r="S510" t="str">
        <f t="shared" si="69"/>
        <v>Chandigarh</v>
      </c>
      <c r="T510">
        <f t="shared" si="70"/>
        <v>34336</v>
      </c>
      <c r="U510" t="str">
        <f t="shared" si="71"/>
        <v>OK</v>
      </c>
    </row>
    <row r="511" spans="1:21" x14ac:dyDescent="0.3">
      <c r="A511" t="s">
        <v>739</v>
      </c>
      <c r="B511" s="3">
        <v>45974</v>
      </c>
      <c r="C511" t="s">
        <v>358</v>
      </c>
      <c r="D511" t="s">
        <v>14</v>
      </c>
      <c r="E511" t="s">
        <v>15</v>
      </c>
      <c r="F511" t="s">
        <v>16</v>
      </c>
      <c r="G511" t="s">
        <v>104</v>
      </c>
      <c r="H511">
        <v>1</v>
      </c>
      <c r="I511">
        <v>7615</v>
      </c>
      <c r="J511">
        <v>0</v>
      </c>
      <c r="K511">
        <v>7615</v>
      </c>
      <c r="L511">
        <v>1875.6</v>
      </c>
      <c r="M511" t="str">
        <f t="shared" si="63"/>
        <v>Office Chair</v>
      </c>
      <c r="N511" t="str">
        <f t="shared" si="64"/>
        <v>Bhubaneswar</v>
      </c>
      <c r="O511" t="str">
        <f t="shared" si="65"/>
        <v>East</v>
      </c>
      <c r="P511" t="str">
        <f t="shared" si="66"/>
        <v>Furniture</v>
      </c>
      <c r="Q511" t="str">
        <f t="shared" si="67"/>
        <v>Furniture</v>
      </c>
      <c r="R511" t="str">
        <f t="shared" si="68"/>
        <v>East</v>
      </c>
      <c r="S511" t="str">
        <f t="shared" si="69"/>
        <v>Bhubaneswar</v>
      </c>
      <c r="T511">
        <f t="shared" si="70"/>
        <v>7615</v>
      </c>
      <c r="U511" t="str">
        <f t="shared" si="71"/>
        <v>OK</v>
      </c>
    </row>
    <row r="512" spans="1:21" x14ac:dyDescent="0.3">
      <c r="A512" t="s">
        <v>740</v>
      </c>
      <c r="B512" s="3">
        <v>45761</v>
      </c>
      <c r="C512" t="s">
        <v>90</v>
      </c>
      <c r="D512" t="s">
        <v>47</v>
      </c>
      <c r="E512" t="s">
        <v>26</v>
      </c>
      <c r="F512" t="s">
        <v>16</v>
      </c>
      <c r="G512" t="s">
        <v>17</v>
      </c>
      <c r="H512">
        <v>1</v>
      </c>
      <c r="I512">
        <v>11482</v>
      </c>
      <c r="J512">
        <v>0.2</v>
      </c>
      <c r="K512">
        <v>9185.6</v>
      </c>
      <c r="L512">
        <v>759.9</v>
      </c>
      <c r="M512" t="str">
        <f t="shared" si="63"/>
        <v>Air Purifier</v>
      </c>
      <c r="N512" t="str">
        <f t="shared" si="64"/>
        <v>Guwahati</v>
      </c>
      <c r="O512" t="str">
        <f t="shared" si="65"/>
        <v>East</v>
      </c>
      <c r="P512" t="str">
        <f t="shared" si="66"/>
        <v>Home Appliances</v>
      </c>
      <c r="Q512" t="str">
        <f t="shared" si="67"/>
        <v>Home Appliances</v>
      </c>
      <c r="R512" t="str">
        <f t="shared" si="68"/>
        <v>East</v>
      </c>
      <c r="S512" t="str">
        <f t="shared" si="69"/>
        <v>Guwahati</v>
      </c>
      <c r="T512">
        <f t="shared" si="70"/>
        <v>9185.6</v>
      </c>
      <c r="U512" t="str">
        <f t="shared" si="71"/>
        <v>OK</v>
      </c>
    </row>
    <row r="513" spans="1:21" x14ac:dyDescent="0.3">
      <c r="A513" t="s">
        <v>741</v>
      </c>
      <c r="B513" s="3">
        <v>45847</v>
      </c>
      <c r="C513" t="s">
        <v>248</v>
      </c>
      <c r="D513" t="s">
        <v>30</v>
      </c>
      <c r="E513" t="s">
        <v>15</v>
      </c>
      <c r="F513" t="s">
        <v>27</v>
      </c>
      <c r="G513" t="s">
        <v>40</v>
      </c>
      <c r="H513">
        <v>2</v>
      </c>
      <c r="I513">
        <v>12586</v>
      </c>
      <c r="J513">
        <v>0.2</v>
      </c>
      <c r="K513">
        <v>20137.599999999999</v>
      </c>
      <c r="L513">
        <v>3889.56</v>
      </c>
      <c r="M513" t="str">
        <f t="shared" si="63"/>
        <v>Bookshelf</v>
      </c>
      <c r="N513" t="str">
        <f t="shared" si="64"/>
        <v>Chennai</v>
      </c>
      <c r="O513" t="str">
        <f t="shared" si="65"/>
        <v>South</v>
      </c>
      <c r="P513" t="str">
        <f t="shared" si="66"/>
        <v>Furniture</v>
      </c>
      <c r="Q513" t="str">
        <f t="shared" si="67"/>
        <v>Furniture</v>
      </c>
      <c r="R513" t="str">
        <f t="shared" si="68"/>
        <v>South</v>
      </c>
      <c r="S513" t="str">
        <f t="shared" si="69"/>
        <v>Chennai</v>
      </c>
      <c r="T513">
        <f t="shared" si="70"/>
        <v>20137.600000000002</v>
      </c>
      <c r="U513" t="str">
        <f t="shared" si="71"/>
        <v>OK</v>
      </c>
    </row>
    <row r="514" spans="1:21" x14ac:dyDescent="0.3">
      <c r="A514" t="s">
        <v>742</v>
      </c>
      <c r="B514" s="3">
        <v>45982</v>
      </c>
      <c r="C514" t="s">
        <v>535</v>
      </c>
      <c r="D514" t="s">
        <v>80</v>
      </c>
      <c r="E514" t="s">
        <v>51</v>
      </c>
      <c r="F514" t="s">
        <v>16</v>
      </c>
      <c r="G514" t="s">
        <v>104</v>
      </c>
      <c r="H514">
        <v>1</v>
      </c>
      <c r="I514">
        <v>54612</v>
      </c>
      <c r="J514">
        <v>0</v>
      </c>
      <c r="K514">
        <v>54612</v>
      </c>
      <c r="L514">
        <v>7808.63</v>
      </c>
      <c r="M514" t="str">
        <f t="shared" si="63"/>
        <v>Laptop</v>
      </c>
      <c r="N514" t="str">
        <f t="shared" si="64"/>
        <v>Bhubaneswar</v>
      </c>
      <c r="O514" t="str">
        <f t="shared" si="65"/>
        <v>East</v>
      </c>
      <c r="P514" t="str">
        <f t="shared" si="66"/>
        <v>Electronics</v>
      </c>
      <c r="Q514" t="str">
        <f t="shared" si="67"/>
        <v>Electronics</v>
      </c>
      <c r="R514" t="str">
        <f t="shared" si="68"/>
        <v>East</v>
      </c>
      <c r="S514" t="str">
        <f t="shared" si="69"/>
        <v>Bhubaneswar</v>
      </c>
      <c r="T514">
        <f t="shared" si="70"/>
        <v>54612</v>
      </c>
      <c r="U514" t="str">
        <f t="shared" si="71"/>
        <v>OK</v>
      </c>
    </row>
    <row r="515" spans="1:21" x14ac:dyDescent="0.3">
      <c r="A515" t="s">
        <v>743</v>
      </c>
      <c r="B515" s="3">
        <v>45875</v>
      </c>
      <c r="C515" t="s">
        <v>145</v>
      </c>
      <c r="D515" t="s">
        <v>50</v>
      </c>
      <c r="E515" t="s">
        <v>51</v>
      </c>
      <c r="F515" t="s">
        <v>58</v>
      </c>
      <c r="G515" t="s">
        <v>69</v>
      </c>
      <c r="H515">
        <v>1</v>
      </c>
      <c r="I515">
        <v>3207</v>
      </c>
      <c r="J515">
        <v>0.05</v>
      </c>
      <c r="K515">
        <v>3046.65</v>
      </c>
      <c r="L515">
        <v>438.73</v>
      </c>
      <c r="M515" t="str">
        <f t="shared" ref="M515:M578" si="72">TRIM(D515)</f>
        <v>Keyboard</v>
      </c>
      <c r="N515" t="str">
        <f t="shared" ref="N515:N578" si="73">TRIM(G515)</f>
        <v>Jaipur</v>
      </c>
      <c r="O515" t="str">
        <f t="shared" ref="O515:O578" si="74">TRIM(F:F)</f>
        <v>North</v>
      </c>
      <c r="P515" t="str">
        <f t="shared" ref="P515:P578" si="75">TRIM(E515)</f>
        <v>Electronics</v>
      </c>
      <c r="Q515" t="str">
        <f t="shared" ref="Q515:Q578" si="76">PROPER(E515)</f>
        <v>Electronics</v>
      </c>
      <c r="R515" t="str">
        <f t="shared" ref="R515:R578" si="77">PROPER(F515)</f>
        <v>North</v>
      </c>
      <c r="S515" t="str">
        <f t="shared" ref="S515:S578" si="78">PROPER(G515)</f>
        <v>Jaipur</v>
      </c>
      <c r="T515">
        <f t="shared" ref="T515:T578" si="79">H515*I515*(1-J515)</f>
        <v>3046.6499999999996</v>
      </c>
      <c r="U515" t="str">
        <f t="shared" ref="U515:U578" si="80">IF(ROUND(K515,2)=ROUND(T515,2),"OK","CHECK")</f>
        <v>OK</v>
      </c>
    </row>
    <row r="516" spans="1:21" x14ac:dyDescent="0.3">
      <c r="A516" t="s">
        <v>744</v>
      </c>
      <c r="B516" s="3">
        <v>45665</v>
      </c>
      <c r="C516" t="s">
        <v>119</v>
      </c>
      <c r="D516" t="s">
        <v>34</v>
      </c>
      <c r="E516" t="s">
        <v>15</v>
      </c>
      <c r="F516" t="s">
        <v>58</v>
      </c>
      <c r="G516" t="s">
        <v>69</v>
      </c>
      <c r="H516">
        <v>1</v>
      </c>
      <c r="I516">
        <v>9398</v>
      </c>
      <c r="J516">
        <v>0.1</v>
      </c>
      <c r="K516">
        <v>8458.2000000000007</v>
      </c>
      <c r="L516">
        <v>893.74</v>
      </c>
      <c r="M516" t="str">
        <f t="shared" si="72"/>
        <v>Desk</v>
      </c>
      <c r="N516" t="str">
        <f t="shared" si="73"/>
        <v>Jaipur</v>
      </c>
      <c r="O516" t="str">
        <f t="shared" si="74"/>
        <v>North</v>
      </c>
      <c r="P516" t="str">
        <f t="shared" si="75"/>
        <v>Furniture</v>
      </c>
      <c r="Q516" t="str">
        <f t="shared" si="76"/>
        <v>Furniture</v>
      </c>
      <c r="R516" t="str">
        <f t="shared" si="77"/>
        <v>North</v>
      </c>
      <c r="S516" t="str">
        <f t="shared" si="78"/>
        <v>Jaipur</v>
      </c>
      <c r="T516">
        <f t="shared" si="79"/>
        <v>8458.2000000000007</v>
      </c>
      <c r="U516" t="str">
        <f t="shared" si="80"/>
        <v>OK</v>
      </c>
    </row>
    <row r="517" spans="1:21" x14ac:dyDescent="0.3">
      <c r="A517" t="s">
        <v>745</v>
      </c>
      <c r="B517" s="3">
        <v>45824</v>
      </c>
      <c r="C517" t="s">
        <v>165</v>
      </c>
      <c r="D517" t="s">
        <v>83</v>
      </c>
      <c r="E517" t="s">
        <v>73</v>
      </c>
      <c r="F517" t="s">
        <v>21</v>
      </c>
      <c r="G517" t="s">
        <v>35</v>
      </c>
      <c r="H517">
        <v>4</v>
      </c>
      <c r="I517">
        <v>575</v>
      </c>
      <c r="J517">
        <v>0.15</v>
      </c>
      <c r="K517">
        <v>1955</v>
      </c>
      <c r="L517">
        <v>398.5</v>
      </c>
      <c r="M517" t="str">
        <f t="shared" si="72"/>
        <v>Printer Paper</v>
      </c>
      <c r="N517" t="str">
        <f t="shared" si="73"/>
        <v>Mumbai</v>
      </c>
      <c r="O517" t="str">
        <f t="shared" si="74"/>
        <v>West</v>
      </c>
      <c r="P517" t="str">
        <f t="shared" si="75"/>
        <v>Office Supplies</v>
      </c>
      <c r="Q517" t="str">
        <f t="shared" si="76"/>
        <v>Office Supplies</v>
      </c>
      <c r="R517" t="str">
        <f t="shared" si="77"/>
        <v>West</v>
      </c>
      <c r="S517" t="str">
        <f t="shared" si="78"/>
        <v>Mumbai</v>
      </c>
      <c r="T517">
        <f t="shared" si="79"/>
        <v>1955</v>
      </c>
      <c r="U517" t="str">
        <f t="shared" si="80"/>
        <v>OK</v>
      </c>
    </row>
    <row r="518" spans="1:21" x14ac:dyDescent="0.3">
      <c r="A518" t="s">
        <v>746</v>
      </c>
      <c r="B518" s="3">
        <v>46022</v>
      </c>
      <c r="C518" t="s">
        <v>617</v>
      </c>
      <c r="D518" t="s">
        <v>83</v>
      </c>
      <c r="E518" t="s">
        <v>73</v>
      </c>
      <c r="F518" t="s">
        <v>27</v>
      </c>
      <c r="G518" t="s">
        <v>31</v>
      </c>
      <c r="H518">
        <v>3</v>
      </c>
      <c r="I518">
        <v>378</v>
      </c>
      <c r="J518">
        <v>0</v>
      </c>
      <c r="K518">
        <v>1134</v>
      </c>
      <c r="L518">
        <v>309.24</v>
      </c>
      <c r="M518" t="str">
        <f t="shared" si="72"/>
        <v>Printer Paper</v>
      </c>
      <c r="N518" t="str">
        <f t="shared" si="73"/>
        <v>Hyderabad</v>
      </c>
      <c r="O518" t="str">
        <f t="shared" si="74"/>
        <v>South</v>
      </c>
      <c r="P518" t="str">
        <f t="shared" si="75"/>
        <v>Office Supplies</v>
      </c>
      <c r="Q518" t="str">
        <f t="shared" si="76"/>
        <v>Office Supplies</v>
      </c>
      <c r="R518" t="str">
        <f t="shared" si="77"/>
        <v>South</v>
      </c>
      <c r="S518" t="str">
        <f t="shared" si="78"/>
        <v>Hyderabad</v>
      </c>
      <c r="T518">
        <f t="shared" si="79"/>
        <v>1134</v>
      </c>
      <c r="U518" t="str">
        <f t="shared" si="80"/>
        <v>OK</v>
      </c>
    </row>
    <row r="519" spans="1:21" x14ac:dyDescent="0.3">
      <c r="A519" t="s">
        <v>747</v>
      </c>
      <c r="B519" s="3">
        <v>45677</v>
      </c>
      <c r="C519" t="s">
        <v>317</v>
      </c>
      <c r="D519" t="s">
        <v>153</v>
      </c>
      <c r="E519" t="s">
        <v>26</v>
      </c>
      <c r="F519" t="s">
        <v>58</v>
      </c>
      <c r="G519" t="s">
        <v>126</v>
      </c>
      <c r="H519">
        <v>2</v>
      </c>
      <c r="I519">
        <v>8743</v>
      </c>
      <c r="J519">
        <v>0.25</v>
      </c>
      <c r="K519">
        <v>13114.5</v>
      </c>
      <c r="L519">
        <v>2292.85</v>
      </c>
      <c r="M519" t="str">
        <f t="shared" si="72"/>
        <v>Coffee Maker</v>
      </c>
      <c r="N519" t="str">
        <f t="shared" si="73"/>
        <v>Delhi</v>
      </c>
      <c r="O519" t="str">
        <f t="shared" si="74"/>
        <v>North</v>
      </c>
      <c r="P519" t="str">
        <f t="shared" si="75"/>
        <v>Home Appliances</v>
      </c>
      <c r="Q519" t="str">
        <f t="shared" si="76"/>
        <v>Home Appliances</v>
      </c>
      <c r="R519" t="str">
        <f t="shared" si="77"/>
        <v>North</v>
      </c>
      <c r="S519" t="str">
        <f t="shared" si="78"/>
        <v>Delhi</v>
      </c>
      <c r="T519">
        <f t="shared" si="79"/>
        <v>13114.5</v>
      </c>
      <c r="U519" t="str">
        <f t="shared" si="80"/>
        <v>OK</v>
      </c>
    </row>
    <row r="520" spans="1:21" x14ac:dyDescent="0.3">
      <c r="A520" t="s">
        <v>748</v>
      </c>
      <c r="B520" s="3">
        <v>45755</v>
      </c>
      <c r="C520" t="s">
        <v>278</v>
      </c>
      <c r="D520" t="s">
        <v>153</v>
      </c>
      <c r="E520" t="s">
        <v>26</v>
      </c>
      <c r="F520" t="s">
        <v>16</v>
      </c>
      <c r="G520" t="s">
        <v>104</v>
      </c>
      <c r="H520">
        <v>2</v>
      </c>
      <c r="I520">
        <v>7670</v>
      </c>
      <c r="J520">
        <v>0.05</v>
      </c>
      <c r="K520">
        <v>14573</v>
      </c>
      <c r="L520">
        <v>2062.87</v>
      </c>
      <c r="M520" t="str">
        <f t="shared" si="72"/>
        <v>Coffee Maker</v>
      </c>
      <c r="N520" t="str">
        <f t="shared" si="73"/>
        <v>Bhubaneswar</v>
      </c>
      <c r="O520" t="str">
        <f t="shared" si="74"/>
        <v>East</v>
      </c>
      <c r="P520" t="str">
        <f t="shared" si="75"/>
        <v>Home Appliances</v>
      </c>
      <c r="Q520" t="str">
        <f t="shared" si="76"/>
        <v>Home Appliances</v>
      </c>
      <c r="R520" t="str">
        <f t="shared" si="77"/>
        <v>East</v>
      </c>
      <c r="S520" t="str">
        <f t="shared" si="78"/>
        <v>Bhubaneswar</v>
      </c>
      <c r="T520">
        <f t="shared" si="79"/>
        <v>14573</v>
      </c>
      <c r="U520" t="str">
        <f t="shared" si="80"/>
        <v>OK</v>
      </c>
    </row>
    <row r="521" spans="1:21" x14ac:dyDescent="0.3">
      <c r="A521" t="s">
        <v>749</v>
      </c>
      <c r="B521" s="3">
        <v>45709</v>
      </c>
      <c r="C521" t="s">
        <v>257</v>
      </c>
      <c r="D521" t="s">
        <v>50</v>
      </c>
      <c r="E521" t="s">
        <v>51</v>
      </c>
      <c r="F521" t="s">
        <v>21</v>
      </c>
      <c r="G521" t="s">
        <v>22</v>
      </c>
      <c r="H521">
        <v>3</v>
      </c>
      <c r="I521">
        <v>1785</v>
      </c>
      <c r="J521">
        <v>0.1</v>
      </c>
      <c r="K521">
        <v>4819.5</v>
      </c>
      <c r="L521">
        <v>834.91</v>
      </c>
      <c r="M521" t="str">
        <f t="shared" si="72"/>
        <v>Keyboard</v>
      </c>
      <c r="N521" t="str">
        <f t="shared" si="73"/>
        <v>Ahmedabad</v>
      </c>
      <c r="O521" t="str">
        <f t="shared" si="74"/>
        <v>West</v>
      </c>
      <c r="P521" t="str">
        <f t="shared" si="75"/>
        <v>Electronics</v>
      </c>
      <c r="Q521" t="str">
        <f t="shared" si="76"/>
        <v>Electronics</v>
      </c>
      <c r="R521" t="str">
        <f t="shared" si="77"/>
        <v>West</v>
      </c>
      <c r="S521" t="str">
        <f t="shared" si="78"/>
        <v>Ahmedabad</v>
      </c>
      <c r="T521">
        <f t="shared" si="79"/>
        <v>4819.5</v>
      </c>
      <c r="U521" t="str">
        <f t="shared" si="80"/>
        <v>OK</v>
      </c>
    </row>
    <row r="522" spans="1:21" x14ac:dyDescent="0.3">
      <c r="A522" t="s">
        <v>750</v>
      </c>
      <c r="B522" s="3">
        <v>45708</v>
      </c>
      <c r="C522" t="s">
        <v>125</v>
      </c>
      <c r="D522" t="s">
        <v>307</v>
      </c>
      <c r="E522" t="s">
        <v>73</v>
      </c>
      <c r="F522" t="s">
        <v>27</v>
      </c>
      <c r="G522" t="s">
        <v>31</v>
      </c>
      <c r="H522">
        <v>4</v>
      </c>
      <c r="I522">
        <v>88</v>
      </c>
      <c r="J522">
        <v>0.05</v>
      </c>
      <c r="K522">
        <v>334.4</v>
      </c>
      <c r="L522">
        <v>30.56</v>
      </c>
      <c r="M522" t="str">
        <f t="shared" si="72"/>
        <v>Notebook</v>
      </c>
      <c r="N522" t="str">
        <f t="shared" si="73"/>
        <v>Hyderabad</v>
      </c>
      <c r="O522" t="str">
        <f t="shared" si="74"/>
        <v>South</v>
      </c>
      <c r="P522" t="str">
        <f t="shared" si="75"/>
        <v>Office Supplies</v>
      </c>
      <c r="Q522" t="str">
        <f t="shared" si="76"/>
        <v>Office Supplies</v>
      </c>
      <c r="R522" t="str">
        <f t="shared" si="77"/>
        <v>South</v>
      </c>
      <c r="S522" t="str">
        <f t="shared" si="78"/>
        <v>Hyderabad</v>
      </c>
      <c r="T522">
        <f t="shared" si="79"/>
        <v>334.4</v>
      </c>
      <c r="U522" t="str">
        <f t="shared" si="80"/>
        <v>OK</v>
      </c>
    </row>
    <row r="523" spans="1:21" x14ac:dyDescent="0.3">
      <c r="A523" t="s">
        <v>751</v>
      </c>
      <c r="B523" s="3">
        <v>45917</v>
      </c>
      <c r="C523" t="s">
        <v>636</v>
      </c>
      <c r="D523" t="s">
        <v>68</v>
      </c>
      <c r="E523" t="s">
        <v>44</v>
      </c>
      <c r="F523" t="s">
        <v>58</v>
      </c>
      <c r="G523" t="s">
        <v>69</v>
      </c>
      <c r="H523">
        <v>1</v>
      </c>
      <c r="I523">
        <v>6489</v>
      </c>
      <c r="J523">
        <v>0.05</v>
      </c>
      <c r="K523">
        <v>6164.55</v>
      </c>
      <c r="L523">
        <v>1001.47</v>
      </c>
      <c r="M523" t="str">
        <f t="shared" si="72"/>
        <v>Webcam</v>
      </c>
      <c r="N523" t="str">
        <f t="shared" si="73"/>
        <v>Jaipur</v>
      </c>
      <c r="O523" t="str">
        <f t="shared" si="74"/>
        <v>North</v>
      </c>
      <c r="P523" t="str">
        <f t="shared" si="75"/>
        <v>Accessories</v>
      </c>
      <c r="Q523" t="str">
        <f t="shared" si="76"/>
        <v>Accessories</v>
      </c>
      <c r="R523" t="str">
        <f t="shared" si="77"/>
        <v>North</v>
      </c>
      <c r="S523" t="str">
        <f t="shared" si="78"/>
        <v>Jaipur</v>
      </c>
      <c r="T523">
        <f t="shared" si="79"/>
        <v>6164.5499999999993</v>
      </c>
      <c r="U523" t="str">
        <f t="shared" si="80"/>
        <v>OK</v>
      </c>
    </row>
    <row r="524" spans="1:21" x14ac:dyDescent="0.3">
      <c r="A524" t="s">
        <v>752</v>
      </c>
      <c r="B524" s="3">
        <v>45970</v>
      </c>
      <c r="C524" t="s">
        <v>468</v>
      </c>
      <c r="D524" t="s">
        <v>120</v>
      </c>
      <c r="E524" t="s">
        <v>51</v>
      </c>
      <c r="F524" t="s">
        <v>16</v>
      </c>
      <c r="G524" t="s">
        <v>17</v>
      </c>
      <c r="H524">
        <v>1</v>
      </c>
      <c r="I524">
        <v>512</v>
      </c>
      <c r="J524">
        <v>0.05</v>
      </c>
      <c r="K524">
        <v>486.4</v>
      </c>
      <c r="L524">
        <v>88.13</v>
      </c>
      <c r="M524" t="str">
        <f t="shared" si="72"/>
        <v>Mouse</v>
      </c>
      <c r="N524" t="str">
        <f t="shared" si="73"/>
        <v>Guwahati</v>
      </c>
      <c r="O524" t="str">
        <f t="shared" si="74"/>
        <v>East</v>
      </c>
      <c r="P524" t="str">
        <f t="shared" si="75"/>
        <v>Electronics</v>
      </c>
      <c r="Q524" t="str">
        <f t="shared" si="76"/>
        <v>Electronics</v>
      </c>
      <c r="R524" t="str">
        <f t="shared" si="77"/>
        <v>East</v>
      </c>
      <c r="S524" t="str">
        <f t="shared" si="78"/>
        <v>Guwahati</v>
      </c>
      <c r="T524">
        <f t="shared" si="79"/>
        <v>486.4</v>
      </c>
      <c r="U524" t="str">
        <f t="shared" si="80"/>
        <v>OK</v>
      </c>
    </row>
    <row r="525" spans="1:21" x14ac:dyDescent="0.3">
      <c r="A525" t="s">
        <v>753</v>
      </c>
      <c r="B525" s="3">
        <v>45865</v>
      </c>
      <c r="C525" t="s">
        <v>238</v>
      </c>
      <c r="D525" t="s">
        <v>120</v>
      </c>
      <c r="E525" t="s">
        <v>51</v>
      </c>
      <c r="F525" t="s">
        <v>58</v>
      </c>
      <c r="G525" t="s">
        <v>59</v>
      </c>
      <c r="H525">
        <v>1</v>
      </c>
      <c r="I525">
        <v>2094</v>
      </c>
      <c r="J525">
        <v>0.15</v>
      </c>
      <c r="K525">
        <v>1779.9</v>
      </c>
      <c r="L525">
        <v>303.33</v>
      </c>
      <c r="M525" t="str">
        <f t="shared" si="72"/>
        <v>Mouse</v>
      </c>
      <c r="N525" t="str">
        <f t="shared" si="73"/>
        <v>Chandigarh</v>
      </c>
      <c r="O525" t="str">
        <f t="shared" si="74"/>
        <v>North</v>
      </c>
      <c r="P525" t="str">
        <f t="shared" si="75"/>
        <v>Electronics</v>
      </c>
      <c r="Q525" t="str">
        <f t="shared" si="76"/>
        <v>Electronics</v>
      </c>
      <c r="R525" t="str">
        <f t="shared" si="77"/>
        <v>North</v>
      </c>
      <c r="S525" t="str">
        <f t="shared" si="78"/>
        <v>Chandigarh</v>
      </c>
      <c r="T525">
        <f t="shared" si="79"/>
        <v>1779.8999999999999</v>
      </c>
      <c r="U525" t="str">
        <f t="shared" si="80"/>
        <v>OK</v>
      </c>
    </row>
    <row r="526" spans="1:21" x14ac:dyDescent="0.3">
      <c r="A526" t="s">
        <v>754</v>
      </c>
      <c r="B526" s="3">
        <v>45721</v>
      </c>
      <c r="C526" t="s">
        <v>191</v>
      </c>
      <c r="D526" t="s">
        <v>50</v>
      </c>
      <c r="E526" t="s">
        <v>51</v>
      </c>
      <c r="F526" t="s">
        <v>16</v>
      </c>
      <c r="G526" t="s">
        <v>52</v>
      </c>
      <c r="H526">
        <v>2</v>
      </c>
      <c r="I526">
        <v>1872</v>
      </c>
      <c r="J526">
        <v>0.05</v>
      </c>
      <c r="K526">
        <v>3556.8</v>
      </c>
      <c r="L526">
        <v>579.73</v>
      </c>
      <c r="M526" t="str">
        <f t="shared" si="72"/>
        <v>Keyboard</v>
      </c>
      <c r="N526" t="str">
        <f t="shared" si="73"/>
        <v>Kolkata</v>
      </c>
      <c r="O526" t="str">
        <f t="shared" si="74"/>
        <v>East</v>
      </c>
      <c r="P526" t="str">
        <f t="shared" si="75"/>
        <v>Electronics</v>
      </c>
      <c r="Q526" t="str">
        <f t="shared" si="76"/>
        <v>Electronics</v>
      </c>
      <c r="R526" t="str">
        <f t="shared" si="77"/>
        <v>East</v>
      </c>
      <c r="S526" t="str">
        <f t="shared" si="78"/>
        <v>Kolkata</v>
      </c>
      <c r="T526">
        <f t="shared" si="79"/>
        <v>3556.7999999999997</v>
      </c>
      <c r="U526" t="str">
        <f t="shared" si="80"/>
        <v>OK</v>
      </c>
    </row>
    <row r="527" spans="1:21" x14ac:dyDescent="0.3">
      <c r="A527" t="s">
        <v>755</v>
      </c>
      <c r="B527" s="3">
        <v>45987</v>
      </c>
      <c r="C527" t="s">
        <v>61</v>
      </c>
      <c r="D527" t="s">
        <v>25</v>
      </c>
      <c r="E527" t="s">
        <v>26</v>
      </c>
      <c r="F527" t="s">
        <v>58</v>
      </c>
      <c r="G527" t="s">
        <v>126</v>
      </c>
      <c r="H527">
        <v>2</v>
      </c>
      <c r="I527">
        <v>13222</v>
      </c>
      <c r="J527">
        <v>0.1</v>
      </c>
      <c r="K527">
        <v>23799.599999999999</v>
      </c>
      <c r="L527">
        <v>3814.89</v>
      </c>
      <c r="M527" t="str">
        <f t="shared" si="72"/>
        <v>Microwave</v>
      </c>
      <c r="N527" t="str">
        <f t="shared" si="73"/>
        <v>Delhi</v>
      </c>
      <c r="O527" t="str">
        <f t="shared" si="74"/>
        <v>North</v>
      </c>
      <c r="P527" t="str">
        <f t="shared" si="75"/>
        <v>Home Appliances</v>
      </c>
      <c r="Q527" t="str">
        <f t="shared" si="76"/>
        <v>Home Appliances</v>
      </c>
      <c r="R527" t="str">
        <f t="shared" si="77"/>
        <v>North</v>
      </c>
      <c r="S527" t="str">
        <f t="shared" si="78"/>
        <v>Delhi</v>
      </c>
      <c r="T527">
        <f t="shared" si="79"/>
        <v>23799.600000000002</v>
      </c>
      <c r="U527" t="str">
        <f t="shared" si="80"/>
        <v>OK</v>
      </c>
    </row>
    <row r="528" spans="1:21" x14ac:dyDescent="0.3">
      <c r="A528" t="s">
        <v>756</v>
      </c>
      <c r="B528" s="3">
        <v>45661</v>
      </c>
      <c r="C528" t="s">
        <v>211</v>
      </c>
      <c r="D528" t="s">
        <v>20</v>
      </c>
      <c r="E528" t="s">
        <v>15</v>
      </c>
      <c r="F528" t="s">
        <v>58</v>
      </c>
      <c r="G528" t="s">
        <v>69</v>
      </c>
      <c r="H528">
        <v>3</v>
      </c>
      <c r="I528">
        <v>7297</v>
      </c>
      <c r="J528">
        <v>0</v>
      </c>
      <c r="K528">
        <v>21891</v>
      </c>
      <c r="L528">
        <v>4169.6499999999996</v>
      </c>
      <c r="M528" t="str">
        <f t="shared" si="72"/>
        <v>Filing Cabinet</v>
      </c>
      <c r="N528" t="str">
        <f t="shared" si="73"/>
        <v>Jaipur</v>
      </c>
      <c r="O528" t="str">
        <f t="shared" si="74"/>
        <v>North</v>
      </c>
      <c r="P528" t="str">
        <f t="shared" si="75"/>
        <v>Furniture</v>
      </c>
      <c r="Q528" t="str">
        <f t="shared" si="76"/>
        <v>Furniture</v>
      </c>
      <c r="R528" t="str">
        <f t="shared" si="77"/>
        <v>North</v>
      </c>
      <c r="S528" t="str">
        <f t="shared" si="78"/>
        <v>Jaipur</v>
      </c>
      <c r="T528">
        <f t="shared" si="79"/>
        <v>21891</v>
      </c>
      <c r="U528" t="str">
        <f t="shared" si="80"/>
        <v>OK</v>
      </c>
    </row>
    <row r="529" spans="1:21" x14ac:dyDescent="0.3">
      <c r="A529" t="s">
        <v>757</v>
      </c>
      <c r="B529" s="3">
        <v>45949</v>
      </c>
      <c r="C529" t="s">
        <v>705</v>
      </c>
      <c r="D529" t="s">
        <v>202</v>
      </c>
      <c r="E529" t="s">
        <v>44</v>
      </c>
      <c r="F529" t="s">
        <v>21</v>
      </c>
      <c r="G529" t="s">
        <v>35</v>
      </c>
      <c r="H529">
        <v>2</v>
      </c>
      <c r="I529">
        <v>1106</v>
      </c>
      <c r="J529">
        <v>0.1</v>
      </c>
      <c r="K529">
        <v>1990.8</v>
      </c>
      <c r="L529">
        <v>520.79999999999995</v>
      </c>
      <c r="M529" t="str">
        <f t="shared" si="72"/>
        <v>Laptop Stand</v>
      </c>
      <c r="N529" t="str">
        <f t="shared" si="73"/>
        <v>Mumbai</v>
      </c>
      <c r="O529" t="str">
        <f t="shared" si="74"/>
        <v>West</v>
      </c>
      <c r="P529" t="str">
        <f t="shared" si="75"/>
        <v>Accessories</v>
      </c>
      <c r="Q529" t="str">
        <f t="shared" si="76"/>
        <v>Accessories</v>
      </c>
      <c r="R529" t="str">
        <f t="shared" si="77"/>
        <v>West</v>
      </c>
      <c r="S529" t="str">
        <f t="shared" si="78"/>
        <v>Mumbai</v>
      </c>
      <c r="T529">
        <f t="shared" si="79"/>
        <v>1990.8</v>
      </c>
      <c r="U529" t="str">
        <f t="shared" si="80"/>
        <v>OK</v>
      </c>
    </row>
    <row r="530" spans="1:21" x14ac:dyDescent="0.3">
      <c r="A530" t="s">
        <v>758</v>
      </c>
      <c r="B530" s="3">
        <v>45704</v>
      </c>
      <c r="C530" t="s">
        <v>303</v>
      </c>
      <c r="D530" t="s">
        <v>103</v>
      </c>
      <c r="E530" t="s">
        <v>51</v>
      </c>
      <c r="F530" t="s">
        <v>21</v>
      </c>
      <c r="G530" t="s">
        <v>22</v>
      </c>
      <c r="H530">
        <v>4</v>
      </c>
      <c r="I530">
        <v>4098</v>
      </c>
      <c r="J530">
        <v>0.1</v>
      </c>
      <c r="K530">
        <v>14752.8</v>
      </c>
      <c r="L530">
        <v>2725.32</v>
      </c>
      <c r="M530" t="str">
        <f t="shared" si="72"/>
        <v>Headphones</v>
      </c>
      <c r="N530" t="str">
        <f t="shared" si="73"/>
        <v>Ahmedabad</v>
      </c>
      <c r="O530" t="str">
        <f t="shared" si="74"/>
        <v>West</v>
      </c>
      <c r="P530" t="str">
        <f t="shared" si="75"/>
        <v>Electronics</v>
      </c>
      <c r="Q530" t="str">
        <f t="shared" si="76"/>
        <v>Electronics</v>
      </c>
      <c r="R530" t="str">
        <f t="shared" si="77"/>
        <v>West</v>
      </c>
      <c r="S530" t="str">
        <f t="shared" si="78"/>
        <v>Ahmedabad</v>
      </c>
      <c r="T530">
        <f t="shared" si="79"/>
        <v>14752.800000000001</v>
      </c>
      <c r="U530" t="str">
        <f t="shared" si="80"/>
        <v>OK</v>
      </c>
    </row>
    <row r="531" spans="1:21" x14ac:dyDescent="0.3">
      <c r="A531" t="s">
        <v>759</v>
      </c>
      <c r="B531" s="3">
        <v>45815</v>
      </c>
      <c r="C531" t="s">
        <v>482</v>
      </c>
      <c r="D531" t="s">
        <v>88</v>
      </c>
      <c r="E531" t="s">
        <v>73</v>
      </c>
      <c r="F531" t="s">
        <v>58</v>
      </c>
      <c r="G531" t="s">
        <v>69</v>
      </c>
      <c r="H531">
        <v>1</v>
      </c>
      <c r="I531">
        <v>496</v>
      </c>
      <c r="J531">
        <v>0.2</v>
      </c>
      <c r="K531">
        <v>396.8</v>
      </c>
      <c r="L531">
        <v>60.3</v>
      </c>
      <c r="M531" t="str">
        <f t="shared" si="72"/>
        <v>Stapler</v>
      </c>
      <c r="N531" t="str">
        <f t="shared" si="73"/>
        <v>Jaipur</v>
      </c>
      <c r="O531" t="str">
        <f t="shared" si="74"/>
        <v>North</v>
      </c>
      <c r="P531" t="str">
        <f t="shared" si="75"/>
        <v>Office Supplies</v>
      </c>
      <c r="Q531" t="str">
        <f t="shared" si="76"/>
        <v>Office Supplies</v>
      </c>
      <c r="R531" t="str">
        <f t="shared" si="77"/>
        <v>North</v>
      </c>
      <c r="S531" t="str">
        <f t="shared" si="78"/>
        <v>Jaipur</v>
      </c>
      <c r="T531">
        <f t="shared" si="79"/>
        <v>396.8</v>
      </c>
      <c r="U531" t="str">
        <f t="shared" si="80"/>
        <v>OK</v>
      </c>
    </row>
    <row r="532" spans="1:21" x14ac:dyDescent="0.3">
      <c r="A532" t="s">
        <v>760</v>
      </c>
      <c r="B532" s="3">
        <v>46003</v>
      </c>
      <c r="C532" t="s">
        <v>64</v>
      </c>
      <c r="D532" t="s">
        <v>103</v>
      </c>
      <c r="E532" t="s">
        <v>51</v>
      </c>
      <c r="F532" t="s">
        <v>58</v>
      </c>
      <c r="G532" t="s">
        <v>59</v>
      </c>
      <c r="H532">
        <v>5</v>
      </c>
      <c r="I532">
        <v>2582</v>
      </c>
      <c r="J532">
        <v>0.15</v>
      </c>
      <c r="K532">
        <v>10973.5</v>
      </c>
      <c r="L532">
        <v>966.29</v>
      </c>
      <c r="M532" t="str">
        <f t="shared" si="72"/>
        <v>Headphones</v>
      </c>
      <c r="N532" t="str">
        <f t="shared" si="73"/>
        <v>Chandigarh</v>
      </c>
      <c r="O532" t="str">
        <f t="shared" si="74"/>
        <v>North</v>
      </c>
      <c r="P532" t="str">
        <f t="shared" si="75"/>
        <v>Electronics</v>
      </c>
      <c r="Q532" t="str">
        <f t="shared" si="76"/>
        <v>Electronics</v>
      </c>
      <c r="R532" t="str">
        <f t="shared" si="77"/>
        <v>North</v>
      </c>
      <c r="S532" t="str">
        <f t="shared" si="78"/>
        <v>Chandigarh</v>
      </c>
      <c r="T532">
        <f t="shared" si="79"/>
        <v>10973.5</v>
      </c>
      <c r="U532" t="str">
        <f t="shared" si="80"/>
        <v>OK</v>
      </c>
    </row>
    <row r="533" spans="1:21" x14ac:dyDescent="0.3">
      <c r="A533" t="s">
        <v>761</v>
      </c>
      <c r="B533" s="3">
        <v>46014</v>
      </c>
      <c r="C533" t="s">
        <v>407</v>
      </c>
      <c r="D533" t="s">
        <v>25</v>
      </c>
      <c r="E533" t="s">
        <v>26</v>
      </c>
      <c r="F533" t="s">
        <v>16</v>
      </c>
      <c r="G533" t="s">
        <v>104</v>
      </c>
      <c r="H533">
        <v>1</v>
      </c>
      <c r="I533">
        <v>16741</v>
      </c>
      <c r="J533">
        <v>0</v>
      </c>
      <c r="K533">
        <v>16741</v>
      </c>
      <c r="L533">
        <v>3970.72</v>
      </c>
      <c r="M533" t="str">
        <f t="shared" si="72"/>
        <v>Microwave</v>
      </c>
      <c r="N533" t="str">
        <f t="shared" si="73"/>
        <v>Bhubaneswar</v>
      </c>
      <c r="O533" t="str">
        <f t="shared" si="74"/>
        <v>East</v>
      </c>
      <c r="P533" t="str">
        <f t="shared" si="75"/>
        <v>Home Appliances</v>
      </c>
      <c r="Q533" t="str">
        <f t="shared" si="76"/>
        <v>Home Appliances</v>
      </c>
      <c r="R533" t="str">
        <f t="shared" si="77"/>
        <v>East</v>
      </c>
      <c r="S533" t="str">
        <f t="shared" si="78"/>
        <v>Bhubaneswar</v>
      </c>
      <c r="T533">
        <f t="shared" si="79"/>
        <v>16741</v>
      </c>
      <c r="U533" t="str">
        <f t="shared" si="80"/>
        <v>OK</v>
      </c>
    </row>
    <row r="534" spans="1:21" x14ac:dyDescent="0.3">
      <c r="A534" t="s">
        <v>762</v>
      </c>
      <c r="B534" s="3">
        <v>45989</v>
      </c>
      <c r="C534" t="s">
        <v>223</v>
      </c>
      <c r="D534" t="s">
        <v>80</v>
      </c>
      <c r="E534" t="s">
        <v>51</v>
      </c>
      <c r="F534" t="s">
        <v>27</v>
      </c>
      <c r="G534" t="s">
        <v>28</v>
      </c>
      <c r="H534">
        <v>3</v>
      </c>
      <c r="I534">
        <v>56213</v>
      </c>
      <c r="J534">
        <v>0</v>
      </c>
      <c r="K534">
        <v>168639</v>
      </c>
      <c r="L534">
        <v>28326.48</v>
      </c>
      <c r="M534" t="str">
        <f t="shared" si="72"/>
        <v>Laptop</v>
      </c>
      <c r="N534" t="str">
        <f t="shared" si="73"/>
        <v>Bengaluru</v>
      </c>
      <c r="O534" t="str">
        <f t="shared" si="74"/>
        <v>South</v>
      </c>
      <c r="P534" t="str">
        <f t="shared" si="75"/>
        <v>Electronics</v>
      </c>
      <c r="Q534" t="str">
        <f t="shared" si="76"/>
        <v>Electronics</v>
      </c>
      <c r="R534" t="str">
        <f t="shared" si="77"/>
        <v>South</v>
      </c>
      <c r="S534" t="str">
        <f t="shared" si="78"/>
        <v>Bengaluru</v>
      </c>
      <c r="T534">
        <f t="shared" si="79"/>
        <v>168639</v>
      </c>
      <c r="U534" t="str">
        <f t="shared" si="80"/>
        <v>OK</v>
      </c>
    </row>
    <row r="535" spans="1:21" x14ac:dyDescent="0.3">
      <c r="A535" t="s">
        <v>763</v>
      </c>
      <c r="B535" s="3">
        <v>45916</v>
      </c>
      <c r="C535" t="s">
        <v>119</v>
      </c>
      <c r="D535" t="s">
        <v>120</v>
      </c>
      <c r="E535" t="s">
        <v>51</v>
      </c>
      <c r="F535" t="s">
        <v>27</v>
      </c>
      <c r="G535" t="s">
        <v>40</v>
      </c>
      <c r="H535">
        <v>1</v>
      </c>
      <c r="I535">
        <v>1227</v>
      </c>
      <c r="J535">
        <v>0.15</v>
      </c>
      <c r="K535">
        <v>1042.95</v>
      </c>
      <c r="L535">
        <v>272.32</v>
      </c>
      <c r="M535" t="str">
        <f t="shared" si="72"/>
        <v>Mouse</v>
      </c>
      <c r="N535" t="str">
        <f t="shared" si="73"/>
        <v>Chennai</v>
      </c>
      <c r="O535" t="str">
        <f t="shared" si="74"/>
        <v>South</v>
      </c>
      <c r="P535" t="str">
        <f t="shared" si="75"/>
        <v>Electronics</v>
      </c>
      <c r="Q535" t="str">
        <f t="shared" si="76"/>
        <v>Electronics</v>
      </c>
      <c r="R535" t="str">
        <f t="shared" si="77"/>
        <v>South</v>
      </c>
      <c r="S535" t="str">
        <f t="shared" si="78"/>
        <v>Chennai</v>
      </c>
      <c r="T535">
        <f t="shared" si="79"/>
        <v>1042.95</v>
      </c>
      <c r="U535" t="str">
        <f t="shared" si="80"/>
        <v>OK</v>
      </c>
    </row>
    <row r="536" spans="1:21" x14ac:dyDescent="0.3">
      <c r="A536" t="s">
        <v>764</v>
      </c>
      <c r="B536" s="3">
        <v>45867</v>
      </c>
      <c r="C536" t="s">
        <v>189</v>
      </c>
      <c r="D536" t="s">
        <v>92</v>
      </c>
      <c r="E536" t="s">
        <v>51</v>
      </c>
      <c r="F536" t="s">
        <v>16</v>
      </c>
      <c r="G536" t="s">
        <v>17</v>
      </c>
      <c r="H536">
        <v>1</v>
      </c>
      <c r="I536">
        <v>17057</v>
      </c>
      <c r="J536">
        <v>0</v>
      </c>
      <c r="K536">
        <v>17057</v>
      </c>
      <c r="L536">
        <v>2108.84</v>
      </c>
      <c r="M536" t="str">
        <f t="shared" si="72"/>
        <v>Monitor</v>
      </c>
      <c r="N536" t="str">
        <f t="shared" si="73"/>
        <v>Guwahati</v>
      </c>
      <c r="O536" t="str">
        <f t="shared" si="74"/>
        <v>East</v>
      </c>
      <c r="P536" t="str">
        <f t="shared" si="75"/>
        <v>Electronics</v>
      </c>
      <c r="Q536" t="str">
        <f t="shared" si="76"/>
        <v>Electronics</v>
      </c>
      <c r="R536" t="str">
        <f t="shared" si="77"/>
        <v>East</v>
      </c>
      <c r="S536" t="str">
        <f t="shared" si="78"/>
        <v>Guwahati</v>
      </c>
      <c r="T536">
        <f t="shared" si="79"/>
        <v>17057</v>
      </c>
      <c r="U536" t="str">
        <f t="shared" si="80"/>
        <v>OK</v>
      </c>
    </row>
    <row r="537" spans="1:21" x14ac:dyDescent="0.3">
      <c r="A537" t="s">
        <v>765</v>
      </c>
      <c r="B537" s="3">
        <v>45742</v>
      </c>
      <c r="C537" t="s">
        <v>238</v>
      </c>
      <c r="D537" t="s">
        <v>47</v>
      </c>
      <c r="E537" t="s">
        <v>26</v>
      </c>
      <c r="F537" t="s">
        <v>16</v>
      </c>
      <c r="G537" t="s">
        <v>52</v>
      </c>
      <c r="H537">
        <v>1</v>
      </c>
      <c r="I537">
        <v>21369</v>
      </c>
      <c r="J537">
        <v>0.1</v>
      </c>
      <c r="K537">
        <v>19232.099999999999</v>
      </c>
      <c r="L537">
        <v>3866</v>
      </c>
      <c r="M537" t="str">
        <f t="shared" si="72"/>
        <v>Air Purifier</v>
      </c>
      <c r="N537" t="str">
        <f t="shared" si="73"/>
        <v>Kolkata</v>
      </c>
      <c r="O537" t="str">
        <f t="shared" si="74"/>
        <v>East</v>
      </c>
      <c r="P537" t="str">
        <f t="shared" si="75"/>
        <v>Home Appliances</v>
      </c>
      <c r="Q537" t="str">
        <f t="shared" si="76"/>
        <v>Home Appliances</v>
      </c>
      <c r="R537" t="str">
        <f t="shared" si="77"/>
        <v>East</v>
      </c>
      <c r="S537" t="str">
        <f t="shared" si="78"/>
        <v>Kolkata</v>
      </c>
      <c r="T537">
        <f t="shared" si="79"/>
        <v>19232.100000000002</v>
      </c>
      <c r="U537" t="str">
        <f t="shared" si="80"/>
        <v>OK</v>
      </c>
    </row>
    <row r="538" spans="1:21" x14ac:dyDescent="0.3">
      <c r="A538" t="s">
        <v>766</v>
      </c>
      <c r="B538" s="3">
        <v>45807</v>
      </c>
      <c r="C538" t="s">
        <v>363</v>
      </c>
      <c r="D538" t="s">
        <v>47</v>
      </c>
      <c r="E538" t="s">
        <v>26</v>
      </c>
      <c r="F538" t="s">
        <v>27</v>
      </c>
      <c r="G538" t="s">
        <v>28</v>
      </c>
      <c r="H538">
        <v>1</v>
      </c>
      <c r="I538">
        <v>16065</v>
      </c>
      <c r="J538">
        <v>0.15</v>
      </c>
      <c r="K538">
        <v>13655.25</v>
      </c>
      <c r="L538">
        <v>2521.86</v>
      </c>
      <c r="M538" t="str">
        <f t="shared" si="72"/>
        <v>Air Purifier</v>
      </c>
      <c r="N538" t="str">
        <f t="shared" si="73"/>
        <v>Bengaluru</v>
      </c>
      <c r="O538" t="str">
        <f t="shared" si="74"/>
        <v>South</v>
      </c>
      <c r="P538" t="str">
        <f t="shared" si="75"/>
        <v>Home Appliances</v>
      </c>
      <c r="Q538" t="str">
        <f t="shared" si="76"/>
        <v>Home Appliances</v>
      </c>
      <c r="R538" t="str">
        <f t="shared" si="77"/>
        <v>South</v>
      </c>
      <c r="S538" t="str">
        <f t="shared" si="78"/>
        <v>Bengaluru</v>
      </c>
      <c r="T538">
        <f t="shared" si="79"/>
        <v>13655.25</v>
      </c>
      <c r="U538" t="str">
        <f t="shared" si="80"/>
        <v>OK</v>
      </c>
    </row>
    <row r="539" spans="1:21" x14ac:dyDescent="0.3">
      <c r="A539" t="s">
        <v>767</v>
      </c>
      <c r="B539" s="3">
        <v>45780</v>
      </c>
      <c r="C539" t="s">
        <v>180</v>
      </c>
      <c r="D539" t="s">
        <v>25</v>
      </c>
      <c r="E539" t="s">
        <v>26</v>
      </c>
      <c r="F539" t="s">
        <v>16</v>
      </c>
      <c r="G539" t="s">
        <v>17</v>
      </c>
      <c r="H539">
        <v>1</v>
      </c>
      <c r="I539">
        <v>8214</v>
      </c>
      <c r="J539">
        <v>0</v>
      </c>
      <c r="K539">
        <v>8214</v>
      </c>
      <c r="L539">
        <v>1292.4000000000001</v>
      </c>
      <c r="M539" t="str">
        <f t="shared" si="72"/>
        <v>Microwave</v>
      </c>
      <c r="N539" t="str">
        <f t="shared" si="73"/>
        <v>Guwahati</v>
      </c>
      <c r="O539" t="str">
        <f t="shared" si="74"/>
        <v>East</v>
      </c>
      <c r="P539" t="str">
        <f t="shared" si="75"/>
        <v>Home Appliances</v>
      </c>
      <c r="Q539" t="str">
        <f t="shared" si="76"/>
        <v>Home Appliances</v>
      </c>
      <c r="R539" t="str">
        <f t="shared" si="77"/>
        <v>East</v>
      </c>
      <c r="S539" t="str">
        <f t="shared" si="78"/>
        <v>Guwahati</v>
      </c>
      <c r="T539">
        <f t="shared" si="79"/>
        <v>8214</v>
      </c>
      <c r="U539" t="str">
        <f t="shared" si="80"/>
        <v>OK</v>
      </c>
    </row>
    <row r="540" spans="1:21" x14ac:dyDescent="0.3">
      <c r="A540" t="s">
        <v>768</v>
      </c>
      <c r="B540" s="3">
        <v>45804</v>
      </c>
      <c r="C540" t="s">
        <v>238</v>
      </c>
      <c r="D540" t="s">
        <v>34</v>
      </c>
      <c r="E540" t="s">
        <v>15</v>
      </c>
      <c r="F540" t="s">
        <v>58</v>
      </c>
      <c r="G540" t="s">
        <v>126</v>
      </c>
      <c r="H540">
        <v>4</v>
      </c>
      <c r="I540">
        <v>11871</v>
      </c>
      <c r="J540">
        <v>0</v>
      </c>
      <c r="K540">
        <v>47484</v>
      </c>
      <c r="L540">
        <v>8304.33</v>
      </c>
      <c r="M540" t="str">
        <f t="shared" si="72"/>
        <v>Desk</v>
      </c>
      <c r="N540" t="str">
        <f t="shared" si="73"/>
        <v>Delhi</v>
      </c>
      <c r="O540" t="str">
        <f t="shared" si="74"/>
        <v>North</v>
      </c>
      <c r="P540" t="str">
        <f t="shared" si="75"/>
        <v>Furniture</v>
      </c>
      <c r="Q540" t="str">
        <f t="shared" si="76"/>
        <v>Furniture</v>
      </c>
      <c r="R540" t="str">
        <f t="shared" si="77"/>
        <v>North</v>
      </c>
      <c r="S540" t="str">
        <f t="shared" si="78"/>
        <v>Delhi</v>
      </c>
      <c r="T540">
        <f t="shared" si="79"/>
        <v>47484</v>
      </c>
      <c r="U540" t="str">
        <f t="shared" si="80"/>
        <v>OK</v>
      </c>
    </row>
    <row r="541" spans="1:21" x14ac:dyDescent="0.3">
      <c r="A541" t="s">
        <v>769</v>
      </c>
      <c r="B541" s="3">
        <v>45673</v>
      </c>
      <c r="C541" t="s">
        <v>719</v>
      </c>
      <c r="D541" t="s">
        <v>103</v>
      </c>
      <c r="E541" t="s">
        <v>51</v>
      </c>
      <c r="F541" t="s">
        <v>21</v>
      </c>
      <c r="G541" t="s">
        <v>22</v>
      </c>
      <c r="H541">
        <v>2</v>
      </c>
      <c r="I541">
        <v>8049</v>
      </c>
      <c r="J541">
        <v>0.1</v>
      </c>
      <c r="K541">
        <v>14488.2</v>
      </c>
      <c r="L541">
        <v>3940.18</v>
      </c>
      <c r="M541" t="str">
        <f t="shared" si="72"/>
        <v>Headphones</v>
      </c>
      <c r="N541" t="str">
        <f t="shared" si="73"/>
        <v>Ahmedabad</v>
      </c>
      <c r="O541" t="str">
        <f t="shared" si="74"/>
        <v>West</v>
      </c>
      <c r="P541" t="str">
        <f t="shared" si="75"/>
        <v>Electronics</v>
      </c>
      <c r="Q541" t="str">
        <f t="shared" si="76"/>
        <v>Electronics</v>
      </c>
      <c r="R541" t="str">
        <f t="shared" si="77"/>
        <v>West</v>
      </c>
      <c r="S541" t="str">
        <f t="shared" si="78"/>
        <v>Ahmedabad</v>
      </c>
      <c r="T541">
        <f t="shared" si="79"/>
        <v>14488.2</v>
      </c>
      <c r="U541" t="str">
        <f t="shared" si="80"/>
        <v>OK</v>
      </c>
    </row>
    <row r="542" spans="1:21" x14ac:dyDescent="0.3">
      <c r="A542" t="s">
        <v>770</v>
      </c>
      <c r="B542" s="3">
        <v>45770</v>
      </c>
      <c r="C542" t="s">
        <v>77</v>
      </c>
      <c r="D542" t="s">
        <v>92</v>
      </c>
      <c r="E542" t="s">
        <v>51</v>
      </c>
      <c r="F542" t="s">
        <v>58</v>
      </c>
      <c r="G542" t="s">
        <v>69</v>
      </c>
      <c r="H542">
        <v>2</v>
      </c>
      <c r="I542">
        <v>9729</v>
      </c>
      <c r="J542">
        <v>0.2</v>
      </c>
      <c r="K542">
        <v>15566.4</v>
      </c>
      <c r="L542">
        <v>3867.21</v>
      </c>
      <c r="M542" t="str">
        <f t="shared" si="72"/>
        <v>Monitor</v>
      </c>
      <c r="N542" t="str">
        <f t="shared" si="73"/>
        <v>Jaipur</v>
      </c>
      <c r="O542" t="str">
        <f t="shared" si="74"/>
        <v>North</v>
      </c>
      <c r="P542" t="str">
        <f t="shared" si="75"/>
        <v>Electronics</v>
      </c>
      <c r="Q542" t="str">
        <f t="shared" si="76"/>
        <v>Electronics</v>
      </c>
      <c r="R542" t="str">
        <f t="shared" si="77"/>
        <v>North</v>
      </c>
      <c r="S542" t="str">
        <f t="shared" si="78"/>
        <v>Jaipur</v>
      </c>
      <c r="T542">
        <f t="shared" si="79"/>
        <v>15566.400000000001</v>
      </c>
      <c r="U542" t="str">
        <f t="shared" si="80"/>
        <v>OK</v>
      </c>
    </row>
    <row r="543" spans="1:21" x14ac:dyDescent="0.3">
      <c r="A543" t="s">
        <v>771</v>
      </c>
      <c r="B543" s="3">
        <v>45845</v>
      </c>
      <c r="C543" t="s">
        <v>228</v>
      </c>
      <c r="D543" t="s">
        <v>120</v>
      </c>
      <c r="E543" t="s">
        <v>51</v>
      </c>
      <c r="F543" t="s">
        <v>58</v>
      </c>
      <c r="G543" t="s">
        <v>126</v>
      </c>
      <c r="H543">
        <v>1</v>
      </c>
      <c r="I543">
        <v>1333</v>
      </c>
      <c r="J543">
        <v>0.05</v>
      </c>
      <c r="K543">
        <v>1266.3499999999999</v>
      </c>
      <c r="L543">
        <v>192.01</v>
      </c>
      <c r="M543" t="str">
        <f t="shared" si="72"/>
        <v>Mouse</v>
      </c>
      <c r="N543" t="str">
        <f t="shared" si="73"/>
        <v>Delhi</v>
      </c>
      <c r="O543" t="str">
        <f t="shared" si="74"/>
        <v>North</v>
      </c>
      <c r="P543" t="str">
        <f t="shared" si="75"/>
        <v>Electronics</v>
      </c>
      <c r="Q543" t="str">
        <f t="shared" si="76"/>
        <v>Electronics</v>
      </c>
      <c r="R543" t="str">
        <f t="shared" si="77"/>
        <v>North</v>
      </c>
      <c r="S543" t="str">
        <f t="shared" si="78"/>
        <v>Delhi</v>
      </c>
      <c r="T543">
        <f t="shared" si="79"/>
        <v>1266.3499999999999</v>
      </c>
      <c r="U543" t="str">
        <f t="shared" si="80"/>
        <v>OK</v>
      </c>
    </row>
    <row r="544" spans="1:21" x14ac:dyDescent="0.3">
      <c r="A544" t="s">
        <v>772</v>
      </c>
      <c r="B544" s="3">
        <v>45675</v>
      </c>
      <c r="C544" t="s">
        <v>313</v>
      </c>
      <c r="D544" t="s">
        <v>83</v>
      </c>
      <c r="E544" t="s">
        <v>73</v>
      </c>
      <c r="F544" t="s">
        <v>16</v>
      </c>
      <c r="G544" t="s">
        <v>52</v>
      </c>
      <c r="H544">
        <v>4</v>
      </c>
      <c r="I544">
        <v>309</v>
      </c>
      <c r="J544">
        <v>0.05</v>
      </c>
      <c r="K544">
        <v>1174.2</v>
      </c>
      <c r="L544">
        <v>251.84</v>
      </c>
      <c r="M544" t="str">
        <f t="shared" si="72"/>
        <v>Printer Paper</v>
      </c>
      <c r="N544" t="str">
        <f t="shared" si="73"/>
        <v>Kolkata</v>
      </c>
      <c r="O544" t="str">
        <f t="shared" si="74"/>
        <v>East</v>
      </c>
      <c r="P544" t="str">
        <f t="shared" si="75"/>
        <v>Office Supplies</v>
      </c>
      <c r="Q544" t="str">
        <f t="shared" si="76"/>
        <v>Office Supplies</v>
      </c>
      <c r="R544" t="str">
        <f t="shared" si="77"/>
        <v>East</v>
      </c>
      <c r="S544" t="str">
        <f t="shared" si="78"/>
        <v>Kolkata</v>
      </c>
      <c r="T544">
        <f t="shared" si="79"/>
        <v>1174.2</v>
      </c>
      <c r="U544" t="str">
        <f t="shared" si="80"/>
        <v>OK</v>
      </c>
    </row>
    <row r="545" spans="1:21" x14ac:dyDescent="0.3">
      <c r="A545" t="s">
        <v>773</v>
      </c>
      <c r="B545" s="3">
        <v>45817</v>
      </c>
      <c r="C545" t="s">
        <v>185</v>
      </c>
      <c r="D545" t="s">
        <v>88</v>
      </c>
      <c r="E545" t="s">
        <v>73</v>
      </c>
      <c r="F545" t="s">
        <v>21</v>
      </c>
      <c r="G545" t="s">
        <v>22</v>
      </c>
      <c r="H545">
        <v>2</v>
      </c>
      <c r="I545">
        <v>308</v>
      </c>
      <c r="J545">
        <v>0</v>
      </c>
      <c r="K545">
        <v>616</v>
      </c>
      <c r="L545">
        <v>90.6</v>
      </c>
      <c r="M545" t="str">
        <f t="shared" si="72"/>
        <v>Stapler</v>
      </c>
      <c r="N545" t="str">
        <f t="shared" si="73"/>
        <v>Ahmedabad</v>
      </c>
      <c r="O545" t="str">
        <f t="shared" si="74"/>
        <v>West</v>
      </c>
      <c r="P545" t="str">
        <f t="shared" si="75"/>
        <v>Office Supplies</v>
      </c>
      <c r="Q545" t="str">
        <f t="shared" si="76"/>
        <v>Office Supplies</v>
      </c>
      <c r="R545" t="str">
        <f t="shared" si="77"/>
        <v>West</v>
      </c>
      <c r="S545" t="str">
        <f t="shared" si="78"/>
        <v>Ahmedabad</v>
      </c>
      <c r="T545">
        <f t="shared" si="79"/>
        <v>616</v>
      </c>
      <c r="U545" t="str">
        <f t="shared" si="80"/>
        <v>OK</v>
      </c>
    </row>
    <row r="546" spans="1:21" x14ac:dyDescent="0.3">
      <c r="A546" t="s">
        <v>774</v>
      </c>
      <c r="B546" s="3">
        <v>45663</v>
      </c>
      <c r="C546" t="s">
        <v>194</v>
      </c>
      <c r="D546" t="s">
        <v>43</v>
      </c>
      <c r="E546" t="s">
        <v>44</v>
      </c>
      <c r="F546" t="s">
        <v>16</v>
      </c>
      <c r="G546" t="s">
        <v>104</v>
      </c>
      <c r="H546">
        <v>3</v>
      </c>
      <c r="I546">
        <v>678</v>
      </c>
      <c r="J546">
        <v>0.05</v>
      </c>
      <c r="K546">
        <v>1932.3</v>
      </c>
      <c r="L546">
        <v>246.15</v>
      </c>
      <c r="M546" t="str">
        <f t="shared" si="72"/>
        <v>Phone Holder</v>
      </c>
      <c r="N546" t="str">
        <f t="shared" si="73"/>
        <v>Bhubaneswar</v>
      </c>
      <c r="O546" t="str">
        <f t="shared" si="74"/>
        <v>East</v>
      </c>
      <c r="P546" t="str">
        <f t="shared" si="75"/>
        <v>Accessories</v>
      </c>
      <c r="Q546" t="str">
        <f t="shared" si="76"/>
        <v>Accessories</v>
      </c>
      <c r="R546" t="str">
        <f t="shared" si="77"/>
        <v>East</v>
      </c>
      <c r="S546" t="str">
        <f t="shared" si="78"/>
        <v>Bhubaneswar</v>
      </c>
      <c r="T546">
        <f t="shared" si="79"/>
        <v>1932.3</v>
      </c>
      <c r="U546" t="str">
        <f t="shared" si="80"/>
        <v>OK</v>
      </c>
    </row>
    <row r="547" spans="1:21" x14ac:dyDescent="0.3">
      <c r="A547" t="s">
        <v>775</v>
      </c>
      <c r="B547" s="3">
        <v>45723</v>
      </c>
      <c r="C547" t="s">
        <v>109</v>
      </c>
      <c r="D547" t="s">
        <v>92</v>
      </c>
      <c r="E547" t="s">
        <v>51</v>
      </c>
      <c r="F547" t="s">
        <v>16</v>
      </c>
      <c r="G547" t="s">
        <v>104</v>
      </c>
      <c r="H547">
        <v>2</v>
      </c>
      <c r="I547">
        <v>10798</v>
      </c>
      <c r="J547">
        <v>0.05</v>
      </c>
      <c r="K547">
        <v>20516.2</v>
      </c>
      <c r="L547">
        <v>4848.5200000000004</v>
      </c>
      <c r="M547" t="str">
        <f t="shared" si="72"/>
        <v>Monitor</v>
      </c>
      <c r="N547" t="str">
        <f t="shared" si="73"/>
        <v>Bhubaneswar</v>
      </c>
      <c r="O547" t="str">
        <f t="shared" si="74"/>
        <v>East</v>
      </c>
      <c r="P547" t="str">
        <f t="shared" si="75"/>
        <v>Electronics</v>
      </c>
      <c r="Q547" t="str">
        <f t="shared" si="76"/>
        <v>Electronics</v>
      </c>
      <c r="R547" t="str">
        <f t="shared" si="77"/>
        <v>East</v>
      </c>
      <c r="S547" t="str">
        <f t="shared" si="78"/>
        <v>Bhubaneswar</v>
      </c>
      <c r="T547">
        <f t="shared" si="79"/>
        <v>20516.2</v>
      </c>
      <c r="U547" t="str">
        <f t="shared" si="80"/>
        <v>OK</v>
      </c>
    </row>
    <row r="548" spans="1:21" x14ac:dyDescent="0.3">
      <c r="A548" t="s">
        <v>776</v>
      </c>
      <c r="B548" s="3">
        <v>45692</v>
      </c>
      <c r="C548" t="s">
        <v>183</v>
      </c>
      <c r="D548" t="s">
        <v>153</v>
      </c>
      <c r="E548" t="s">
        <v>26</v>
      </c>
      <c r="F548" t="s">
        <v>16</v>
      </c>
      <c r="G548" t="s">
        <v>17</v>
      </c>
      <c r="H548">
        <v>1</v>
      </c>
      <c r="I548">
        <v>7655</v>
      </c>
      <c r="J548">
        <v>0.2</v>
      </c>
      <c r="K548">
        <v>6124</v>
      </c>
      <c r="L548">
        <v>1384.32</v>
      </c>
      <c r="M548" t="str">
        <f t="shared" si="72"/>
        <v>Coffee Maker</v>
      </c>
      <c r="N548" t="str">
        <f t="shared" si="73"/>
        <v>Guwahati</v>
      </c>
      <c r="O548" t="str">
        <f t="shared" si="74"/>
        <v>East</v>
      </c>
      <c r="P548" t="str">
        <f t="shared" si="75"/>
        <v>Home Appliances</v>
      </c>
      <c r="Q548" t="str">
        <f t="shared" si="76"/>
        <v>Home Appliances</v>
      </c>
      <c r="R548" t="str">
        <f t="shared" si="77"/>
        <v>East</v>
      </c>
      <c r="S548" t="str">
        <f t="shared" si="78"/>
        <v>Guwahati</v>
      </c>
      <c r="T548">
        <f t="shared" si="79"/>
        <v>6124</v>
      </c>
      <c r="U548" t="str">
        <f t="shared" si="80"/>
        <v>OK</v>
      </c>
    </row>
    <row r="549" spans="1:21" x14ac:dyDescent="0.3">
      <c r="A549" t="s">
        <v>777</v>
      </c>
      <c r="B549" s="3">
        <v>45932</v>
      </c>
      <c r="C549" t="s">
        <v>79</v>
      </c>
      <c r="D549" t="s">
        <v>307</v>
      </c>
      <c r="E549" t="s">
        <v>73</v>
      </c>
      <c r="F549" t="s">
        <v>16</v>
      </c>
      <c r="G549" t="s">
        <v>104</v>
      </c>
      <c r="H549">
        <v>1</v>
      </c>
      <c r="I549">
        <v>350</v>
      </c>
      <c r="J549">
        <v>0.05</v>
      </c>
      <c r="K549">
        <v>332.5</v>
      </c>
      <c r="L549">
        <v>65.06</v>
      </c>
      <c r="M549" t="str">
        <f t="shared" si="72"/>
        <v>Notebook</v>
      </c>
      <c r="N549" t="str">
        <f t="shared" si="73"/>
        <v>Bhubaneswar</v>
      </c>
      <c r="O549" t="str">
        <f t="shared" si="74"/>
        <v>East</v>
      </c>
      <c r="P549" t="str">
        <f t="shared" si="75"/>
        <v>Office Supplies</v>
      </c>
      <c r="Q549" t="str">
        <f t="shared" si="76"/>
        <v>Office Supplies</v>
      </c>
      <c r="R549" t="str">
        <f t="shared" si="77"/>
        <v>East</v>
      </c>
      <c r="S549" t="str">
        <f t="shared" si="78"/>
        <v>Bhubaneswar</v>
      </c>
      <c r="T549">
        <f t="shared" si="79"/>
        <v>332.5</v>
      </c>
      <c r="U549" t="str">
        <f t="shared" si="80"/>
        <v>OK</v>
      </c>
    </row>
    <row r="550" spans="1:21" x14ac:dyDescent="0.3">
      <c r="A550" t="s">
        <v>778</v>
      </c>
      <c r="B550" s="3">
        <v>45834</v>
      </c>
      <c r="C550" t="s">
        <v>346</v>
      </c>
      <c r="D550" t="s">
        <v>65</v>
      </c>
      <c r="E550" t="s">
        <v>26</v>
      </c>
      <c r="F550" t="s">
        <v>58</v>
      </c>
      <c r="G550" t="s">
        <v>69</v>
      </c>
      <c r="H550">
        <v>5</v>
      </c>
      <c r="I550">
        <v>4137</v>
      </c>
      <c r="J550">
        <v>0.1</v>
      </c>
      <c r="K550">
        <v>18616.5</v>
      </c>
      <c r="L550">
        <v>3200.71</v>
      </c>
      <c r="M550" t="str">
        <f t="shared" si="72"/>
        <v>Electric Kettle</v>
      </c>
      <c r="N550" t="str">
        <f t="shared" si="73"/>
        <v>Jaipur</v>
      </c>
      <c r="O550" t="str">
        <f t="shared" si="74"/>
        <v>North</v>
      </c>
      <c r="P550" t="str">
        <f t="shared" si="75"/>
        <v>Home Appliances</v>
      </c>
      <c r="Q550" t="str">
        <f t="shared" si="76"/>
        <v>Home Appliances</v>
      </c>
      <c r="R550" t="str">
        <f t="shared" si="77"/>
        <v>North</v>
      </c>
      <c r="S550" t="str">
        <f t="shared" si="78"/>
        <v>Jaipur</v>
      </c>
      <c r="T550">
        <f t="shared" si="79"/>
        <v>18616.5</v>
      </c>
      <c r="U550" t="str">
        <f t="shared" si="80"/>
        <v>OK</v>
      </c>
    </row>
    <row r="551" spans="1:21" x14ac:dyDescent="0.3">
      <c r="A551" t="s">
        <v>779</v>
      </c>
      <c r="B551" s="3">
        <v>45807</v>
      </c>
      <c r="C551" t="s">
        <v>713</v>
      </c>
      <c r="D551" t="s">
        <v>30</v>
      </c>
      <c r="E551" t="s">
        <v>15</v>
      </c>
      <c r="F551" t="s">
        <v>21</v>
      </c>
      <c r="G551" t="s">
        <v>55</v>
      </c>
      <c r="H551">
        <v>1</v>
      </c>
      <c r="I551">
        <v>10917</v>
      </c>
      <c r="J551">
        <v>0.05</v>
      </c>
      <c r="K551">
        <v>10371.15</v>
      </c>
      <c r="L551">
        <v>1105.58</v>
      </c>
      <c r="M551" t="str">
        <f t="shared" si="72"/>
        <v>Bookshelf</v>
      </c>
      <c r="N551" t="str">
        <f t="shared" si="73"/>
        <v>Pune</v>
      </c>
      <c r="O551" t="str">
        <f t="shared" si="74"/>
        <v>West</v>
      </c>
      <c r="P551" t="str">
        <f t="shared" si="75"/>
        <v>Furniture</v>
      </c>
      <c r="Q551" t="str">
        <f t="shared" si="76"/>
        <v>Furniture</v>
      </c>
      <c r="R551" t="str">
        <f t="shared" si="77"/>
        <v>West</v>
      </c>
      <c r="S551" t="str">
        <f t="shared" si="78"/>
        <v>Pune</v>
      </c>
      <c r="T551">
        <f t="shared" si="79"/>
        <v>10371.15</v>
      </c>
      <c r="U551" t="str">
        <f t="shared" si="80"/>
        <v>OK</v>
      </c>
    </row>
    <row r="552" spans="1:21" x14ac:dyDescent="0.3">
      <c r="A552" t="s">
        <v>780</v>
      </c>
      <c r="B552" s="3">
        <v>45722</v>
      </c>
      <c r="C552" t="s">
        <v>595</v>
      </c>
      <c r="D552" t="s">
        <v>14</v>
      </c>
      <c r="E552" t="s">
        <v>15</v>
      </c>
      <c r="F552" t="s">
        <v>58</v>
      </c>
      <c r="G552" t="s">
        <v>126</v>
      </c>
      <c r="H552">
        <v>1</v>
      </c>
      <c r="I552">
        <v>9634</v>
      </c>
      <c r="J552">
        <v>0.15</v>
      </c>
      <c r="K552">
        <v>8188.9</v>
      </c>
      <c r="L552">
        <v>1802.75</v>
      </c>
      <c r="M552" t="str">
        <f t="shared" si="72"/>
        <v>Office Chair</v>
      </c>
      <c r="N552" t="str">
        <f t="shared" si="73"/>
        <v>Delhi</v>
      </c>
      <c r="O552" t="str">
        <f t="shared" si="74"/>
        <v>North</v>
      </c>
      <c r="P552" t="str">
        <f t="shared" si="75"/>
        <v>Furniture</v>
      </c>
      <c r="Q552" t="str">
        <f t="shared" si="76"/>
        <v>Furniture</v>
      </c>
      <c r="R552" t="str">
        <f t="shared" si="77"/>
        <v>North</v>
      </c>
      <c r="S552" t="str">
        <f t="shared" si="78"/>
        <v>Delhi</v>
      </c>
      <c r="T552">
        <f t="shared" si="79"/>
        <v>8188.9</v>
      </c>
      <c r="U552" t="str">
        <f t="shared" si="80"/>
        <v>OK</v>
      </c>
    </row>
    <row r="553" spans="1:21" x14ac:dyDescent="0.3">
      <c r="A553" t="s">
        <v>781</v>
      </c>
      <c r="B553" s="3">
        <v>45882</v>
      </c>
      <c r="C553" t="s">
        <v>13</v>
      </c>
      <c r="D553" t="s">
        <v>30</v>
      </c>
      <c r="E553" t="s">
        <v>15</v>
      </c>
      <c r="F553" t="s">
        <v>27</v>
      </c>
      <c r="G553" t="s">
        <v>31</v>
      </c>
      <c r="H553">
        <v>2</v>
      </c>
      <c r="I553">
        <v>6389</v>
      </c>
      <c r="J553">
        <v>0.05</v>
      </c>
      <c r="K553">
        <v>12139.1</v>
      </c>
      <c r="L553">
        <v>1516.42</v>
      </c>
      <c r="M553" t="str">
        <f t="shared" si="72"/>
        <v>Bookshelf</v>
      </c>
      <c r="N553" t="str">
        <f t="shared" si="73"/>
        <v>Hyderabad</v>
      </c>
      <c r="O553" t="str">
        <f t="shared" si="74"/>
        <v>South</v>
      </c>
      <c r="P553" t="str">
        <f t="shared" si="75"/>
        <v>Furniture</v>
      </c>
      <c r="Q553" t="str">
        <f t="shared" si="76"/>
        <v>Furniture</v>
      </c>
      <c r="R553" t="str">
        <f t="shared" si="77"/>
        <v>South</v>
      </c>
      <c r="S553" t="str">
        <f t="shared" si="78"/>
        <v>Hyderabad</v>
      </c>
      <c r="T553">
        <f t="shared" si="79"/>
        <v>12139.099999999999</v>
      </c>
      <c r="U553" t="str">
        <f t="shared" si="80"/>
        <v>OK</v>
      </c>
    </row>
    <row r="554" spans="1:21" x14ac:dyDescent="0.3">
      <c r="A554" t="s">
        <v>782</v>
      </c>
      <c r="B554" s="3">
        <v>45792</v>
      </c>
      <c r="C554" t="s">
        <v>150</v>
      </c>
      <c r="D554" t="s">
        <v>72</v>
      </c>
      <c r="E554" t="s">
        <v>73</v>
      </c>
      <c r="F554" t="s">
        <v>16</v>
      </c>
      <c r="G554" t="s">
        <v>104</v>
      </c>
      <c r="H554">
        <v>3</v>
      </c>
      <c r="I554">
        <v>786</v>
      </c>
      <c r="J554">
        <v>0.05</v>
      </c>
      <c r="K554">
        <v>2240.1</v>
      </c>
      <c r="L554">
        <v>490.56</v>
      </c>
      <c r="M554" t="str">
        <f t="shared" si="72"/>
        <v>Desk Organizer</v>
      </c>
      <c r="N554" t="str">
        <f t="shared" si="73"/>
        <v>Bhubaneswar</v>
      </c>
      <c r="O554" t="str">
        <f t="shared" si="74"/>
        <v>East</v>
      </c>
      <c r="P554" t="str">
        <f t="shared" si="75"/>
        <v>Office Supplies</v>
      </c>
      <c r="Q554" t="str">
        <f t="shared" si="76"/>
        <v>Office Supplies</v>
      </c>
      <c r="R554" t="str">
        <f t="shared" si="77"/>
        <v>East</v>
      </c>
      <c r="S554" t="str">
        <f t="shared" si="78"/>
        <v>Bhubaneswar</v>
      </c>
      <c r="T554">
        <f t="shared" si="79"/>
        <v>2240.1</v>
      </c>
      <c r="U554" t="str">
        <f t="shared" si="80"/>
        <v>OK</v>
      </c>
    </row>
    <row r="555" spans="1:21" x14ac:dyDescent="0.3">
      <c r="A555" t="s">
        <v>783</v>
      </c>
      <c r="B555" s="3">
        <v>45734</v>
      </c>
      <c r="C555" t="s">
        <v>49</v>
      </c>
      <c r="D555" t="s">
        <v>14</v>
      </c>
      <c r="E555" t="s">
        <v>15</v>
      </c>
      <c r="F555" t="s">
        <v>27</v>
      </c>
      <c r="G555" t="s">
        <v>28</v>
      </c>
      <c r="H555">
        <v>2</v>
      </c>
      <c r="I555">
        <v>9808</v>
      </c>
      <c r="J555">
        <v>0.2</v>
      </c>
      <c r="K555">
        <v>15692.8</v>
      </c>
      <c r="L555">
        <v>1446.65</v>
      </c>
      <c r="M555" t="str">
        <f t="shared" si="72"/>
        <v>Office Chair</v>
      </c>
      <c r="N555" t="str">
        <f t="shared" si="73"/>
        <v>Bengaluru</v>
      </c>
      <c r="O555" t="str">
        <f t="shared" si="74"/>
        <v>South</v>
      </c>
      <c r="P555" t="str">
        <f t="shared" si="75"/>
        <v>Furniture</v>
      </c>
      <c r="Q555" t="str">
        <f t="shared" si="76"/>
        <v>Furniture</v>
      </c>
      <c r="R555" t="str">
        <f t="shared" si="77"/>
        <v>South</v>
      </c>
      <c r="S555" t="str">
        <f t="shared" si="78"/>
        <v>Bengaluru</v>
      </c>
      <c r="T555">
        <f t="shared" si="79"/>
        <v>15692.800000000001</v>
      </c>
      <c r="U555" t="str">
        <f t="shared" si="80"/>
        <v>OK</v>
      </c>
    </row>
    <row r="556" spans="1:21" x14ac:dyDescent="0.3">
      <c r="A556" t="s">
        <v>784</v>
      </c>
      <c r="B556" s="3">
        <v>45954</v>
      </c>
      <c r="C556" t="s">
        <v>57</v>
      </c>
      <c r="D556" t="s">
        <v>47</v>
      </c>
      <c r="E556" t="s">
        <v>26</v>
      </c>
      <c r="F556" t="s">
        <v>27</v>
      </c>
      <c r="G556" t="s">
        <v>40</v>
      </c>
      <c r="H556">
        <v>2</v>
      </c>
      <c r="I556">
        <v>11284</v>
      </c>
      <c r="J556">
        <v>0.15</v>
      </c>
      <c r="K556">
        <v>19182.8</v>
      </c>
      <c r="L556">
        <v>1626.5</v>
      </c>
      <c r="M556" t="str">
        <f t="shared" si="72"/>
        <v>Air Purifier</v>
      </c>
      <c r="N556" t="str">
        <f t="shared" si="73"/>
        <v>Chennai</v>
      </c>
      <c r="O556" t="str">
        <f t="shared" si="74"/>
        <v>South</v>
      </c>
      <c r="P556" t="str">
        <f t="shared" si="75"/>
        <v>Home Appliances</v>
      </c>
      <c r="Q556" t="str">
        <f t="shared" si="76"/>
        <v>Home Appliances</v>
      </c>
      <c r="R556" t="str">
        <f t="shared" si="77"/>
        <v>South</v>
      </c>
      <c r="S556" t="str">
        <f t="shared" si="78"/>
        <v>Chennai</v>
      </c>
      <c r="T556">
        <f t="shared" si="79"/>
        <v>19182.8</v>
      </c>
      <c r="U556" t="str">
        <f t="shared" si="80"/>
        <v>OK</v>
      </c>
    </row>
    <row r="557" spans="1:21" x14ac:dyDescent="0.3">
      <c r="A557" t="s">
        <v>785</v>
      </c>
      <c r="B557" s="3">
        <v>46012</v>
      </c>
      <c r="C557" t="s">
        <v>13</v>
      </c>
      <c r="D557" t="s">
        <v>50</v>
      </c>
      <c r="E557" t="s">
        <v>51</v>
      </c>
      <c r="F557" t="s">
        <v>16</v>
      </c>
      <c r="G557" t="s">
        <v>52</v>
      </c>
      <c r="H557">
        <v>1</v>
      </c>
      <c r="I557">
        <v>884</v>
      </c>
      <c r="J557">
        <v>0.1</v>
      </c>
      <c r="K557">
        <v>795.6</v>
      </c>
      <c r="L557">
        <v>121.19</v>
      </c>
      <c r="M557" t="str">
        <f t="shared" si="72"/>
        <v>Keyboard</v>
      </c>
      <c r="N557" t="str">
        <f t="shared" si="73"/>
        <v>Kolkata</v>
      </c>
      <c r="O557" t="str">
        <f t="shared" si="74"/>
        <v>East</v>
      </c>
      <c r="P557" t="str">
        <f t="shared" si="75"/>
        <v>Electronics</v>
      </c>
      <c r="Q557" t="str">
        <f t="shared" si="76"/>
        <v>Electronics</v>
      </c>
      <c r="R557" t="str">
        <f t="shared" si="77"/>
        <v>East</v>
      </c>
      <c r="S557" t="str">
        <f t="shared" si="78"/>
        <v>Kolkata</v>
      </c>
      <c r="T557">
        <f t="shared" si="79"/>
        <v>795.6</v>
      </c>
      <c r="U557" t="str">
        <f t="shared" si="80"/>
        <v>OK</v>
      </c>
    </row>
    <row r="558" spans="1:21" x14ac:dyDescent="0.3">
      <c r="A558" t="s">
        <v>786</v>
      </c>
      <c r="B558" s="3">
        <v>45783</v>
      </c>
      <c r="C558" t="s">
        <v>194</v>
      </c>
      <c r="D558" t="s">
        <v>25</v>
      </c>
      <c r="E558" t="s">
        <v>26</v>
      </c>
      <c r="F558" t="s">
        <v>58</v>
      </c>
      <c r="G558" t="s">
        <v>126</v>
      </c>
      <c r="H558">
        <v>2</v>
      </c>
      <c r="I558">
        <v>16688</v>
      </c>
      <c r="J558">
        <v>0.1</v>
      </c>
      <c r="K558">
        <v>30038.400000000001</v>
      </c>
      <c r="L558">
        <v>7270.26</v>
      </c>
      <c r="M558" t="str">
        <f t="shared" si="72"/>
        <v>Microwave</v>
      </c>
      <c r="N558" t="str">
        <f t="shared" si="73"/>
        <v>Delhi</v>
      </c>
      <c r="O558" t="str">
        <f t="shared" si="74"/>
        <v>North</v>
      </c>
      <c r="P558" t="str">
        <f t="shared" si="75"/>
        <v>Home Appliances</v>
      </c>
      <c r="Q558" t="str">
        <f t="shared" si="76"/>
        <v>Home Appliances</v>
      </c>
      <c r="R558" t="str">
        <f t="shared" si="77"/>
        <v>North</v>
      </c>
      <c r="S558" t="str">
        <f t="shared" si="78"/>
        <v>Delhi</v>
      </c>
      <c r="T558">
        <f t="shared" si="79"/>
        <v>30038.400000000001</v>
      </c>
      <c r="U558" t="str">
        <f t="shared" si="80"/>
        <v>OK</v>
      </c>
    </row>
    <row r="559" spans="1:21" x14ac:dyDescent="0.3">
      <c r="A559" t="s">
        <v>787</v>
      </c>
      <c r="B559" s="3">
        <v>45699</v>
      </c>
      <c r="C559" t="s">
        <v>131</v>
      </c>
      <c r="D559" t="s">
        <v>88</v>
      </c>
      <c r="E559" t="s">
        <v>73</v>
      </c>
      <c r="F559" t="s">
        <v>58</v>
      </c>
      <c r="G559" t="s">
        <v>126</v>
      </c>
      <c r="H559">
        <v>1</v>
      </c>
      <c r="I559">
        <v>234</v>
      </c>
      <c r="J559">
        <v>0</v>
      </c>
      <c r="K559">
        <v>234</v>
      </c>
      <c r="L559">
        <v>30.27</v>
      </c>
      <c r="M559" t="str">
        <f t="shared" si="72"/>
        <v>Stapler</v>
      </c>
      <c r="N559" t="str">
        <f t="shared" si="73"/>
        <v>Delhi</v>
      </c>
      <c r="O559" t="str">
        <f t="shared" si="74"/>
        <v>North</v>
      </c>
      <c r="P559" t="str">
        <f t="shared" si="75"/>
        <v>Office Supplies</v>
      </c>
      <c r="Q559" t="str">
        <f t="shared" si="76"/>
        <v>Office Supplies</v>
      </c>
      <c r="R559" t="str">
        <f t="shared" si="77"/>
        <v>North</v>
      </c>
      <c r="S559" t="str">
        <f t="shared" si="78"/>
        <v>Delhi</v>
      </c>
      <c r="T559">
        <f t="shared" si="79"/>
        <v>234</v>
      </c>
      <c r="U559" t="str">
        <f t="shared" si="80"/>
        <v>OK</v>
      </c>
    </row>
    <row r="560" spans="1:21" x14ac:dyDescent="0.3">
      <c r="A560" t="s">
        <v>788</v>
      </c>
      <c r="B560" s="3">
        <v>45779</v>
      </c>
      <c r="C560" t="s">
        <v>731</v>
      </c>
      <c r="D560" t="s">
        <v>14</v>
      </c>
      <c r="E560" t="s">
        <v>15</v>
      </c>
      <c r="F560" t="s">
        <v>27</v>
      </c>
      <c r="G560" t="s">
        <v>28</v>
      </c>
      <c r="H560">
        <v>1</v>
      </c>
      <c r="I560">
        <v>15978</v>
      </c>
      <c r="J560">
        <v>0</v>
      </c>
      <c r="K560">
        <v>15978</v>
      </c>
      <c r="L560">
        <v>3588.89</v>
      </c>
      <c r="M560" t="str">
        <f t="shared" si="72"/>
        <v>Office Chair</v>
      </c>
      <c r="N560" t="str">
        <f t="shared" si="73"/>
        <v>Bengaluru</v>
      </c>
      <c r="O560" t="str">
        <f t="shared" si="74"/>
        <v>South</v>
      </c>
      <c r="P560" t="str">
        <f t="shared" si="75"/>
        <v>Furniture</v>
      </c>
      <c r="Q560" t="str">
        <f t="shared" si="76"/>
        <v>Furniture</v>
      </c>
      <c r="R560" t="str">
        <f t="shared" si="77"/>
        <v>South</v>
      </c>
      <c r="S560" t="str">
        <f t="shared" si="78"/>
        <v>Bengaluru</v>
      </c>
      <c r="T560">
        <f t="shared" si="79"/>
        <v>15978</v>
      </c>
      <c r="U560" t="str">
        <f t="shared" si="80"/>
        <v>OK</v>
      </c>
    </row>
    <row r="561" spans="1:21" x14ac:dyDescent="0.3">
      <c r="A561" t="s">
        <v>789</v>
      </c>
      <c r="B561" s="3">
        <v>45986</v>
      </c>
      <c r="C561" t="s">
        <v>215</v>
      </c>
      <c r="D561" t="s">
        <v>65</v>
      </c>
      <c r="E561" t="s">
        <v>26</v>
      </c>
      <c r="F561" t="s">
        <v>27</v>
      </c>
      <c r="G561" t="s">
        <v>28</v>
      </c>
      <c r="H561">
        <v>2</v>
      </c>
      <c r="I561">
        <v>2479</v>
      </c>
      <c r="J561">
        <v>0.15</v>
      </c>
      <c r="K561">
        <v>4214.3</v>
      </c>
      <c r="L561">
        <v>597.41999999999996</v>
      </c>
      <c r="M561" t="str">
        <f t="shared" si="72"/>
        <v>Electric Kettle</v>
      </c>
      <c r="N561" t="str">
        <f t="shared" si="73"/>
        <v>Bengaluru</v>
      </c>
      <c r="O561" t="str">
        <f t="shared" si="74"/>
        <v>South</v>
      </c>
      <c r="P561" t="str">
        <f t="shared" si="75"/>
        <v>Home Appliances</v>
      </c>
      <c r="Q561" t="str">
        <f t="shared" si="76"/>
        <v>Home Appliances</v>
      </c>
      <c r="R561" t="str">
        <f t="shared" si="77"/>
        <v>South</v>
      </c>
      <c r="S561" t="str">
        <f t="shared" si="78"/>
        <v>Bengaluru</v>
      </c>
      <c r="T561">
        <f t="shared" si="79"/>
        <v>4214.3</v>
      </c>
      <c r="U561" t="str">
        <f t="shared" si="80"/>
        <v>OK</v>
      </c>
    </row>
    <row r="562" spans="1:21" x14ac:dyDescent="0.3">
      <c r="A562" t="s">
        <v>790</v>
      </c>
      <c r="B562" s="3">
        <v>45965</v>
      </c>
      <c r="C562" t="s">
        <v>96</v>
      </c>
      <c r="D562" t="s">
        <v>43</v>
      </c>
      <c r="E562" t="s">
        <v>44</v>
      </c>
      <c r="F562" t="s">
        <v>16</v>
      </c>
      <c r="G562" t="s">
        <v>17</v>
      </c>
      <c r="H562">
        <v>3</v>
      </c>
      <c r="I562">
        <v>1095</v>
      </c>
      <c r="J562">
        <v>0.15</v>
      </c>
      <c r="K562">
        <v>2792.25</v>
      </c>
      <c r="L562">
        <v>718.12</v>
      </c>
      <c r="M562" t="str">
        <f t="shared" si="72"/>
        <v>Phone Holder</v>
      </c>
      <c r="N562" t="str">
        <f t="shared" si="73"/>
        <v>Guwahati</v>
      </c>
      <c r="O562" t="str">
        <f t="shared" si="74"/>
        <v>East</v>
      </c>
      <c r="P562" t="str">
        <f t="shared" si="75"/>
        <v>Accessories</v>
      </c>
      <c r="Q562" t="str">
        <f t="shared" si="76"/>
        <v>Accessories</v>
      </c>
      <c r="R562" t="str">
        <f t="shared" si="77"/>
        <v>East</v>
      </c>
      <c r="S562" t="str">
        <f t="shared" si="78"/>
        <v>Guwahati</v>
      </c>
      <c r="T562">
        <f t="shared" si="79"/>
        <v>2792.25</v>
      </c>
      <c r="U562" t="str">
        <f t="shared" si="80"/>
        <v>OK</v>
      </c>
    </row>
    <row r="563" spans="1:21" x14ac:dyDescent="0.3">
      <c r="A563" t="s">
        <v>791</v>
      </c>
      <c r="B563" s="3">
        <v>45846</v>
      </c>
      <c r="C563" t="s">
        <v>792</v>
      </c>
      <c r="D563" t="s">
        <v>68</v>
      </c>
      <c r="E563" t="s">
        <v>44</v>
      </c>
      <c r="F563" t="s">
        <v>58</v>
      </c>
      <c r="G563" t="s">
        <v>69</v>
      </c>
      <c r="H563">
        <v>1</v>
      </c>
      <c r="I563">
        <v>7254</v>
      </c>
      <c r="J563">
        <v>0</v>
      </c>
      <c r="K563">
        <v>7254</v>
      </c>
      <c r="L563">
        <v>915.57</v>
      </c>
      <c r="M563" t="str">
        <f t="shared" si="72"/>
        <v>Webcam</v>
      </c>
      <c r="N563" t="str">
        <f t="shared" si="73"/>
        <v>Jaipur</v>
      </c>
      <c r="O563" t="str">
        <f t="shared" si="74"/>
        <v>North</v>
      </c>
      <c r="P563" t="str">
        <f t="shared" si="75"/>
        <v>Accessories</v>
      </c>
      <c r="Q563" t="str">
        <f t="shared" si="76"/>
        <v>Accessories</v>
      </c>
      <c r="R563" t="str">
        <f t="shared" si="77"/>
        <v>North</v>
      </c>
      <c r="S563" t="str">
        <f t="shared" si="78"/>
        <v>Jaipur</v>
      </c>
      <c r="T563">
        <f t="shared" si="79"/>
        <v>7254</v>
      </c>
      <c r="U563" t="str">
        <f t="shared" si="80"/>
        <v>OK</v>
      </c>
    </row>
    <row r="564" spans="1:21" x14ac:dyDescent="0.3">
      <c r="A564" t="s">
        <v>793</v>
      </c>
      <c r="B564" s="3">
        <v>45955</v>
      </c>
      <c r="C564" t="s">
        <v>351</v>
      </c>
      <c r="D564" t="s">
        <v>50</v>
      </c>
      <c r="E564" t="s">
        <v>51</v>
      </c>
      <c r="F564" t="s">
        <v>16</v>
      </c>
      <c r="G564" t="s">
        <v>52</v>
      </c>
      <c r="H564">
        <v>3</v>
      </c>
      <c r="I564">
        <v>2150</v>
      </c>
      <c r="J564">
        <v>0.1</v>
      </c>
      <c r="K564">
        <v>5805</v>
      </c>
      <c r="L564">
        <v>741.96</v>
      </c>
      <c r="M564" t="str">
        <f t="shared" si="72"/>
        <v>Keyboard</v>
      </c>
      <c r="N564" t="str">
        <f t="shared" si="73"/>
        <v>Kolkata</v>
      </c>
      <c r="O564" t="str">
        <f t="shared" si="74"/>
        <v>East</v>
      </c>
      <c r="P564" t="str">
        <f t="shared" si="75"/>
        <v>Electronics</v>
      </c>
      <c r="Q564" t="str">
        <f t="shared" si="76"/>
        <v>Electronics</v>
      </c>
      <c r="R564" t="str">
        <f t="shared" si="77"/>
        <v>East</v>
      </c>
      <c r="S564" t="str">
        <f t="shared" si="78"/>
        <v>Kolkata</v>
      </c>
      <c r="T564">
        <f t="shared" si="79"/>
        <v>5805</v>
      </c>
      <c r="U564" t="str">
        <f t="shared" si="80"/>
        <v>OK</v>
      </c>
    </row>
    <row r="565" spans="1:21" x14ac:dyDescent="0.3">
      <c r="A565" t="s">
        <v>794</v>
      </c>
      <c r="B565" s="3">
        <v>45760</v>
      </c>
      <c r="C565" t="s">
        <v>238</v>
      </c>
      <c r="D565" t="s">
        <v>307</v>
      </c>
      <c r="E565" t="s">
        <v>73</v>
      </c>
      <c r="F565" t="s">
        <v>27</v>
      </c>
      <c r="G565" t="s">
        <v>31</v>
      </c>
      <c r="H565">
        <v>5</v>
      </c>
      <c r="I565">
        <v>319</v>
      </c>
      <c r="J565">
        <v>0.2</v>
      </c>
      <c r="K565">
        <v>1276</v>
      </c>
      <c r="L565">
        <v>179.5</v>
      </c>
      <c r="M565" t="str">
        <f t="shared" si="72"/>
        <v>Notebook</v>
      </c>
      <c r="N565" t="str">
        <f t="shared" si="73"/>
        <v>Hyderabad</v>
      </c>
      <c r="O565" t="str">
        <f t="shared" si="74"/>
        <v>South</v>
      </c>
      <c r="P565" t="str">
        <f t="shared" si="75"/>
        <v>Office Supplies</v>
      </c>
      <c r="Q565" t="str">
        <f t="shared" si="76"/>
        <v>Office Supplies</v>
      </c>
      <c r="R565" t="str">
        <f t="shared" si="77"/>
        <v>South</v>
      </c>
      <c r="S565" t="str">
        <f t="shared" si="78"/>
        <v>Hyderabad</v>
      </c>
      <c r="T565">
        <f t="shared" si="79"/>
        <v>1276</v>
      </c>
      <c r="U565" t="str">
        <f t="shared" si="80"/>
        <v>OK</v>
      </c>
    </row>
    <row r="566" spans="1:21" x14ac:dyDescent="0.3">
      <c r="A566" t="s">
        <v>795</v>
      </c>
      <c r="B566" s="3">
        <v>45933</v>
      </c>
      <c r="C566" t="s">
        <v>274</v>
      </c>
      <c r="D566" t="s">
        <v>202</v>
      </c>
      <c r="E566" t="s">
        <v>44</v>
      </c>
      <c r="F566" t="s">
        <v>58</v>
      </c>
      <c r="G566" t="s">
        <v>59</v>
      </c>
      <c r="H566">
        <v>1</v>
      </c>
      <c r="I566">
        <v>1240</v>
      </c>
      <c r="J566">
        <v>0.1</v>
      </c>
      <c r="K566">
        <v>1116</v>
      </c>
      <c r="L566">
        <v>252.06</v>
      </c>
      <c r="M566" t="str">
        <f t="shared" si="72"/>
        <v>Laptop Stand</v>
      </c>
      <c r="N566" t="str">
        <f t="shared" si="73"/>
        <v>Chandigarh</v>
      </c>
      <c r="O566" t="str">
        <f t="shared" si="74"/>
        <v>North</v>
      </c>
      <c r="P566" t="str">
        <f t="shared" si="75"/>
        <v>Accessories</v>
      </c>
      <c r="Q566" t="str">
        <f t="shared" si="76"/>
        <v>Accessories</v>
      </c>
      <c r="R566" t="str">
        <f t="shared" si="77"/>
        <v>North</v>
      </c>
      <c r="S566" t="str">
        <f t="shared" si="78"/>
        <v>Chandigarh</v>
      </c>
      <c r="T566">
        <f t="shared" si="79"/>
        <v>1116</v>
      </c>
      <c r="U566" t="str">
        <f t="shared" si="80"/>
        <v>OK</v>
      </c>
    </row>
    <row r="567" spans="1:21" x14ac:dyDescent="0.3">
      <c r="A567" t="s">
        <v>796</v>
      </c>
      <c r="B567" s="3">
        <v>45843</v>
      </c>
      <c r="C567" t="s">
        <v>412</v>
      </c>
      <c r="D567" t="s">
        <v>153</v>
      </c>
      <c r="E567" t="s">
        <v>26</v>
      </c>
      <c r="F567" t="s">
        <v>27</v>
      </c>
      <c r="G567" t="s">
        <v>31</v>
      </c>
      <c r="H567">
        <v>1</v>
      </c>
      <c r="I567">
        <v>4049</v>
      </c>
      <c r="J567">
        <v>0.05</v>
      </c>
      <c r="K567">
        <v>3846.55</v>
      </c>
      <c r="L567">
        <v>797.06</v>
      </c>
      <c r="M567" t="str">
        <f t="shared" si="72"/>
        <v>Coffee Maker</v>
      </c>
      <c r="N567" t="str">
        <f t="shared" si="73"/>
        <v>Hyderabad</v>
      </c>
      <c r="O567" t="str">
        <f t="shared" si="74"/>
        <v>South</v>
      </c>
      <c r="P567" t="str">
        <f t="shared" si="75"/>
        <v>Home Appliances</v>
      </c>
      <c r="Q567" t="str">
        <f t="shared" si="76"/>
        <v>Home Appliances</v>
      </c>
      <c r="R567" t="str">
        <f t="shared" si="77"/>
        <v>South</v>
      </c>
      <c r="S567" t="str">
        <f t="shared" si="78"/>
        <v>Hyderabad</v>
      </c>
      <c r="T567">
        <f t="shared" si="79"/>
        <v>3846.5499999999997</v>
      </c>
      <c r="U567" t="str">
        <f t="shared" si="80"/>
        <v>OK</v>
      </c>
    </row>
    <row r="568" spans="1:21" x14ac:dyDescent="0.3">
      <c r="A568" t="s">
        <v>797</v>
      </c>
      <c r="B568" s="3">
        <v>45874</v>
      </c>
      <c r="C568" t="s">
        <v>798</v>
      </c>
      <c r="D568" t="s">
        <v>80</v>
      </c>
      <c r="E568" t="s">
        <v>51</v>
      </c>
      <c r="F568" t="s">
        <v>21</v>
      </c>
      <c r="G568" t="s">
        <v>22</v>
      </c>
      <c r="H568">
        <v>1</v>
      </c>
      <c r="I568">
        <v>75608</v>
      </c>
      <c r="J568">
        <v>0</v>
      </c>
      <c r="K568">
        <v>75608</v>
      </c>
      <c r="L568">
        <v>15994.36</v>
      </c>
      <c r="M568" t="str">
        <f t="shared" si="72"/>
        <v>Laptop</v>
      </c>
      <c r="N568" t="str">
        <f t="shared" si="73"/>
        <v>Ahmedabad</v>
      </c>
      <c r="O568" t="str">
        <f t="shared" si="74"/>
        <v>West</v>
      </c>
      <c r="P568" t="str">
        <f t="shared" si="75"/>
        <v>Electronics</v>
      </c>
      <c r="Q568" t="str">
        <f t="shared" si="76"/>
        <v>Electronics</v>
      </c>
      <c r="R568" t="str">
        <f t="shared" si="77"/>
        <v>West</v>
      </c>
      <c r="S568" t="str">
        <f t="shared" si="78"/>
        <v>Ahmedabad</v>
      </c>
      <c r="T568">
        <f t="shared" si="79"/>
        <v>75608</v>
      </c>
      <c r="U568" t="str">
        <f t="shared" si="80"/>
        <v>OK</v>
      </c>
    </row>
    <row r="569" spans="1:21" x14ac:dyDescent="0.3">
      <c r="A569" t="s">
        <v>799</v>
      </c>
      <c r="B569" s="3">
        <v>45801</v>
      </c>
      <c r="C569" t="s">
        <v>391</v>
      </c>
      <c r="D569" t="s">
        <v>30</v>
      </c>
      <c r="E569" t="s">
        <v>15</v>
      </c>
      <c r="F569" t="s">
        <v>58</v>
      </c>
      <c r="G569" t="s">
        <v>126</v>
      </c>
      <c r="H569">
        <v>2</v>
      </c>
      <c r="I569">
        <v>5536</v>
      </c>
      <c r="J569">
        <v>0.05</v>
      </c>
      <c r="K569">
        <v>10518.4</v>
      </c>
      <c r="L569">
        <v>1508.22</v>
      </c>
      <c r="M569" t="str">
        <f t="shared" si="72"/>
        <v>Bookshelf</v>
      </c>
      <c r="N569" t="str">
        <f t="shared" si="73"/>
        <v>Delhi</v>
      </c>
      <c r="O569" t="str">
        <f t="shared" si="74"/>
        <v>North</v>
      </c>
      <c r="P569" t="str">
        <f t="shared" si="75"/>
        <v>Furniture</v>
      </c>
      <c r="Q569" t="str">
        <f t="shared" si="76"/>
        <v>Furniture</v>
      </c>
      <c r="R569" t="str">
        <f t="shared" si="77"/>
        <v>North</v>
      </c>
      <c r="S569" t="str">
        <f t="shared" si="78"/>
        <v>Delhi</v>
      </c>
      <c r="T569">
        <f t="shared" si="79"/>
        <v>10518.4</v>
      </c>
      <c r="U569" t="str">
        <f t="shared" si="80"/>
        <v>OK</v>
      </c>
    </row>
    <row r="570" spans="1:21" x14ac:dyDescent="0.3">
      <c r="A570" t="s">
        <v>800</v>
      </c>
      <c r="B570" s="3">
        <v>45664</v>
      </c>
      <c r="C570" t="s">
        <v>208</v>
      </c>
      <c r="D570" t="s">
        <v>202</v>
      </c>
      <c r="E570" t="s">
        <v>44</v>
      </c>
      <c r="F570" t="s">
        <v>58</v>
      </c>
      <c r="G570" t="s">
        <v>126</v>
      </c>
      <c r="H570">
        <v>3</v>
      </c>
      <c r="I570">
        <v>2888</v>
      </c>
      <c r="J570">
        <v>0</v>
      </c>
      <c r="K570">
        <v>8664</v>
      </c>
      <c r="L570">
        <v>1889.31</v>
      </c>
      <c r="M570" t="str">
        <f t="shared" si="72"/>
        <v>Laptop Stand</v>
      </c>
      <c r="N570" t="str">
        <f t="shared" si="73"/>
        <v>Delhi</v>
      </c>
      <c r="O570" t="str">
        <f t="shared" si="74"/>
        <v>North</v>
      </c>
      <c r="P570" t="str">
        <f t="shared" si="75"/>
        <v>Accessories</v>
      </c>
      <c r="Q570" t="str">
        <f t="shared" si="76"/>
        <v>Accessories</v>
      </c>
      <c r="R570" t="str">
        <f t="shared" si="77"/>
        <v>North</v>
      </c>
      <c r="S570" t="str">
        <f t="shared" si="78"/>
        <v>Delhi</v>
      </c>
      <c r="T570">
        <f t="shared" si="79"/>
        <v>8664</v>
      </c>
      <c r="U570" t="str">
        <f t="shared" si="80"/>
        <v>OK</v>
      </c>
    </row>
    <row r="571" spans="1:21" x14ac:dyDescent="0.3">
      <c r="A571" t="s">
        <v>801</v>
      </c>
      <c r="B571" s="3">
        <v>45831</v>
      </c>
      <c r="C571" t="s">
        <v>266</v>
      </c>
      <c r="D571" t="s">
        <v>83</v>
      </c>
      <c r="E571" t="s">
        <v>73</v>
      </c>
      <c r="F571" t="s">
        <v>16</v>
      </c>
      <c r="G571" t="s">
        <v>52</v>
      </c>
      <c r="H571">
        <v>2</v>
      </c>
      <c r="I571">
        <v>582</v>
      </c>
      <c r="J571">
        <v>0</v>
      </c>
      <c r="K571">
        <v>1164</v>
      </c>
      <c r="L571">
        <v>165.77</v>
      </c>
      <c r="M571" t="str">
        <f t="shared" si="72"/>
        <v>Printer Paper</v>
      </c>
      <c r="N571" t="str">
        <f t="shared" si="73"/>
        <v>Kolkata</v>
      </c>
      <c r="O571" t="str">
        <f t="shared" si="74"/>
        <v>East</v>
      </c>
      <c r="P571" t="str">
        <f t="shared" si="75"/>
        <v>Office Supplies</v>
      </c>
      <c r="Q571" t="str">
        <f t="shared" si="76"/>
        <v>Office Supplies</v>
      </c>
      <c r="R571" t="str">
        <f t="shared" si="77"/>
        <v>East</v>
      </c>
      <c r="S571" t="str">
        <f t="shared" si="78"/>
        <v>Kolkata</v>
      </c>
      <c r="T571">
        <f t="shared" si="79"/>
        <v>1164</v>
      </c>
      <c r="U571" t="str">
        <f t="shared" si="80"/>
        <v>OK</v>
      </c>
    </row>
    <row r="572" spans="1:21" x14ac:dyDescent="0.3">
      <c r="A572" t="s">
        <v>802</v>
      </c>
      <c r="B572" s="3">
        <v>45747</v>
      </c>
      <c r="C572" t="s">
        <v>238</v>
      </c>
      <c r="D572" t="s">
        <v>103</v>
      </c>
      <c r="E572" t="s">
        <v>51</v>
      </c>
      <c r="F572" t="s">
        <v>27</v>
      </c>
      <c r="G572" t="s">
        <v>31</v>
      </c>
      <c r="H572">
        <v>1</v>
      </c>
      <c r="I572">
        <v>6525</v>
      </c>
      <c r="J572">
        <v>0.05</v>
      </c>
      <c r="K572">
        <v>6198.75</v>
      </c>
      <c r="L572">
        <v>1665.7</v>
      </c>
      <c r="M572" t="str">
        <f t="shared" si="72"/>
        <v>Headphones</v>
      </c>
      <c r="N572" t="str">
        <f t="shared" si="73"/>
        <v>Hyderabad</v>
      </c>
      <c r="O572" t="str">
        <f t="shared" si="74"/>
        <v>South</v>
      </c>
      <c r="P572" t="str">
        <f t="shared" si="75"/>
        <v>Electronics</v>
      </c>
      <c r="Q572" t="str">
        <f t="shared" si="76"/>
        <v>Electronics</v>
      </c>
      <c r="R572" t="str">
        <f t="shared" si="77"/>
        <v>South</v>
      </c>
      <c r="S572" t="str">
        <f t="shared" si="78"/>
        <v>Hyderabad</v>
      </c>
      <c r="T572">
        <f t="shared" si="79"/>
        <v>6198.75</v>
      </c>
      <c r="U572" t="str">
        <f t="shared" si="80"/>
        <v>OK</v>
      </c>
    </row>
    <row r="573" spans="1:21" x14ac:dyDescent="0.3">
      <c r="A573" t="s">
        <v>803</v>
      </c>
      <c r="B573" s="3">
        <v>45984</v>
      </c>
      <c r="C573" t="s">
        <v>136</v>
      </c>
      <c r="D573" t="s">
        <v>43</v>
      </c>
      <c r="E573" t="s">
        <v>44</v>
      </c>
      <c r="F573" t="s">
        <v>27</v>
      </c>
      <c r="G573" t="s">
        <v>31</v>
      </c>
      <c r="H573">
        <v>1</v>
      </c>
      <c r="I573">
        <v>1146</v>
      </c>
      <c r="J573">
        <v>0.15</v>
      </c>
      <c r="K573">
        <v>974.1</v>
      </c>
      <c r="L573">
        <v>209.96</v>
      </c>
      <c r="M573" t="str">
        <f t="shared" si="72"/>
        <v>Phone Holder</v>
      </c>
      <c r="N573" t="str">
        <f t="shared" si="73"/>
        <v>Hyderabad</v>
      </c>
      <c r="O573" t="str">
        <f t="shared" si="74"/>
        <v>South</v>
      </c>
      <c r="P573" t="str">
        <f t="shared" si="75"/>
        <v>Accessories</v>
      </c>
      <c r="Q573" t="str">
        <f t="shared" si="76"/>
        <v>Accessories</v>
      </c>
      <c r="R573" t="str">
        <f t="shared" si="77"/>
        <v>South</v>
      </c>
      <c r="S573" t="str">
        <f t="shared" si="78"/>
        <v>Hyderabad</v>
      </c>
      <c r="T573">
        <f t="shared" si="79"/>
        <v>974.1</v>
      </c>
      <c r="U573" t="str">
        <f t="shared" si="80"/>
        <v>OK</v>
      </c>
    </row>
    <row r="574" spans="1:21" x14ac:dyDescent="0.3">
      <c r="A574" t="s">
        <v>804</v>
      </c>
      <c r="B574" s="3">
        <v>45940</v>
      </c>
      <c r="C574" t="s">
        <v>805</v>
      </c>
      <c r="D574" t="s">
        <v>68</v>
      </c>
      <c r="E574" t="s">
        <v>44</v>
      </c>
      <c r="F574" t="s">
        <v>58</v>
      </c>
      <c r="G574" t="s">
        <v>59</v>
      </c>
      <c r="H574">
        <v>5</v>
      </c>
      <c r="I574">
        <v>3150</v>
      </c>
      <c r="J574">
        <v>0</v>
      </c>
      <c r="K574">
        <v>15750</v>
      </c>
      <c r="L574">
        <v>1872.79</v>
      </c>
      <c r="M574" t="str">
        <f t="shared" si="72"/>
        <v>Webcam</v>
      </c>
      <c r="N574" t="str">
        <f t="shared" si="73"/>
        <v>Chandigarh</v>
      </c>
      <c r="O574" t="str">
        <f t="shared" si="74"/>
        <v>North</v>
      </c>
      <c r="P574" t="str">
        <f t="shared" si="75"/>
        <v>Accessories</v>
      </c>
      <c r="Q574" t="str">
        <f t="shared" si="76"/>
        <v>Accessories</v>
      </c>
      <c r="R574" t="str">
        <f t="shared" si="77"/>
        <v>North</v>
      </c>
      <c r="S574" t="str">
        <f t="shared" si="78"/>
        <v>Chandigarh</v>
      </c>
      <c r="T574">
        <f t="shared" si="79"/>
        <v>15750</v>
      </c>
      <c r="U574" t="str">
        <f t="shared" si="80"/>
        <v>OK</v>
      </c>
    </row>
    <row r="575" spans="1:21" x14ac:dyDescent="0.3">
      <c r="A575" t="s">
        <v>806</v>
      </c>
      <c r="B575" s="3">
        <v>45720</v>
      </c>
      <c r="C575" t="s">
        <v>807</v>
      </c>
      <c r="D575" t="s">
        <v>97</v>
      </c>
      <c r="E575" t="s">
        <v>44</v>
      </c>
      <c r="F575" t="s">
        <v>58</v>
      </c>
      <c r="G575" t="s">
        <v>69</v>
      </c>
      <c r="H575">
        <v>3</v>
      </c>
      <c r="I575">
        <v>736</v>
      </c>
      <c r="J575">
        <v>0.1</v>
      </c>
      <c r="K575">
        <v>1987.2</v>
      </c>
      <c r="L575">
        <v>342.16</v>
      </c>
      <c r="M575" t="str">
        <f t="shared" si="72"/>
        <v>USB Cable</v>
      </c>
      <c r="N575" t="str">
        <f t="shared" si="73"/>
        <v>Jaipur</v>
      </c>
      <c r="O575" t="str">
        <f t="shared" si="74"/>
        <v>North</v>
      </c>
      <c r="P575" t="str">
        <f t="shared" si="75"/>
        <v>Accessories</v>
      </c>
      <c r="Q575" t="str">
        <f t="shared" si="76"/>
        <v>Accessories</v>
      </c>
      <c r="R575" t="str">
        <f t="shared" si="77"/>
        <v>North</v>
      </c>
      <c r="S575" t="str">
        <f t="shared" si="78"/>
        <v>Jaipur</v>
      </c>
      <c r="T575">
        <f t="shared" si="79"/>
        <v>1987.2</v>
      </c>
      <c r="U575" t="str">
        <f t="shared" si="80"/>
        <v>OK</v>
      </c>
    </row>
    <row r="576" spans="1:21" x14ac:dyDescent="0.3">
      <c r="A576" t="s">
        <v>808</v>
      </c>
      <c r="B576" s="3">
        <v>45756</v>
      </c>
      <c r="C576" t="s">
        <v>234</v>
      </c>
      <c r="D576" t="s">
        <v>202</v>
      </c>
      <c r="E576" t="s">
        <v>44</v>
      </c>
      <c r="F576" t="s">
        <v>21</v>
      </c>
      <c r="G576" t="s">
        <v>22</v>
      </c>
      <c r="H576">
        <v>3</v>
      </c>
      <c r="I576">
        <v>2645</v>
      </c>
      <c r="J576">
        <v>0.1</v>
      </c>
      <c r="K576">
        <v>7141.5</v>
      </c>
      <c r="L576">
        <v>1089.77</v>
      </c>
      <c r="M576" t="str">
        <f t="shared" si="72"/>
        <v>Laptop Stand</v>
      </c>
      <c r="N576" t="str">
        <f t="shared" si="73"/>
        <v>Ahmedabad</v>
      </c>
      <c r="O576" t="str">
        <f t="shared" si="74"/>
        <v>West</v>
      </c>
      <c r="P576" t="str">
        <f t="shared" si="75"/>
        <v>Accessories</v>
      </c>
      <c r="Q576" t="str">
        <f t="shared" si="76"/>
        <v>Accessories</v>
      </c>
      <c r="R576" t="str">
        <f t="shared" si="77"/>
        <v>West</v>
      </c>
      <c r="S576" t="str">
        <f t="shared" si="78"/>
        <v>Ahmedabad</v>
      </c>
      <c r="T576">
        <f t="shared" si="79"/>
        <v>7141.5</v>
      </c>
      <c r="U576" t="str">
        <f t="shared" si="80"/>
        <v>OK</v>
      </c>
    </row>
    <row r="577" spans="1:21" x14ac:dyDescent="0.3">
      <c r="A577" t="s">
        <v>809</v>
      </c>
      <c r="B577" s="3">
        <v>45707</v>
      </c>
      <c r="C577" t="s">
        <v>176</v>
      </c>
      <c r="D577" t="s">
        <v>20</v>
      </c>
      <c r="E577" t="s">
        <v>15</v>
      </c>
      <c r="F577" t="s">
        <v>16</v>
      </c>
      <c r="G577" t="s">
        <v>104</v>
      </c>
      <c r="H577">
        <v>1</v>
      </c>
      <c r="I577">
        <v>8587</v>
      </c>
      <c r="J577">
        <v>0</v>
      </c>
      <c r="K577">
        <v>8587</v>
      </c>
      <c r="L577">
        <v>1287.7</v>
      </c>
      <c r="M577" t="str">
        <f t="shared" si="72"/>
        <v>Filing Cabinet</v>
      </c>
      <c r="N577" t="str">
        <f t="shared" si="73"/>
        <v>Bhubaneswar</v>
      </c>
      <c r="O577" t="str">
        <f t="shared" si="74"/>
        <v>East</v>
      </c>
      <c r="P577" t="str">
        <f t="shared" si="75"/>
        <v>Furniture</v>
      </c>
      <c r="Q577" t="str">
        <f t="shared" si="76"/>
        <v>Furniture</v>
      </c>
      <c r="R577" t="str">
        <f t="shared" si="77"/>
        <v>East</v>
      </c>
      <c r="S577" t="str">
        <f t="shared" si="78"/>
        <v>Bhubaneswar</v>
      </c>
      <c r="T577">
        <f t="shared" si="79"/>
        <v>8587</v>
      </c>
      <c r="U577" t="str">
        <f t="shared" si="80"/>
        <v>OK</v>
      </c>
    </row>
    <row r="578" spans="1:21" x14ac:dyDescent="0.3">
      <c r="A578" t="s">
        <v>810</v>
      </c>
      <c r="B578" s="3">
        <v>45847</v>
      </c>
      <c r="C578" t="s">
        <v>75</v>
      </c>
      <c r="D578" t="s">
        <v>65</v>
      </c>
      <c r="E578" t="s">
        <v>26</v>
      </c>
      <c r="F578" t="s">
        <v>16</v>
      </c>
      <c r="G578" t="s">
        <v>17</v>
      </c>
      <c r="H578">
        <v>4</v>
      </c>
      <c r="I578">
        <v>2184</v>
      </c>
      <c r="J578">
        <v>0.15</v>
      </c>
      <c r="K578">
        <v>7425.6</v>
      </c>
      <c r="L578">
        <v>1177.8800000000001</v>
      </c>
      <c r="M578" t="str">
        <f t="shared" si="72"/>
        <v>Electric Kettle</v>
      </c>
      <c r="N578" t="str">
        <f t="shared" si="73"/>
        <v>Guwahati</v>
      </c>
      <c r="O578" t="str">
        <f t="shared" si="74"/>
        <v>East</v>
      </c>
      <c r="P578" t="str">
        <f t="shared" si="75"/>
        <v>Home Appliances</v>
      </c>
      <c r="Q578" t="str">
        <f t="shared" si="76"/>
        <v>Home Appliances</v>
      </c>
      <c r="R578" t="str">
        <f t="shared" si="77"/>
        <v>East</v>
      </c>
      <c r="S578" t="str">
        <f t="shared" si="78"/>
        <v>Guwahati</v>
      </c>
      <c r="T578">
        <f t="shared" si="79"/>
        <v>7425.5999999999995</v>
      </c>
      <c r="U578" t="str">
        <f t="shared" si="80"/>
        <v>OK</v>
      </c>
    </row>
    <row r="579" spans="1:21" x14ac:dyDescent="0.3">
      <c r="A579" t="s">
        <v>811</v>
      </c>
      <c r="B579" s="3">
        <v>45658</v>
      </c>
      <c r="C579" t="s">
        <v>507</v>
      </c>
      <c r="D579" t="s">
        <v>43</v>
      </c>
      <c r="E579" t="s">
        <v>44</v>
      </c>
      <c r="F579" t="s">
        <v>58</v>
      </c>
      <c r="G579" t="s">
        <v>126</v>
      </c>
      <c r="H579">
        <v>1</v>
      </c>
      <c r="I579">
        <v>607</v>
      </c>
      <c r="J579">
        <v>0.1</v>
      </c>
      <c r="K579">
        <v>546.29999999999995</v>
      </c>
      <c r="L579">
        <v>62.45</v>
      </c>
      <c r="M579" t="str">
        <f t="shared" ref="M579:M642" si="81">TRIM(D579)</f>
        <v>Phone Holder</v>
      </c>
      <c r="N579" t="str">
        <f t="shared" ref="N579:N642" si="82">TRIM(G579)</f>
        <v>Delhi</v>
      </c>
      <c r="O579" t="str">
        <f t="shared" ref="O579:O642" si="83">TRIM(F:F)</f>
        <v>North</v>
      </c>
      <c r="P579" t="str">
        <f t="shared" ref="P579:P642" si="84">TRIM(E579)</f>
        <v>Accessories</v>
      </c>
      <c r="Q579" t="str">
        <f t="shared" ref="Q579:Q642" si="85">PROPER(E579)</f>
        <v>Accessories</v>
      </c>
      <c r="R579" t="str">
        <f t="shared" ref="R579:R642" si="86">PROPER(F579)</f>
        <v>North</v>
      </c>
      <c r="S579" t="str">
        <f t="shared" ref="S579:S642" si="87">PROPER(G579)</f>
        <v>Delhi</v>
      </c>
      <c r="T579">
        <f t="shared" ref="T579:T642" si="88">H579*I579*(1-J579)</f>
        <v>546.30000000000007</v>
      </c>
      <c r="U579" t="str">
        <f t="shared" ref="U579:U642" si="89">IF(ROUND(K579,2)=ROUND(T579,2),"OK","CHECK")</f>
        <v>OK</v>
      </c>
    </row>
    <row r="580" spans="1:21" x14ac:dyDescent="0.3">
      <c r="A580" t="s">
        <v>812</v>
      </c>
      <c r="B580" s="3">
        <v>45849</v>
      </c>
      <c r="C580" t="s">
        <v>163</v>
      </c>
      <c r="D580" t="s">
        <v>14</v>
      </c>
      <c r="E580" t="s">
        <v>15</v>
      </c>
      <c r="F580" t="s">
        <v>16</v>
      </c>
      <c r="G580" t="s">
        <v>17</v>
      </c>
      <c r="H580">
        <v>2</v>
      </c>
      <c r="I580">
        <v>7660</v>
      </c>
      <c r="J580">
        <v>0.25</v>
      </c>
      <c r="K580">
        <v>11490</v>
      </c>
      <c r="L580">
        <v>1493.64</v>
      </c>
      <c r="M580" t="str">
        <f t="shared" si="81"/>
        <v>Office Chair</v>
      </c>
      <c r="N580" t="str">
        <f t="shared" si="82"/>
        <v>Guwahati</v>
      </c>
      <c r="O580" t="str">
        <f t="shared" si="83"/>
        <v>East</v>
      </c>
      <c r="P580" t="str">
        <f t="shared" si="84"/>
        <v>Furniture</v>
      </c>
      <c r="Q580" t="str">
        <f t="shared" si="85"/>
        <v>Furniture</v>
      </c>
      <c r="R580" t="str">
        <f t="shared" si="86"/>
        <v>East</v>
      </c>
      <c r="S580" t="str">
        <f t="shared" si="87"/>
        <v>Guwahati</v>
      </c>
      <c r="T580">
        <f t="shared" si="88"/>
        <v>11490</v>
      </c>
      <c r="U580" t="str">
        <f t="shared" si="89"/>
        <v>OK</v>
      </c>
    </row>
    <row r="581" spans="1:21" x14ac:dyDescent="0.3">
      <c r="A581" t="s">
        <v>813</v>
      </c>
      <c r="B581" s="3">
        <v>45997</v>
      </c>
      <c r="C581" t="s">
        <v>580</v>
      </c>
      <c r="D581" t="s">
        <v>72</v>
      </c>
      <c r="E581" t="s">
        <v>73</v>
      </c>
      <c r="F581" t="s">
        <v>27</v>
      </c>
      <c r="G581" t="s">
        <v>28</v>
      </c>
      <c r="H581">
        <v>2</v>
      </c>
      <c r="I581">
        <v>996</v>
      </c>
      <c r="J581">
        <v>0</v>
      </c>
      <c r="K581">
        <v>1992</v>
      </c>
      <c r="L581">
        <v>486.15</v>
      </c>
      <c r="M581" t="str">
        <f t="shared" si="81"/>
        <v>Desk Organizer</v>
      </c>
      <c r="N581" t="str">
        <f t="shared" si="82"/>
        <v>Bengaluru</v>
      </c>
      <c r="O581" t="str">
        <f t="shared" si="83"/>
        <v>South</v>
      </c>
      <c r="P581" t="str">
        <f t="shared" si="84"/>
        <v>Office Supplies</v>
      </c>
      <c r="Q581" t="str">
        <f t="shared" si="85"/>
        <v>Office Supplies</v>
      </c>
      <c r="R581" t="str">
        <f t="shared" si="86"/>
        <v>South</v>
      </c>
      <c r="S581" t="str">
        <f t="shared" si="87"/>
        <v>Bengaluru</v>
      </c>
      <c r="T581">
        <f t="shared" si="88"/>
        <v>1992</v>
      </c>
      <c r="U581" t="str">
        <f t="shared" si="89"/>
        <v>OK</v>
      </c>
    </row>
    <row r="582" spans="1:21" x14ac:dyDescent="0.3">
      <c r="A582" t="s">
        <v>814</v>
      </c>
      <c r="B582" s="3">
        <v>45787</v>
      </c>
      <c r="C582" t="s">
        <v>368</v>
      </c>
      <c r="D582" t="s">
        <v>88</v>
      </c>
      <c r="E582" t="s">
        <v>73</v>
      </c>
      <c r="F582" t="s">
        <v>58</v>
      </c>
      <c r="G582" t="s">
        <v>69</v>
      </c>
      <c r="H582">
        <v>4</v>
      </c>
      <c r="I582">
        <v>430</v>
      </c>
      <c r="J582">
        <v>0.15</v>
      </c>
      <c r="K582">
        <v>1462</v>
      </c>
      <c r="L582">
        <v>208.06</v>
      </c>
      <c r="M582" t="str">
        <f t="shared" si="81"/>
        <v>Stapler</v>
      </c>
      <c r="N582" t="str">
        <f t="shared" si="82"/>
        <v>Jaipur</v>
      </c>
      <c r="O582" t="str">
        <f t="shared" si="83"/>
        <v>North</v>
      </c>
      <c r="P582" t="str">
        <f t="shared" si="84"/>
        <v>Office Supplies</v>
      </c>
      <c r="Q582" t="str">
        <f t="shared" si="85"/>
        <v>Office Supplies</v>
      </c>
      <c r="R582" t="str">
        <f t="shared" si="86"/>
        <v>North</v>
      </c>
      <c r="S582" t="str">
        <f t="shared" si="87"/>
        <v>Jaipur</v>
      </c>
      <c r="T582">
        <f t="shared" si="88"/>
        <v>1462</v>
      </c>
      <c r="U582" t="str">
        <f t="shared" si="89"/>
        <v>OK</v>
      </c>
    </row>
    <row r="583" spans="1:21" x14ac:dyDescent="0.3">
      <c r="A583" t="s">
        <v>815</v>
      </c>
      <c r="B583" s="3">
        <v>45858</v>
      </c>
      <c r="C583" t="s">
        <v>315</v>
      </c>
      <c r="D583" t="s">
        <v>50</v>
      </c>
      <c r="E583" t="s">
        <v>51</v>
      </c>
      <c r="F583" t="s">
        <v>58</v>
      </c>
      <c r="G583" t="s">
        <v>126</v>
      </c>
      <c r="H583">
        <v>1</v>
      </c>
      <c r="I583">
        <v>1393</v>
      </c>
      <c r="J583">
        <v>0</v>
      </c>
      <c r="K583">
        <v>1393</v>
      </c>
      <c r="L583">
        <v>366.36</v>
      </c>
      <c r="M583" t="str">
        <f t="shared" si="81"/>
        <v>Keyboard</v>
      </c>
      <c r="N583" t="str">
        <f t="shared" si="82"/>
        <v>Delhi</v>
      </c>
      <c r="O583" t="str">
        <f t="shared" si="83"/>
        <v>North</v>
      </c>
      <c r="P583" t="str">
        <f t="shared" si="84"/>
        <v>Electronics</v>
      </c>
      <c r="Q583" t="str">
        <f t="shared" si="85"/>
        <v>Electronics</v>
      </c>
      <c r="R583" t="str">
        <f t="shared" si="86"/>
        <v>North</v>
      </c>
      <c r="S583" t="str">
        <f t="shared" si="87"/>
        <v>Delhi</v>
      </c>
      <c r="T583">
        <f t="shared" si="88"/>
        <v>1393</v>
      </c>
      <c r="U583" t="str">
        <f t="shared" si="89"/>
        <v>OK</v>
      </c>
    </row>
    <row r="584" spans="1:21" x14ac:dyDescent="0.3">
      <c r="A584" t="s">
        <v>816</v>
      </c>
      <c r="B584" s="3">
        <v>45908</v>
      </c>
      <c r="C584" t="s">
        <v>326</v>
      </c>
      <c r="D584" t="s">
        <v>34</v>
      </c>
      <c r="E584" t="s">
        <v>15</v>
      </c>
      <c r="F584" t="s">
        <v>16</v>
      </c>
      <c r="G584" t="s">
        <v>52</v>
      </c>
      <c r="H584">
        <v>1</v>
      </c>
      <c r="I584">
        <v>20033</v>
      </c>
      <c r="J584">
        <v>0.2</v>
      </c>
      <c r="K584">
        <v>16026.4</v>
      </c>
      <c r="L584">
        <v>2662.1</v>
      </c>
      <c r="M584" t="str">
        <f t="shared" si="81"/>
        <v>Desk</v>
      </c>
      <c r="N584" t="str">
        <f t="shared" si="82"/>
        <v>Kolkata</v>
      </c>
      <c r="O584" t="str">
        <f t="shared" si="83"/>
        <v>East</v>
      </c>
      <c r="P584" t="str">
        <f t="shared" si="84"/>
        <v>Furniture</v>
      </c>
      <c r="Q584" t="str">
        <f t="shared" si="85"/>
        <v>Furniture</v>
      </c>
      <c r="R584" t="str">
        <f t="shared" si="86"/>
        <v>East</v>
      </c>
      <c r="S584" t="str">
        <f t="shared" si="87"/>
        <v>Kolkata</v>
      </c>
      <c r="T584">
        <f t="shared" si="88"/>
        <v>16026.400000000001</v>
      </c>
      <c r="U584" t="str">
        <f t="shared" si="89"/>
        <v>OK</v>
      </c>
    </row>
    <row r="585" spans="1:21" x14ac:dyDescent="0.3">
      <c r="A585" t="s">
        <v>817</v>
      </c>
      <c r="B585" s="3">
        <v>45716</v>
      </c>
      <c r="C585" t="s">
        <v>85</v>
      </c>
      <c r="D585" t="s">
        <v>25</v>
      </c>
      <c r="E585" t="s">
        <v>26</v>
      </c>
      <c r="F585" t="s">
        <v>16</v>
      </c>
      <c r="G585" t="s">
        <v>17</v>
      </c>
      <c r="H585">
        <v>2</v>
      </c>
      <c r="I585">
        <v>14625</v>
      </c>
      <c r="J585">
        <v>0</v>
      </c>
      <c r="K585">
        <v>29250</v>
      </c>
      <c r="L585">
        <v>2548.1999999999998</v>
      </c>
      <c r="M585" t="str">
        <f t="shared" si="81"/>
        <v>Microwave</v>
      </c>
      <c r="N585" t="str">
        <f t="shared" si="82"/>
        <v>Guwahati</v>
      </c>
      <c r="O585" t="str">
        <f t="shared" si="83"/>
        <v>East</v>
      </c>
      <c r="P585" t="str">
        <f t="shared" si="84"/>
        <v>Home Appliances</v>
      </c>
      <c r="Q585" t="str">
        <f t="shared" si="85"/>
        <v>Home Appliances</v>
      </c>
      <c r="R585" t="str">
        <f t="shared" si="86"/>
        <v>East</v>
      </c>
      <c r="S585" t="str">
        <f t="shared" si="87"/>
        <v>Guwahati</v>
      </c>
      <c r="T585">
        <f t="shared" si="88"/>
        <v>29250</v>
      </c>
      <c r="U585" t="str">
        <f t="shared" si="89"/>
        <v>OK</v>
      </c>
    </row>
    <row r="586" spans="1:21" x14ac:dyDescent="0.3">
      <c r="A586" t="s">
        <v>818</v>
      </c>
      <c r="B586" s="3">
        <v>46019</v>
      </c>
      <c r="C586" t="s">
        <v>77</v>
      </c>
      <c r="D586" t="s">
        <v>92</v>
      </c>
      <c r="E586" t="s">
        <v>51</v>
      </c>
      <c r="F586" t="s">
        <v>16</v>
      </c>
      <c r="G586" t="s">
        <v>104</v>
      </c>
      <c r="H586">
        <v>1</v>
      </c>
      <c r="I586">
        <v>18995</v>
      </c>
      <c r="J586">
        <v>0</v>
      </c>
      <c r="K586">
        <v>18995</v>
      </c>
      <c r="L586">
        <v>3237.52</v>
      </c>
      <c r="M586" t="str">
        <f t="shared" si="81"/>
        <v>Monitor</v>
      </c>
      <c r="N586" t="str">
        <f t="shared" si="82"/>
        <v>Bhubaneswar</v>
      </c>
      <c r="O586" t="str">
        <f t="shared" si="83"/>
        <v>East</v>
      </c>
      <c r="P586" t="str">
        <f t="shared" si="84"/>
        <v>Electronics</v>
      </c>
      <c r="Q586" t="str">
        <f t="shared" si="85"/>
        <v>Electronics</v>
      </c>
      <c r="R586" t="str">
        <f t="shared" si="86"/>
        <v>East</v>
      </c>
      <c r="S586" t="str">
        <f t="shared" si="87"/>
        <v>Bhubaneswar</v>
      </c>
      <c r="T586">
        <f t="shared" si="88"/>
        <v>18995</v>
      </c>
      <c r="U586" t="str">
        <f t="shared" si="89"/>
        <v>OK</v>
      </c>
    </row>
    <row r="587" spans="1:21" x14ac:dyDescent="0.3">
      <c r="A587" t="s">
        <v>819</v>
      </c>
      <c r="B587" s="3">
        <v>45736</v>
      </c>
      <c r="C587" t="s">
        <v>134</v>
      </c>
      <c r="D587" t="s">
        <v>30</v>
      </c>
      <c r="E587" t="s">
        <v>15</v>
      </c>
      <c r="F587" t="s">
        <v>58</v>
      </c>
      <c r="G587" t="s">
        <v>69</v>
      </c>
      <c r="H587">
        <v>3</v>
      </c>
      <c r="I587">
        <v>10880</v>
      </c>
      <c r="J587">
        <v>0</v>
      </c>
      <c r="K587">
        <v>32640</v>
      </c>
      <c r="L587">
        <v>6103.46</v>
      </c>
      <c r="M587" t="str">
        <f t="shared" si="81"/>
        <v>Bookshelf</v>
      </c>
      <c r="N587" t="str">
        <f t="shared" si="82"/>
        <v>Jaipur</v>
      </c>
      <c r="O587" t="str">
        <f t="shared" si="83"/>
        <v>North</v>
      </c>
      <c r="P587" t="str">
        <f t="shared" si="84"/>
        <v>Furniture</v>
      </c>
      <c r="Q587" t="str">
        <f t="shared" si="85"/>
        <v>Furniture</v>
      </c>
      <c r="R587" t="str">
        <f t="shared" si="86"/>
        <v>North</v>
      </c>
      <c r="S587" t="str">
        <f t="shared" si="87"/>
        <v>Jaipur</v>
      </c>
      <c r="T587">
        <f t="shared" si="88"/>
        <v>32640</v>
      </c>
      <c r="U587" t="str">
        <f t="shared" si="89"/>
        <v>OK</v>
      </c>
    </row>
    <row r="588" spans="1:21" x14ac:dyDescent="0.3">
      <c r="A588" t="s">
        <v>820</v>
      </c>
      <c r="B588" s="3">
        <v>45953</v>
      </c>
      <c r="C588" t="s">
        <v>109</v>
      </c>
      <c r="D588" t="s">
        <v>307</v>
      </c>
      <c r="E588" t="s">
        <v>73</v>
      </c>
      <c r="F588" t="s">
        <v>27</v>
      </c>
      <c r="G588" t="s">
        <v>31</v>
      </c>
      <c r="H588">
        <v>1</v>
      </c>
      <c r="I588">
        <v>370</v>
      </c>
      <c r="J588">
        <v>0.2</v>
      </c>
      <c r="K588">
        <v>296</v>
      </c>
      <c r="L588">
        <v>47.28</v>
      </c>
      <c r="M588" t="str">
        <f t="shared" si="81"/>
        <v>Notebook</v>
      </c>
      <c r="N588" t="str">
        <f t="shared" si="82"/>
        <v>Hyderabad</v>
      </c>
      <c r="O588" t="str">
        <f t="shared" si="83"/>
        <v>South</v>
      </c>
      <c r="P588" t="str">
        <f t="shared" si="84"/>
        <v>Office Supplies</v>
      </c>
      <c r="Q588" t="str">
        <f t="shared" si="85"/>
        <v>Office Supplies</v>
      </c>
      <c r="R588" t="str">
        <f t="shared" si="86"/>
        <v>South</v>
      </c>
      <c r="S588" t="str">
        <f t="shared" si="87"/>
        <v>Hyderabad</v>
      </c>
      <c r="T588">
        <f t="shared" si="88"/>
        <v>296</v>
      </c>
      <c r="U588" t="str">
        <f t="shared" si="89"/>
        <v>OK</v>
      </c>
    </row>
    <row r="589" spans="1:21" x14ac:dyDescent="0.3">
      <c r="A589" t="s">
        <v>821</v>
      </c>
      <c r="B589" s="3">
        <v>45666</v>
      </c>
      <c r="C589" t="s">
        <v>67</v>
      </c>
      <c r="D589" t="s">
        <v>103</v>
      </c>
      <c r="E589" t="s">
        <v>51</v>
      </c>
      <c r="F589" t="s">
        <v>27</v>
      </c>
      <c r="G589" t="s">
        <v>40</v>
      </c>
      <c r="H589">
        <v>1</v>
      </c>
      <c r="I589">
        <v>4347</v>
      </c>
      <c r="J589">
        <v>0.05</v>
      </c>
      <c r="K589">
        <v>4129.6499999999996</v>
      </c>
      <c r="L589">
        <v>1006.7</v>
      </c>
      <c r="M589" t="str">
        <f t="shared" si="81"/>
        <v>Headphones</v>
      </c>
      <c r="N589" t="str">
        <f t="shared" si="82"/>
        <v>Chennai</v>
      </c>
      <c r="O589" t="str">
        <f t="shared" si="83"/>
        <v>South</v>
      </c>
      <c r="P589" t="str">
        <f t="shared" si="84"/>
        <v>Electronics</v>
      </c>
      <c r="Q589" t="str">
        <f t="shared" si="85"/>
        <v>Electronics</v>
      </c>
      <c r="R589" t="str">
        <f t="shared" si="86"/>
        <v>South</v>
      </c>
      <c r="S589" t="str">
        <f t="shared" si="87"/>
        <v>Chennai</v>
      </c>
      <c r="T589">
        <f t="shared" si="88"/>
        <v>4129.6499999999996</v>
      </c>
      <c r="U589" t="str">
        <f t="shared" si="89"/>
        <v>OK</v>
      </c>
    </row>
    <row r="590" spans="1:21" x14ac:dyDescent="0.3">
      <c r="A590" t="s">
        <v>822</v>
      </c>
      <c r="B590" s="3">
        <v>45839</v>
      </c>
      <c r="C590" t="s">
        <v>313</v>
      </c>
      <c r="D590" t="s">
        <v>202</v>
      </c>
      <c r="E590" t="s">
        <v>44</v>
      </c>
      <c r="F590" t="s">
        <v>27</v>
      </c>
      <c r="G590" t="s">
        <v>28</v>
      </c>
      <c r="H590">
        <v>1</v>
      </c>
      <c r="I590">
        <v>1507</v>
      </c>
      <c r="J590">
        <v>0</v>
      </c>
      <c r="K590">
        <v>1507</v>
      </c>
      <c r="L590">
        <v>176.96</v>
      </c>
      <c r="M590" t="str">
        <f t="shared" si="81"/>
        <v>Laptop Stand</v>
      </c>
      <c r="N590" t="str">
        <f t="shared" si="82"/>
        <v>Bengaluru</v>
      </c>
      <c r="O590" t="str">
        <f t="shared" si="83"/>
        <v>South</v>
      </c>
      <c r="P590" t="str">
        <f t="shared" si="84"/>
        <v>Accessories</v>
      </c>
      <c r="Q590" t="str">
        <f t="shared" si="85"/>
        <v>Accessories</v>
      </c>
      <c r="R590" t="str">
        <f t="shared" si="86"/>
        <v>South</v>
      </c>
      <c r="S590" t="str">
        <f t="shared" si="87"/>
        <v>Bengaluru</v>
      </c>
      <c r="T590">
        <f t="shared" si="88"/>
        <v>1507</v>
      </c>
      <c r="U590" t="str">
        <f t="shared" si="89"/>
        <v>OK</v>
      </c>
    </row>
    <row r="591" spans="1:21" x14ac:dyDescent="0.3">
      <c r="A591" t="s">
        <v>823</v>
      </c>
      <c r="B591" s="3">
        <v>45943</v>
      </c>
      <c r="C591" t="s">
        <v>371</v>
      </c>
      <c r="D591" t="s">
        <v>120</v>
      </c>
      <c r="E591" t="s">
        <v>51</v>
      </c>
      <c r="F591" t="s">
        <v>16</v>
      </c>
      <c r="G591" t="s">
        <v>104</v>
      </c>
      <c r="H591">
        <v>2</v>
      </c>
      <c r="I591">
        <v>2159</v>
      </c>
      <c r="J591">
        <v>0.15</v>
      </c>
      <c r="K591">
        <v>3670.3</v>
      </c>
      <c r="L591">
        <v>834.93</v>
      </c>
      <c r="M591" t="str">
        <f t="shared" si="81"/>
        <v>Mouse</v>
      </c>
      <c r="N591" t="str">
        <f t="shared" si="82"/>
        <v>Bhubaneswar</v>
      </c>
      <c r="O591" t="str">
        <f t="shared" si="83"/>
        <v>East</v>
      </c>
      <c r="P591" t="str">
        <f t="shared" si="84"/>
        <v>Electronics</v>
      </c>
      <c r="Q591" t="str">
        <f t="shared" si="85"/>
        <v>Electronics</v>
      </c>
      <c r="R591" t="str">
        <f t="shared" si="86"/>
        <v>East</v>
      </c>
      <c r="S591" t="str">
        <f t="shared" si="87"/>
        <v>Bhubaneswar</v>
      </c>
      <c r="T591">
        <f t="shared" si="88"/>
        <v>3670.2999999999997</v>
      </c>
      <c r="U591" t="str">
        <f t="shared" si="89"/>
        <v>OK</v>
      </c>
    </row>
    <row r="592" spans="1:21" x14ac:dyDescent="0.3">
      <c r="A592" t="s">
        <v>824</v>
      </c>
      <c r="B592" s="3">
        <v>45930</v>
      </c>
      <c r="C592" t="s">
        <v>640</v>
      </c>
      <c r="D592" t="s">
        <v>92</v>
      </c>
      <c r="E592" t="s">
        <v>51</v>
      </c>
      <c r="F592" t="s">
        <v>16</v>
      </c>
      <c r="G592" t="s">
        <v>104</v>
      </c>
      <c r="H592">
        <v>1</v>
      </c>
      <c r="I592">
        <v>19784</v>
      </c>
      <c r="J592">
        <v>0.15</v>
      </c>
      <c r="K592">
        <v>16816.400000000001</v>
      </c>
      <c r="L592">
        <v>4425.43</v>
      </c>
      <c r="M592" t="str">
        <f t="shared" si="81"/>
        <v>Monitor</v>
      </c>
      <c r="N592" t="str">
        <f t="shared" si="82"/>
        <v>Bhubaneswar</v>
      </c>
      <c r="O592" t="str">
        <f t="shared" si="83"/>
        <v>East</v>
      </c>
      <c r="P592" t="str">
        <f t="shared" si="84"/>
        <v>Electronics</v>
      </c>
      <c r="Q592" t="str">
        <f t="shared" si="85"/>
        <v>Electronics</v>
      </c>
      <c r="R592" t="str">
        <f t="shared" si="86"/>
        <v>East</v>
      </c>
      <c r="S592" t="str">
        <f t="shared" si="87"/>
        <v>Bhubaneswar</v>
      </c>
      <c r="T592">
        <f t="shared" si="88"/>
        <v>16816.399999999998</v>
      </c>
      <c r="U592" t="str">
        <f t="shared" si="89"/>
        <v>OK</v>
      </c>
    </row>
    <row r="593" spans="1:21" x14ac:dyDescent="0.3">
      <c r="A593" t="s">
        <v>825</v>
      </c>
      <c r="B593" s="3">
        <v>45948</v>
      </c>
      <c r="C593" t="s">
        <v>492</v>
      </c>
      <c r="D593" t="s">
        <v>14</v>
      </c>
      <c r="E593" t="s">
        <v>15</v>
      </c>
      <c r="F593" t="s">
        <v>21</v>
      </c>
      <c r="G593" t="s">
        <v>55</v>
      </c>
      <c r="H593">
        <v>3</v>
      </c>
      <c r="I593">
        <v>6513</v>
      </c>
      <c r="J593">
        <v>0.15</v>
      </c>
      <c r="K593">
        <v>16608.150000000001</v>
      </c>
      <c r="L593">
        <v>1722.8</v>
      </c>
      <c r="M593" t="str">
        <f t="shared" si="81"/>
        <v>Office Chair</v>
      </c>
      <c r="N593" t="str">
        <f t="shared" si="82"/>
        <v>Pune</v>
      </c>
      <c r="O593" t="str">
        <f t="shared" si="83"/>
        <v>West</v>
      </c>
      <c r="P593" t="str">
        <f t="shared" si="84"/>
        <v>Furniture</v>
      </c>
      <c r="Q593" t="str">
        <f t="shared" si="85"/>
        <v>Furniture</v>
      </c>
      <c r="R593" t="str">
        <f t="shared" si="86"/>
        <v>West</v>
      </c>
      <c r="S593" t="str">
        <f t="shared" si="87"/>
        <v>Pune</v>
      </c>
      <c r="T593">
        <f t="shared" si="88"/>
        <v>16608.149999999998</v>
      </c>
      <c r="U593" t="str">
        <f t="shared" si="89"/>
        <v>OK</v>
      </c>
    </row>
    <row r="594" spans="1:21" x14ac:dyDescent="0.3">
      <c r="A594" t="s">
        <v>826</v>
      </c>
      <c r="B594" s="3">
        <v>45673</v>
      </c>
      <c r="C594" t="s">
        <v>492</v>
      </c>
      <c r="D594" t="s">
        <v>202</v>
      </c>
      <c r="E594" t="s">
        <v>44</v>
      </c>
      <c r="F594" t="s">
        <v>58</v>
      </c>
      <c r="G594" t="s">
        <v>126</v>
      </c>
      <c r="H594">
        <v>1</v>
      </c>
      <c r="I594">
        <v>3120</v>
      </c>
      <c r="J594">
        <v>0</v>
      </c>
      <c r="K594">
        <v>3120</v>
      </c>
      <c r="L594">
        <v>568.95000000000005</v>
      </c>
      <c r="M594" t="str">
        <f t="shared" si="81"/>
        <v>Laptop Stand</v>
      </c>
      <c r="N594" t="str">
        <f t="shared" si="82"/>
        <v>Delhi</v>
      </c>
      <c r="O594" t="str">
        <f t="shared" si="83"/>
        <v>North</v>
      </c>
      <c r="P594" t="str">
        <f t="shared" si="84"/>
        <v>Accessories</v>
      </c>
      <c r="Q594" t="str">
        <f t="shared" si="85"/>
        <v>Accessories</v>
      </c>
      <c r="R594" t="str">
        <f t="shared" si="86"/>
        <v>North</v>
      </c>
      <c r="S594" t="str">
        <f t="shared" si="87"/>
        <v>Delhi</v>
      </c>
      <c r="T594">
        <f t="shared" si="88"/>
        <v>3120</v>
      </c>
      <c r="U594" t="str">
        <f t="shared" si="89"/>
        <v>OK</v>
      </c>
    </row>
    <row r="595" spans="1:21" x14ac:dyDescent="0.3">
      <c r="A595" t="s">
        <v>827</v>
      </c>
      <c r="B595" s="3">
        <v>45844</v>
      </c>
      <c r="C595" t="s">
        <v>185</v>
      </c>
      <c r="D595" t="s">
        <v>43</v>
      </c>
      <c r="E595" t="s">
        <v>44</v>
      </c>
      <c r="F595" t="s">
        <v>16</v>
      </c>
      <c r="G595" t="s">
        <v>52</v>
      </c>
      <c r="H595">
        <v>4</v>
      </c>
      <c r="I595">
        <v>539</v>
      </c>
      <c r="J595">
        <v>0.05</v>
      </c>
      <c r="K595">
        <v>2048.1999999999998</v>
      </c>
      <c r="L595">
        <v>282.23</v>
      </c>
      <c r="M595" t="str">
        <f t="shared" si="81"/>
        <v>Phone Holder</v>
      </c>
      <c r="N595" t="str">
        <f t="shared" si="82"/>
        <v>Kolkata</v>
      </c>
      <c r="O595" t="str">
        <f t="shared" si="83"/>
        <v>East</v>
      </c>
      <c r="P595" t="str">
        <f t="shared" si="84"/>
        <v>Accessories</v>
      </c>
      <c r="Q595" t="str">
        <f t="shared" si="85"/>
        <v>Accessories</v>
      </c>
      <c r="R595" t="str">
        <f t="shared" si="86"/>
        <v>East</v>
      </c>
      <c r="S595" t="str">
        <f t="shared" si="87"/>
        <v>Kolkata</v>
      </c>
      <c r="T595">
        <f t="shared" si="88"/>
        <v>2048.1999999999998</v>
      </c>
      <c r="U595" t="str">
        <f t="shared" si="89"/>
        <v>OK</v>
      </c>
    </row>
    <row r="596" spans="1:21" x14ac:dyDescent="0.3">
      <c r="A596" t="s">
        <v>828</v>
      </c>
      <c r="B596" s="3">
        <v>45753</v>
      </c>
      <c r="C596" t="s">
        <v>85</v>
      </c>
      <c r="D596" t="s">
        <v>68</v>
      </c>
      <c r="E596" t="s">
        <v>44</v>
      </c>
      <c r="F596" t="s">
        <v>27</v>
      </c>
      <c r="G596" t="s">
        <v>31</v>
      </c>
      <c r="H596">
        <v>2</v>
      </c>
      <c r="I596">
        <v>2839</v>
      </c>
      <c r="J596">
        <v>0.05</v>
      </c>
      <c r="K596">
        <v>5394.1</v>
      </c>
      <c r="L596">
        <v>974.55</v>
      </c>
      <c r="M596" t="str">
        <f t="shared" si="81"/>
        <v>Webcam</v>
      </c>
      <c r="N596" t="str">
        <f t="shared" si="82"/>
        <v>Hyderabad</v>
      </c>
      <c r="O596" t="str">
        <f t="shared" si="83"/>
        <v>South</v>
      </c>
      <c r="P596" t="str">
        <f t="shared" si="84"/>
        <v>Accessories</v>
      </c>
      <c r="Q596" t="str">
        <f t="shared" si="85"/>
        <v>Accessories</v>
      </c>
      <c r="R596" t="str">
        <f t="shared" si="86"/>
        <v>South</v>
      </c>
      <c r="S596" t="str">
        <f t="shared" si="87"/>
        <v>Hyderabad</v>
      </c>
      <c r="T596">
        <f t="shared" si="88"/>
        <v>5394.0999999999995</v>
      </c>
      <c r="U596" t="str">
        <f t="shared" si="89"/>
        <v>OK</v>
      </c>
    </row>
    <row r="597" spans="1:21" x14ac:dyDescent="0.3">
      <c r="A597" t="s">
        <v>829</v>
      </c>
      <c r="B597" s="3">
        <v>45896</v>
      </c>
      <c r="C597" t="s">
        <v>123</v>
      </c>
      <c r="D597" t="s">
        <v>47</v>
      </c>
      <c r="E597" t="s">
        <v>26</v>
      </c>
      <c r="F597" t="s">
        <v>21</v>
      </c>
      <c r="G597" t="s">
        <v>35</v>
      </c>
      <c r="H597">
        <v>2</v>
      </c>
      <c r="I597">
        <v>8312</v>
      </c>
      <c r="J597">
        <v>0.05</v>
      </c>
      <c r="K597">
        <v>15792.8</v>
      </c>
      <c r="L597">
        <v>2569.54</v>
      </c>
      <c r="M597" t="str">
        <f t="shared" si="81"/>
        <v>Air Purifier</v>
      </c>
      <c r="N597" t="str">
        <f t="shared" si="82"/>
        <v>Mumbai</v>
      </c>
      <c r="O597" t="str">
        <f t="shared" si="83"/>
        <v>West</v>
      </c>
      <c r="P597" t="str">
        <f t="shared" si="84"/>
        <v>Home Appliances</v>
      </c>
      <c r="Q597" t="str">
        <f t="shared" si="85"/>
        <v>Home Appliances</v>
      </c>
      <c r="R597" t="str">
        <f t="shared" si="86"/>
        <v>West</v>
      </c>
      <c r="S597" t="str">
        <f t="shared" si="87"/>
        <v>Mumbai</v>
      </c>
      <c r="T597">
        <f t="shared" si="88"/>
        <v>15792.8</v>
      </c>
      <c r="U597" t="str">
        <f t="shared" si="89"/>
        <v>OK</v>
      </c>
    </row>
    <row r="598" spans="1:21" x14ac:dyDescent="0.3">
      <c r="A598" t="s">
        <v>830</v>
      </c>
      <c r="B598" s="3">
        <v>45701</v>
      </c>
      <c r="C598" t="s">
        <v>368</v>
      </c>
      <c r="D598" t="s">
        <v>97</v>
      </c>
      <c r="E598" t="s">
        <v>44</v>
      </c>
      <c r="F598" t="s">
        <v>16</v>
      </c>
      <c r="G598" t="s">
        <v>17</v>
      </c>
      <c r="H598">
        <v>5</v>
      </c>
      <c r="I598">
        <v>948</v>
      </c>
      <c r="J598">
        <v>0.1</v>
      </c>
      <c r="K598">
        <v>4266</v>
      </c>
      <c r="L598">
        <v>1069</v>
      </c>
      <c r="M598" t="str">
        <f t="shared" si="81"/>
        <v>USB Cable</v>
      </c>
      <c r="N598" t="str">
        <f t="shared" si="82"/>
        <v>Guwahati</v>
      </c>
      <c r="O598" t="str">
        <f t="shared" si="83"/>
        <v>East</v>
      </c>
      <c r="P598" t="str">
        <f t="shared" si="84"/>
        <v>Accessories</v>
      </c>
      <c r="Q598" t="str">
        <f t="shared" si="85"/>
        <v>Accessories</v>
      </c>
      <c r="R598" t="str">
        <f t="shared" si="86"/>
        <v>East</v>
      </c>
      <c r="S598" t="str">
        <f t="shared" si="87"/>
        <v>Guwahati</v>
      </c>
      <c r="T598">
        <f t="shared" si="88"/>
        <v>4266</v>
      </c>
      <c r="U598" t="str">
        <f t="shared" si="89"/>
        <v>OK</v>
      </c>
    </row>
    <row r="599" spans="1:21" x14ac:dyDescent="0.3">
      <c r="A599" t="s">
        <v>831</v>
      </c>
      <c r="B599" s="3">
        <v>45951</v>
      </c>
      <c r="C599" t="s">
        <v>535</v>
      </c>
      <c r="D599" t="s">
        <v>92</v>
      </c>
      <c r="E599" t="s">
        <v>51</v>
      </c>
      <c r="F599" t="s">
        <v>58</v>
      </c>
      <c r="G599" t="s">
        <v>59</v>
      </c>
      <c r="H599">
        <v>1</v>
      </c>
      <c r="I599">
        <v>21404</v>
      </c>
      <c r="J599">
        <v>0.05</v>
      </c>
      <c r="K599">
        <v>20333.8</v>
      </c>
      <c r="L599">
        <v>4179.28</v>
      </c>
      <c r="M599" t="str">
        <f t="shared" si="81"/>
        <v>Monitor</v>
      </c>
      <c r="N599" t="str">
        <f t="shared" si="82"/>
        <v>Chandigarh</v>
      </c>
      <c r="O599" t="str">
        <f t="shared" si="83"/>
        <v>North</v>
      </c>
      <c r="P599" t="str">
        <f t="shared" si="84"/>
        <v>Electronics</v>
      </c>
      <c r="Q599" t="str">
        <f t="shared" si="85"/>
        <v>Electronics</v>
      </c>
      <c r="R599" t="str">
        <f t="shared" si="86"/>
        <v>North</v>
      </c>
      <c r="S599" t="str">
        <f t="shared" si="87"/>
        <v>Chandigarh</v>
      </c>
      <c r="T599">
        <f t="shared" si="88"/>
        <v>20333.8</v>
      </c>
      <c r="U599" t="str">
        <f t="shared" si="89"/>
        <v>OK</v>
      </c>
    </row>
    <row r="600" spans="1:21" x14ac:dyDescent="0.3">
      <c r="A600" t="s">
        <v>832</v>
      </c>
      <c r="B600" s="3">
        <v>45808</v>
      </c>
      <c r="C600" t="s">
        <v>473</v>
      </c>
      <c r="D600" t="s">
        <v>47</v>
      </c>
      <c r="E600" t="s">
        <v>26</v>
      </c>
      <c r="F600" t="s">
        <v>58</v>
      </c>
      <c r="G600" t="s">
        <v>126</v>
      </c>
      <c r="H600">
        <v>3</v>
      </c>
      <c r="I600">
        <v>19389</v>
      </c>
      <c r="J600">
        <v>0.1</v>
      </c>
      <c r="K600">
        <v>52350.3</v>
      </c>
      <c r="L600">
        <v>13863.12</v>
      </c>
      <c r="M600" t="str">
        <f t="shared" si="81"/>
        <v>Air Purifier</v>
      </c>
      <c r="N600" t="str">
        <f t="shared" si="82"/>
        <v>Delhi</v>
      </c>
      <c r="O600" t="str">
        <f t="shared" si="83"/>
        <v>North</v>
      </c>
      <c r="P600" t="str">
        <f t="shared" si="84"/>
        <v>Home Appliances</v>
      </c>
      <c r="Q600" t="str">
        <f t="shared" si="85"/>
        <v>Home Appliances</v>
      </c>
      <c r="R600" t="str">
        <f t="shared" si="86"/>
        <v>North</v>
      </c>
      <c r="S600" t="str">
        <f t="shared" si="87"/>
        <v>Delhi</v>
      </c>
      <c r="T600">
        <f t="shared" si="88"/>
        <v>52350.3</v>
      </c>
      <c r="U600" t="str">
        <f t="shared" si="89"/>
        <v>OK</v>
      </c>
    </row>
    <row r="601" spans="1:21" x14ac:dyDescent="0.3">
      <c r="A601" t="s">
        <v>833</v>
      </c>
      <c r="B601" s="3">
        <v>45760</v>
      </c>
      <c r="C601" t="s">
        <v>244</v>
      </c>
      <c r="D601" t="s">
        <v>34</v>
      </c>
      <c r="E601" t="s">
        <v>15</v>
      </c>
      <c r="F601" t="s">
        <v>21</v>
      </c>
      <c r="G601" t="s">
        <v>55</v>
      </c>
      <c r="H601">
        <v>2</v>
      </c>
      <c r="I601">
        <v>21847</v>
      </c>
      <c r="J601">
        <v>0.1</v>
      </c>
      <c r="K601">
        <v>39324.6</v>
      </c>
      <c r="L601">
        <v>7486.9</v>
      </c>
      <c r="M601" t="str">
        <f t="shared" si="81"/>
        <v>Desk</v>
      </c>
      <c r="N601" t="str">
        <f t="shared" si="82"/>
        <v>Pune</v>
      </c>
      <c r="O601" t="str">
        <f t="shared" si="83"/>
        <v>West</v>
      </c>
      <c r="P601" t="str">
        <f t="shared" si="84"/>
        <v>Furniture</v>
      </c>
      <c r="Q601" t="str">
        <f t="shared" si="85"/>
        <v>Furniture</v>
      </c>
      <c r="R601" t="str">
        <f t="shared" si="86"/>
        <v>West</v>
      </c>
      <c r="S601" t="str">
        <f t="shared" si="87"/>
        <v>Pune</v>
      </c>
      <c r="T601">
        <f t="shared" si="88"/>
        <v>39324.6</v>
      </c>
      <c r="U601" t="str">
        <f t="shared" si="89"/>
        <v>OK</v>
      </c>
    </row>
    <row r="602" spans="1:21" x14ac:dyDescent="0.3">
      <c r="A602" t="s">
        <v>834</v>
      </c>
      <c r="B602" s="3">
        <v>45689</v>
      </c>
      <c r="C602" t="s">
        <v>260</v>
      </c>
      <c r="D602" t="s">
        <v>92</v>
      </c>
      <c r="E602" t="s">
        <v>51</v>
      </c>
      <c r="F602" t="s">
        <v>16</v>
      </c>
      <c r="G602" t="s">
        <v>52</v>
      </c>
      <c r="H602">
        <v>1</v>
      </c>
      <c r="I602">
        <v>22184</v>
      </c>
      <c r="J602">
        <v>0</v>
      </c>
      <c r="K602">
        <v>22184</v>
      </c>
      <c r="L602">
        <v>3855.76</v>
      </c>
      <c r="M602" t="str">
        <f t="shared" si="81"/>
        <v>Monitor</v>
      </c>
      <c r="N602" t="str">
        <f t="shared" si="82"/>
        <v>Kolkata</v>
      </c>
      <c r="O602" t="str">
        <f t="shared" si="83"/>
        <v>East</v>
      </c>
      <c r="P602" t="str">
        <f t="shared" si="84"/>
        <v>Electronics</v>
      </c>
      <c r="Q602" t="str">
        <f t="shared" si="85"/>
        <v>Electronics</v>
      </c>
      <c r="R602" t="str">
        <f t="shared" si="86"/>
        <v>East</v>
      </c>
      <c r="S602" t="str">
        <f t="shared" si="87"/>
        <v>Kolkata</v>
      </c>
      <c r="T602">
        <f t="shared" si="88"/>
        <v>22184</v>
      </c>
      <c r="U602" t="str">
        <f t="shared" si="89"/>
        <v>OK</v>
      </c>
    </row>
    <row r="603" spans="1:21" x14ac:dyDescent="0.3">
      <c r="A603" t="s">
        <v>835</v>
      </c>
      <c r="B603" s="3">
        <v>45928</v>
      </c>
      <c r="C603" t="s">
        <v>363</v>
      </c>
      <c r="D603" t="s">
        <v>34</v>
      </c>
      <c r="E603" t="s">
        <v>15</v>
      </c>
      <c r="F603" t="s">
        <v>16</v>
      </c>
      <c r="G603" t="s">
        <v>52</v>
      </c>
      <c r="H603">
        <v>1</v>
      </c>
      <c r="I603">
        <v>14423</v>
      </c>
      <c r="J603">
        <v>0</v>
      </c>
      <c r="K603">
        <v>14423</v>
      </c>
      <c r="L603">
        <v>2814.75</v>
      </c>
      <c r="M603" t="str">
        <f t="shared" si="81"/>
        <v>Desk</v>
      </c>
      <c r="N603" t="str">
        <f t="shared" si="82"/>
        <v>Kolkata</v>
      </c>
      <c r="O603" t="str">
        <f t="shared" si="83"/>
        <v>East</v>
      </c>
      <c r="P603" t="str">
        <f t="shared" si="84"/>
        <v>Furniture</v>
      </c>
      <c r="Q603" t="str">
        <f t="shared" si="85"/>
        <v>Furniture</v>
      </c>
      <c r="R603" t="str">
        <f t="shared" si="86"/>
        <v>East</v>
      </c>
      <c r="S603" t="str">
        <f t="shared" si="87"/>
        <v>Kolkata</v>
      </c>
      <c r="T603">
        <f t="shared" si="88"/>
        <v>14423</v>
      </c>
      <c r="U603" t="str">
        <f t="shared" si="89"/>
        <v>OK</v>
      </c>
    </row>
    <row r="604" spans="1:21" x14ac:dyDescent="0.3">
      <c r="A604" t="s">
        <v>836</v>
      </c>
      <c r="B604" s="3">
        <v>45823</v>
      </c>
      <c r="C604" t="s">
        <v>231</v>
      </c>
      <c r="D604" t="s">
        <v>72</v>
      </c>
      <c r="E604" t="s">
        <v>73</v>
      </c>
      <c r="F604" t="s">
        <v>16</v>
      </c>
      <c r="G604" t="s">
        <v>52</v>
      </c>
      <c r="H604">
        <v>1</v>
      </c>
      <c r="I604">
        <v>768</v>
      </c>
      <c r="J604">
        <v>0</v>
      </c>
      <c r="K604">
        <v>768</v>
      </c>
      <c r="L604">
        <v>144.99</v>
      </c>
      <c r="M604" t="str">
        <f t="shared" si="81"/>
        <v>Desk Organizer</v>
      </c>
      <c r="N604" t="str">
        <f t="shared" si="82"/>
        <v>Kolkata</v>
      </c>
      <c r="O604" t="str">
        <f t="shared" si="83"/>
        <v>East</v>
      </c>
      <c r="P604" t="str">
        <f t="shared" si="84"/>
        <v>Office Supplies</v>
      </c>
      <c r="Q604" t="str">
        <f t="shared" si="85"/>
        <v>Office Supplies</v>
      </c>
      <c r="R604" t="str">
        <f t="shared" si="86"/>
        <v>East</v>
      </c>
      <c r="S604" t="str">
        <f t="shared" si="87"/>
        <v>Kolkata</v>
      </c>
      <c r="T604">
        <f t="shared" si="88"/>
        <v>768</v>
      </c>
      <c r="U604" t="str">
        <f t="shared" si="89"/>
        <v>OK</v>
      </c>
    </row>
    <row r="605" spans="1:21" x14ac:dyDescent="0.3">
      <c r="A605" t="s">
        <v>837</v>
      </c>
      <c r="B605" s="3">
        <v>45794</v>
      </c>
      <c r="C605" t="s">
        <v>713</v>
      </c>
      <c r="D605" t="s">
        <v>80</v>
      </c>
      <c r="E605" t="s">
        <v>51</v>
      </c>
      <c r="F605" t="s">
        <v>21</v>
      </c>
      <c r="G605" t="s">
        <v>55</v>
      </c>
      <c r="H605">
        <v>1</v>
      </c>
      <c r="I605">
        <v>49460</v>
      </c>
      <c r="J605">
        <v>0.1</v>
      </c>
      <c r="K605">
        <v>44514</v>
      </c>
      <c r="L605">
        <v>8738.67</v>
      </c>
      <c r="M605" t="str">
        <f t="shared" si="81"/>
        <v>Laptop</v>
      </c>
      <c r="N605" t="str">
        <f t="shared" si="82"/>
        <v>Pune</v>
      </c>
      <c r="O605" t="str">
        <f t="shared" si="83"/>
        <v>West</v>
      </c>
      <c r="P605" t="str">
        <f t="shared" si="84"/>
        <v>Electronics</v>
      </c>
      <c r="Q605" t="str">
        <f t="shared" si="85"/>
        <v>Electronics</v>
      </c>
      <c r="R605" t="str">
        <f t="shared" si="86"/>
        <v>West</v>
      </c>
      <c r="S605" t="str">
        <f t="shared" si="87"/>
        <v>Pune</v>
      </c>
      <c r="T605">
        <f t="shared" si="88"/>
        <v>44514</v>
      </c>
      <c r="U605" t="str">
        <f t="shared" si="89"/>
        <v>OK</v>
      </c>
    </row>
    <row r="606" spans="1:21" x14ac:dyDescent="0.3">
      <c r="A606" t="s">
        <v>838</v>
      </c>
      <c r="B606" s="3">
        <v>46022</v>
      </c>
      <c r="C606" t="s">
        <v>234</v>
      </c>
      <c r="D606" t="s">
        <v>153</v>
      </c>
      <c r="E606" t="s">
        <v>26</v>
      </c>
      <c r="F606" t="s">
        <v>58</v>
      </c>
      <c r="G606" t="s">
        <v>69</v>
      </c>
      <c r="H606">
        <v>4</v>
      </c>
      <c r="I606">
        <v>7967</v>
      </c>
      <c r="J606">
        <v>0.05</v>
      </c>
      <c r="K606">
        <v>30274.6</v>
      </c>
      <c r="L606">
        <v>6051.12</v>
      </c>
      <c r="M606" t="str">
        <f t="shared" si="81"/>
        <v>Coffee Maker</v>
      </c>
      <c r="N606" t="str">
        <f t="shared" si="82"/>
        <v>Jaipur</v>
      </c>
      <c r="O606" t="str">
        <f t="shared" si="83"/>
        <v>North</v>
      </c>
      <c r="P606" t="str">
        <f t="shared" si="84"/>
        <v>Home Appliances</v>
      </c>
      <c r="Q606" t="str">
        <f t="shared" si="85"/>
        <v>Home Appliances</v>
      </c>
      <c r="R606" t="str">
        <f t="shared" si="86"/>
        <v>North</v>
      </c>
      <c r="S606" t="str">
        <f t="shared" si="87"/>
        <v>Jaipur</v>
      </c>
      <c r="T606">
        <f t="shared" si="88"/>
        <v>30274.6</v>
      </c>
      <c r="U606" t="str">
        <f t="shared" si="89"/>
        <v>OK</v>
      </c>
    </row>
    <row r="607" spans="1:21" x14ac:dyDescent="0.3">
      <c r="A607" t="s">
        <v>839</v>
      </c>
      <c r="B607" s="3">
        <v>45789</v>
      </c>
      <c r="C607" t="s">
        <v>792</v>
      </c>
      <c r="D607" t="s">
        <v>14</v>
      </c>
      <c r="E607" t="s">
        <v>15</v>
      </c>
      <c r="F607" t="s">
        <v>58</v>
      </c>
      <c r="G607" t="s">
        <v>59</v>
      </c>
      <c r="H607">
        <v>5</v>
      </c>
      <c r="I607">
        <v>14855</v>
      </c>
      <c r="J607">
        <v>0.1</v>
      </c>
      <c r="K607">
        <v>66847.5</v>
      </c>
      <c r="L607">
        <v>17124.93</v>
      </c>
      <c r="M607" t="str">
        <f t="shared" si="81"/>
        <v>Office Chair</v>
      </c>
      <c r="N607" t="str">
        <f t="shared" si="82"/>
        <v>Chandigarh</v>
      </c>
      <c r="O607" t="str">
        <f t="shared" si="83"/>
        <v>North</v>
      </c>
      <c r="P607" t="str">
        <f t="shared" si="84"/>
        <v>Furniture</v>
      </c>
      <c r="Q607" t="str">
        <f t="shared" si="85"/>
        <v>Furniture</v>
      </c>
      <c r="R607" t="str">
        <f t="shared" si="86"/>
        <v>North</v>
      </c>
      <c r="S607" t="str">
        <f t="shared" si="87"/>
        <v>Chandigarh</v>
      </c>
      <c r="T607">
        <f t="shared" si="88"/>
        <v>66847.5</v>
      </c>
      <c r="U607" t="str">
        <f t="shared" si="89"/>
        <v>OK</v>
      </c>
    </row>
    <row r="608" spans="1:21" x14ac:dyDescent="0.3">
      <c r="A608" t="s">
        <v>840</v>
      </c>
      <c r="B608" s="3">
        <v>45904</v>
      </c>
      <c r="C608" t="s">
        <v>33</v>
      </c>
      <c r="D608" t="s">
        <v>30</v>
      </c>
      <c r="E608" t="s">
        <v>15</v>
      </c>
      <c r="F608" t="s">
        <v>16</v>
      </c>
      <c r="G608" t="s">
        <v>52</v>
      </c>
      <c r="H608">
        <v>3</v>
      </c>
      <c r="I608">
        <v>13232</v>
      </c>
      <c r="J608">
        <v>0.05</v>
      </c>
      <c r="K608">
        <v>37711.199999999997</v>
      </c>
      <c r="L608">
        <v>5597.34</v>
      </c>
      <c r="M608" t="str">
        <f t="shared" si="81"/>
        <v>Bookshelf</v>
      </c>
      <c r="N608" t="str">
        <f t="shared" si="82"/>
        <v>Kolkata</v>
      </c>
      <c r="O608" t="str">
        <f t="shared" si="83"/>
        <v>East</v>
      </c>
      <c r="P608" t="str">
        <f t="shared" si="84"/>
        <v>Furniture</v>
      </c>
      <c r="Q608" t="str">
        <f t="shared" si="85"/>
        <v>Furniture</v>
      </c>
      <c r="R608" t="str">
        <f t="shared" si="86"/>
        <v>East</v>
      </c>
      <c r="S608" t="str">
        <f t="shared" si="87"/>
        <v>Kolkata</v>
      </c>
      <c r="T608">
        <f t="shared" si="88"/>
        <v>37711.199999999997</v>
      </c>
      <c r="U608" t="str">
        <f t="shared" si="89"/>
        <v>OK</v>
      </c>
    </row>
    <row r="609" spans="1:21" x14ac:dyDescent="0.3">
      <c r="A609" t="s">
        <v>841</v>
      </c>
      <c r="B609" s="3">
        <v>45955</v>
      </c>
      <c r="C609" t="s">
        <v>266</v>
      </c>
      <c r="D609" t="s">
        <v>65</v>
      </c>
      <c r="E609" t="s">
        <v>26</v>
      </c>
      <c r="F609" t="s">
        <v>58</v>
      </c>
      <c r="G609" t="s">
        <v>59</v>
      </c>
      <c r="H609">
        <v>2</v>
      </c>
      <c r="I609">
        <v>2187</v>
      </c>
      <c r="J609">
        <v>0.05</v>
      </c>
      <c r="K609">
        <v>4155.3</v>
      </c>
      <c r="L609">
        <v>591.87</v>
      </c>
      <c r="M609" t="str">
        <f t="shared" si="81"/>
        <v>Electric Kettle</v>
      </c>
      <c r="N609" t="str">
        <f t="shared" si="82"/>
        <v>Chandigarh</v>
      </c>
      <c r="O609" t="str">
        <f t="shared" si="83"/>
        <v>North</v>
      </c>
      <c r="P609" t="str">
        <f t="shared" si="84"/>
        <v>Home Appliances</v>
      </c>
      <c r="Q609" t="str">
        <f t="shared" si="85"/>
        <v>Home Appliances</v>
      </c>
      <c r="R609" t="str">
        <f t="shared" si="86"/>
        <v>North</v>
      </c>
      <c r="S609" t="str">
        <f t="shared" si="87"/>
        <v>Chandigarh</v>
      </c>
      <c r="T609">
        <f t="shared" si="88"/>
        <v>4155.3</v>
      </c>
      <c r="U609" t="str">
        <f t="shared" si="89"/>
        <v>OK</v>
      </c>
    </row>
    <row r="610" spans="1:21" x14ac:dyDescent="0.3">
      <c r="A610" t="s">
        <v>842</v>
      </c>
      <c r="B610" s="3">
        <v>45857</v>
      </c>
      <c r="C610" t="s">
        <v>128</v>
      </c>
      <c r="D610" t="s">
        <v>30</v>
      </c>
      <c r="E610" t="s">
        <v>15</v>
      </c>
      <c r="F610" t="s">
        <v>27</v>
      </c>
      <c r="G610" t="s">
        <v>31</v>
      </c>
      <c r="H610">
        <v>3</v>
      </c>
      <c r="I610">
        <v>13439</v>
      </c>
      <c r="J610">
        <v>0.1</v>
      </c>
      <c r="K610">
        <v>36285.300000000003</v>
      </c>
      <c r="L610">
        <v>8284.86</v>
      </c>
      <c r="M610" t="str">
        <f t="shared" si="81"/>
        <v>Bookshelf</v>
      </c>
      <c r="N610" t="str">
        <f t="shared" si="82"/>
        <v>Hyderabad</v>
      </c>
      <c r="O610" t="str">
        <f t="shared" si="83"/>
        <v>South</v>
      </c>
      <c r="P610" t="str">
        <f t="shared" si="84"/>
        <v>Furniture</v>
      </c>
      <c r="Q610" t="str">
        <f t="shared" si="85"/>
        <v>Furniture</v>
      </c>
      <c r="R610" t="str">
        <f t="shared" si="86"/>
        <v>South</v>
      </c>
      <c r="S610" t="str">
        <f t="shared" si="87"/>
        <v>Hyderabad</v>
      </c>
      <c r="T610">
        <f t="shared" si="88"/>
        <v>36285.300000000003</v>
      </c>
      <c r="U610" t="str">
        <f t="shared" si="89"/>
        <v>OK</v>
      </c>
    </row>
    <row r="611" spans="1:21" x14ac:dyDescent="0.3">
      <c r="A611" t="s">
        <v>843</v>
      </c>
      <c r="B611" s="3">
        <v>45923</v>
      </c>
      <c r="C611" t="s">
        <v>208</v>
      </c>
      <c r="D611" t="s">
        <v>80</v>
      </c>
      <c r="E611" t="s">
        <v>51</v>
      </c>
      <c r="F611" t="s">
        <v>58</v>
      </c>
      <c r="G611" t="s">
        <v>126</v>
      </c>
      <c r="H611">
        <v>1</v>
      </c>
      <c r="I611">
        <v>60499</v>
      </c>
      <c r="J611">
        <v>0.1</v>
      </c>
      <c r="K611">
        <v>54449.1</v>
      </c>
      <c r="L611">
        <v>9411.0300000000007</v>
      </c>
      <c r="M611" t="str">
        <f t="shared" si="81"/>
        <v>Laptop</v>
      </c>
      <c r="N611" t="str">
        <f t="shared" si="82"/>
        <v>Delhi</v>
      </c>
      <c r="O611" t="str">
        <f t="shared" si="83"/>
        <v>North</v>
      </c>
      <c r="P611" t="str">
        <f t="shared" si="84"/>
        <v>Electronics</v>
      </c>
      <c r="Q611" t="str">
        <f t="shared" si="85"/>
        <v>Electronics</v>
      </c>
      <c r="R611" t="str">
        <f t="shared" si="86"/>
        <v>North</v>
      </c>
      <c r="S611" t="str">
        <f t="shared" si="87"/>
        <v>Delhi</v>
      </c>
      <c r="T611">
        <f t="shared" si="88"/>
        <v>54449.1</v>
      </c>
      <c r="U611" t="str">
        <f t="shared" si="89"/>
        <v>OK</v>
      </c>
    </row>
    <row r="612" spans="1:21" x14ac:dyDescent="0.3">
      <c r="A612" t="s">
        <v>844</v>
      </c>
      <c r="B612" s="3">
        <v>45991</v>
      </c>
      <c r="C612" t="s">
        <v>544</v>
      </c>
      <c r="D612" t="s">
        <v>65</v>
      </c>
      <c r="E612" t="s">
        <v>26</v>
      </c>
      <c r="F612" t="s">
        <v>16</v>
      </c>
      <c r="G612" t="s">
        <v>52</v>
      </c>
      <c r="H612">
        <v>2</v>
      </c>
      <c r="I612">
        <v>1873</v>
      </c>
      <c r="J612">
        <v>0.05</v>
      </c>
      <c r="K612">
        <v>3558.7</v>
      </c>
      <c r="L612">
        <v>817.51</v>
      </c>
      <c r="M612" t="str">
        <f t="shared" si="81"/>
        <v>Electric Kettle</v>
      </c>
      <c r="N612" t="str">
        <f t="shared" si="82"/>
        <v>Kolkata</v>
      </c>
      <c r="O612" t="str">
        <f t="shared" si="83"/>
        <v>East</v>
      </c>
      <c r="P612" t="str">
        <f t="shared" si="84"/>
        <v>Home Appliances</v>
      </c>
      <c r="Q612" t="str">
        <f t="shared" si="85"/>
        <v>Home Appliances</v>
      </c>
      <c r="R612" t="str">
        <f t="shared" si="86"/>
        <v>East</v>
      </c>
      <c r="S612" t="str">
        <f t="shared" si="87"/>
        <v>Kolkata</v>
      </c>
      <c r="T612">
        <f t="shared" si="88"/>
        <v>3558.7</v>
      </c>
      <c r="U612" t="str">
        <f t="shared" si="89"/>
        <v>OK</v>
      </c>
    </row>
    <row r="613" spans="1:21" x14ac:dyDescent="0.3">
      <c r="A613" t="s">
        <v>845</v>
      </c>
      <c r="B613" s="3">
        <v>45659</v>
      </c>
      <c r="C613" t="s">
        <v>141</v>
      </c>
      <c r="D613" t="s">
        <v>30</v>
      </c>
      <c r="E613" t="s">
        <v>15</v>
      </c>
      <c r="F613" t="s">
        <v>21</v>
      </c>
      <c r="G613" t="s">
        <v>35</v>
      </c>
      <c r="H613">
        <v>2</v>
      </c>
      <c r="I613">
        <v>9013</v>
      </c>
      <c r="J613">
        <v>0.2</v>
      </c>
      <c r="K613">
        <v>14420.8</v>
      </c>
      <c r="L613">
        <v>2667.99</v>
      </c>
      <c r="M613" t="str">
        <f t="shared" si="81"/>
        <v>Bookshelf</v>
      </c>
      <c r="N613" t="str">
        <f t="shared" si="82"/>
        <v>Mumbai</v>
      </c>
      <c r="O613" t="str">
        <f t="shared" si="83"/>
        <v>West</v>
      </c>
      <c r="P613" t="str">
        <f t="shared" si="84"/>
        <v>Furniture</v>
      </c>
      <c r="Q613" t="str">
        <f t="shared" si="85"/>
        <v>Furniture</v>
      </c>
      <c r="R613" t="str">
        <f t="shared" si="86"/>
        <v>West</v>
      </c>
      <c r="S613" t="str">
        <f t="shared" si="87"/>
        <v>Mumbai</v>
      </c>
      <c r="T613">
        <f t="shared" si="88"/>
        <v>14420.800000000001</v>
      </c>
      <c r="U613" t="str">
        <f t="shared" si="89"/>
        <v>OK</v>
      </c>
    </row>
    <row r="614" spans="1:21" x14ac:dyDescent="0.3">
      <c r="A614" t="s">
        <v>846</v>
      </c>
      <c r="B614" s="3">
        <v>45806</v>
      </c>
      <c r="C614" t="s">
        <v>597</v>
      </c>
      <c r="D614" t="s">
        <v>25</v>
      </c>
      <c r="E614" t="s">
        <v>26</v>
      </c>
      <c r="F614" t="s">
        <v>27</v>
      </c>
      <c r="G614" t="s">
        <v>40</v>
      </c>
      <c r="H614">
        <v>1</v>
      </c>
      <c r="I614">
        <v>6011</v>
      </c>
      <c r="J614">
        <v>0</v>
      </c>
      <c r="K614">
        <v>6011</v>
      </c>
      <c r="L614">
        <v>1655.77</v>
      </c>
      <c r="M614" t="str">
        <f t="shared" si="81"/>
        <v>Microwave</v>
      </c>
      <c r="N614" t="str">
        <f t="shared" si="82"/>
        <v>Chennai</v>
      </c>
      <c r="O614" t="str">
        <f t="shared" si="83"/>
        <v>South</v>
      </c>
      <c r="P614" t="str">
        <f t="shared" si="84"/>
        <v>Home Appliances</v>
      </c>
      <c r="Q614" t="str">
        <f t="shared" si="85"/>
        <v>Home Appliances</v>
      </c>
      <c r="R614" t="str">
        <f t="shared" si="86"/>
        <v>South</v>
      </c>
      <c r="S614" t="str">
        <f t="shared" si="87"/>
        <v>Chennai</v>
      </c>
      <c r="T614">
        <f t="shared" si="88"/>
        <v>6011</v>
      </c>
      <c r="U614" t="str">
        <f t="shared" si="89"/>
        <v>OK</v>
      </c>
    </row>
    <row r="615" spans="1:21" x14ac:dyDescent="0.3">
      <c r="A615" t="s">
        <v>847</v>
      </c>
      <c r="B615" s="3">
        <v>45741</v>
      </c>
      <c r="C615" t="s">
        <v>798</v>
      </c>
      <c r="D615" t="s">
        <v>14</v>
      </c>
      <c r="E615" t="s">
        <v>15</v>
      </c>
      <c r="F615" t="s">
        <v>27</v>
      </c>
      <c r="G615" t="s">
        <v>40</v>
      </c>
      <c r="H615">
        <v>3</v>
      </c>
      <c r="I615">
        <v>17265</v>
      </c>
      <c r="J615">
        <v>0.1</v>
      </c>
      <c r="K615">
        <v>46615.5</v>
      </c>
      <c r="L615">
        <v>10263.48</v>
      </c>
      <c r="M615" t="str">
        <f t="shared" si="81"/>
        <v>Office Chair</v>
      </c>
      <c r="N615" t="str">
        <f t="shared" si="82"/>
        <v>Chennai</v>
      </c>
      <c r="O615" t="str">
        <f t="shared" si="83"/>
        <v>South</v>
      </c>
      <c r="P615" t="str">
        <f t="shared" si="84"/>
        <v>Furniture</v>
      </c>
      <c r="Q615" t="str">
        <f t="shared" si="85"/>
        <v>Furniture</v>
      </c>
      <c r="R615" t="str">
        <f t="shared" si="86"/>
        <v>South</v>
      </c>
      <c r="S615" t="str">
        <f t="shared" si="87"/>
        <v>Chennai</v>
      </c>
      <c r="T615">
        <f t="shared" si="88"/>
        <v>46615.5</v>
      </c>
      <c r="U615" t="str">
        <f t="shared" si="89"/>
        <v>OK</v>
      </c>
    </row>
    <row r="616" spans="1:21" x14ac:dyDescent="0.3">
      <c r="A616" t="s">
        <v>848</v>
      </c>
      <c r="B616" s="3">
        <v>45895</v>
      </c>
      <c r="C616" t="s">
        <v>805</v>
      </c>
      <c r="D616" t="s">
        <v>30</v>
      </c>
      <c r="E616" t="s">
        <v>15</v>
      </c>
      <c r="F616" t="s">
        <v>27</v>
      </c>
      <c r="G616" t="s">
        <v>28</v>
      </c>
      <c r="H616">
        <v>1</v>
      </c>
      <c r="I616">
        <v>13025</v>
      </c>
      <c r="J616">
        <v>0</v>
      </c>
      <c r="K616">
        <v>13025</v>
      </c>
      <c r="L616">
        <v>1896.03</v>
      </c>
      <c r="M616" t="str">
        <f t="shared" si="81"/>
        <v>Bookshelf</v>
      </c>
      <c r="N616" t="str">
        <f t="shared" si="82"/>
        <v>Bengaluru</v>
      </c>
      <c r="O616" t="str">
        <f t="shared" si="83"/>
        <v>South</v>
      </c>
      <c r="P616" t="str">
        <f t="shared" si="84"/>
        <v>Furniture</v>
      </c>
      <c r="Q616" t="str">
        <f t="shared" si="85"/>
        <v>Furniture</v>
      </c>
      <c r="R616" t="str">
        <f t="shared" si="86"/>
        <v>South</v>
      </c>
      <c r="S616" t="str">
        <f t="shared" si="87"/>
        <v>Bengaluru</v>
      </c>
      <c r="T616">
        <f t="shared" si="88"/>
        <v>13025</v>
      </c>
      <c r="U616" t="str">
        <f t="shared" si="89"/>
        <v>OK</v>
      </c>
    </row>
    <row r="617" spans="1:21" x14ac:dyDescent="0.3">
      <c r="A617" t="s">
        <v>849</v>
      </c>
      <c r="B617" s="3">
        <v>45705</v>
      </c>
      <c r="C617" t="s">
        <v>113</v>
      </c>
      <c r="D617" t="s">
        <v>47</v>
      </c>
      <c r="E617" t="s">
        <v>26</v>
      </c>
      <c r="F617" t="s">
        <v>16</v>
      </c>
      <c r="G617" t="s">
        <v>17</v>
      </c>
      <c r="H617">
        <v>2</v>
      </c>
      <c r="I617">
        <v>10105</v>
      </c>
      <c r="J617">
        <v>0.15</v>
      </c>
      <c r="K617">
        <v>17178.5</v>
      </c>
      <c r="L617">
        <v>1663.79</v>
      </c>
      <c r="M617" t="str">
        <f t="shared" si="81"/>
        <v>Air Purifier</v>
      </c>
      <c r="N617" t="str">
        <f t="shared" si="82"/>
        <v>Guwahati</v>
      </c>
      <c r="O617" t="str">
        <f t="shared" si="83"/>
        <v>East</v>
      </c>
      <c r="P617" t="str">
        <f t="shared" si="84"/>
        <v>Home Appliances</v>
      </c>
      <c r="Q617" t="str">
        <f t="shared" si="85"/>
        <v>Home Appliances</v>
      </c>
      <c r="R617" t="str">
        <f t="shared" si="86"/>
        <v>East</v>
      </c>
      <c r="S617" t="str">
        <f t="shared" si="87"/>
        <v>Guwahati</v>
      </c>
      <c r="T617">
        <f t="shared" si="88"/>
        <v>17178.5</v>
      </c>
      <c r="U617" t="str">
        <f t="shared" si="89"/>
        <v>OK</v>
      </c>
    </row>
    <row r="618" spans="1:21" x14ac:dyDescent="0.3">
      <c r="A618" t="s">
        <v>850</v>
      </c>
      <c r="B618" s="3">
        <v>45726</v>
      </c>
      <c r="C618" t="s">
        <v>234</v>
      </c>
      <c r="D618" t="s">
        <v>202</v>
      </c>
      <c r="E618" t="s">
        <v>44</v>
      </c>
      <c r="F618" t="s">
        <v>16</v>
      </c>
      <c r="G618" t="s">
        <v>17</v>
      </c>
      <c r="H618">
        <v>3</v>
      </c>
      <c r="I618">
        <v>2292</v>
      </c>
      <c r="J618">
        <v>0.1</v>
      </c>
      <c r="K618">
        <v>6188.4</v>
      </c>
      <c r="L618">
        <v>738.26</v>
      </c>
      <c r="M618" t="str">
        <f t="shared" si="81"/>
        <v>Laptop Stand</v>
      </c>
      <c r="N618" t="str">
        <f t="shared" si="82"/>
        <v>Guwahati</v>
      </c>
      <c r="O618" t="str">
        <f t="shared" si="83"/>
        <v>East</v>
      </c>
      <c r="P618" t="str">
        <f t="shared" si="84"/>
        <v>Accessories</v>
      </c>
      <c r="Q618" t="str">
        <f t="shared" si="85"/>
        <v>Accessories</v>
      </c>
      <c r="R618" t="str">
        <f t="shared" si="86"/>
        <v>East</v>
      </c>
      <c r="S618" t="str">
        <f t="shared" si="87"/>
        <v>Guwahati</v>
      </c>
      <c r="T618">
        <f t="shared" si="88"/>
        <v>6188.4000000000005</v>
      </c>
      <c r="U618" t="str">
        <f t="shared" si="89"/>
        <v>OK</v>
      </c>
    </row>
    <row r="619" spans="1:21" x14ac:dyDescent="0.3">
      <c r="A619" t="s">
        <v>851</v>
      </c>
      <c r="B619" s="3">
        <v>45924</v>
      </c>
      <c r="C619" t="s">
        <v>159</v>
      </c>
      <c r="D619" t="s">
        <v>65</v>
      </c>
      <c r="E619" t="s">
        <v>26</v>
      </c>
      <c r="F619" t="s">
        <v>58</v>
      </c>
      <c r="G619" t="s">
        <v>126</v>
      </c>
      <c r="H619">
        <v>3</v>
      </c>
      <c r="I619">
        <v>4264</v>
      </c>
      <c r="J619">
        <v>0.15</v>
      </c>
      <c r="K619">
        <v>10873.2</v>
      </c>
      <c r="L619">
        <v>1535.88</v>
      </c>
      <c r="M619" t="str">
        <f t="shared" si="81"/>
        <v>Electric Kettle</v>
      </c>
      <c r="N619" t="str">
        <f t="shared" si="82"/>
        <v>Delhi</v>
      </c>
      <c r="O619" t="str">
        <f t="shared" si="83"/>
        <v>North</v>
      </c>
      <c r="P619" t="str">
        <f t="shared" si="84"/>
        <v>Home Appliances</v>
      </c>
      <c r="Q619" t="str">
        <f t="shared" si="85"/>
        <v>Home Appliances</v>
      </c>
      <c r="R619" t="str">
        <f t="shared" si="86"/>
        <v>North</v>
      </c>
      <c r="S619" t="str">
        <f t="shared" si="87"/>
        <v>Delhi</v>
      </c>
      <c r="T619">
        <f t="shared" si="88"/>
        <v>10873.199999999999</v>
      </c>
      <c r="U619" t="str">
        <f t="shared" si="89"/>
        <v>OK</v>
      </c>
    </row>
    <row r="620" spans="1:21" x14ac:dyDescent="0.3">
      <c r="A620" t="s">
        <v>852</v>
      </c>
      <c r="B620" s="3">
        <v>45895</v>
      </c>
      <c r="C620" t="s">
        <v>617</v>
      </c>
      <c r="D620" t="s">
        <v>307</v>
      </c>
      <c r="E620" t="s">
        <v>73</v>
      </c>
      <c r="F620" t="s">
        <v>21</v>
      </c>
      <c r="G620" t="s">
        <v>22</v>
      </c>
      <c r="H620">
        <v>2</v>
      </c>
      <c r="I620">
        <v>384</v>
      </c>
      <c r="J620">
        <v>0</v>
      </c>
      <c r="K620">
        <v>768</v>
      </c>
      <c r="L620">
        <v>183.07</v>
      </c>
      <c r="M620" t="str">
        <f t="shared" si="81"/>
        <v>Notebook</v>
      </c>
      <c r="N620" t="str">
        <f t="shared" si="82"/>
        <v>Ahmedabad</v>
      </c>
      <c r="O620" t="str">
        <f t="shared" si="83"/>
        <v>West</v>
      </c>
      <c r="P620" t="str">
        <f t="shared" si="84"/>
        <v>Office Supplies</v>
      </c>
      <c r="Q620" t="str">
        <f t="shared" si="85"/>
        <v>Office Supplies</v>
      </c>
      <c r="R620" t="str">
        <f t="shared" si="86"/>
        <v>West</v>
      </c>
      <c r="S620" t="str">
        <f t="shared" si="87"/>
        <v>Ahmedabad</v>
      </c>
      <c r="T620">
        <f t="shared" si="88"/>
        <v>768</v>
      </c>
      <c r="U620" t="str">
        <f t="shared" si="89"/>
        <v>OK</v>
      </c>
    </row>
    <row r="621" spans="1:21" x14ac:dyDescent="0.3">
      <c r="A621" t="s">
        <v>853</v>
      </c>
      <c r="B621" s="3">
        <v>46011</v>
      </c>
      <c r="C621" t="s">
        <v>260</v>
      </c>
      <c r="D621" t="s">
        <v>153</v>
      </c>
      <c r="E621" t="s">
        <v>26</v>
      </c>
      <c r="F621" t="s">
        <v>21</v>
      </c>
      <c r="G621" t="s">
        <v>55</v>
      </c>
      <c r="H621">
        <v>1</v>
      </c>
      <c r="I621">
        <v>7129</v>
      </c>
      <c r="J621">
        <v>0.2</v>
      </c>
      <c r="K621">
        <v>5703.2</v>
      </c>
      <c r="L621">
        <v>1286.22</v>
      </c>
      <c r="M621" t="str">
        <f t="shared" si="81"/>
        <v>Coffee Maker</v>
      </c>
      <c r="N621" t="str">
        <f t="shared" si="82"/>
        <v>Pune</v>
      </c>
      <c r="O621" t="str">
        <f t="shared" si="83"/>
        <v>West</v>
      </c>
      <c r="P621" t="str">
        <f t="shared" si="84"/>
        <v>Home Appliances</v>
      </c>
      <c r="Q621" t="str">
        <f t="shared" si="85"/>
        <v>Home Appliances</v>
      </c>
      <c r="R621" t="str">
        <f t="shared" si="86"/>
        <v>West</v>
      </c>
      <c r="S621" t="str">
        <f t="shared" si="87"/>
        <v>Pune</v>
      </c>
      <c r="T621">
        <f t="shared" si="88"/>
        <v>5703.2000000000007</v>
      </c>
      <c r="U621" t="str">
        <f t="shared" si="89"/>
        <v>OK</v>
      </c>
    </row>
    <row r="622" spans="1:21" x14ac:dyDescent="0.3">
      <c r="A622" t="s">
        <v>854</v>
      </c>
      <c r="B622" s="3">
        <v>45782</v>
      </c>
      <c r="C622" t="s">
        <v>403</v>
      </c>
      <c r="D622" t="s">
        <v>92</v>
      </c>
      <c r="E622" t="s">
        <v>51</v>
      </c>
      <c r="F622" t="s">
        <v>27</v>
      </c>
      <c r="G622" t="s">
        <v>40</v>
      </c>
      <c r="H622">
        <v>2</v>
      </c>
      <c r="I622">
        <v>18974</v>
      </c>
      <c r="J622">
        <v>0.1</v>
      </c>
      <c r="K622">
        <v>34153.199999999997</v>
      </c>
      <c r="L622">
        <v>6077.81</v>
      </c>
      <c r="M622" t="str">
        <f t="shared" si="81"/>
        <v>Monitor</v>
      </c>
      <c r="N622" t="str">
        <f t="shared" si="82"/>
        <v>Chennai</v>
      </c>
      <c r="O622" t="str">
        <f t="shared" si="83"/>
        <v>South</v>
      </c>
      <c r="P622" t="str">
        <f t="shared" si="84"/>
        <v>Electronics</v>
      </c>
      <c r="Q622" t="str">
        <f t="shared" si="85"/>
        <v>Electronics</v>
      </c>
      <c r="R622" t="str">
        <f t="shared" si="86"/>
        <v>South</v>
      </c>
      <c r="S622" t="str">
        <f t="shared" si="87"/>
        <v>Chennai</v>
      </c>
      <c r="T622">
        <f t="shared" si="88"/>
        <v>34153.200000000004</v>
      </c>
      <c r="U622" t="str">
        <f t="shared" si="89"/>
        <v>OK</v>
      </c>
    </row>
    <row r="623" spans="1:21" x14ac:dyDescent="0.3">
      <c r="A623" t="s">
        <v>855</v>
      </c>
      <c r="B623" s="3">
        <v>45869</v>
      </c>
      <c r="C623" t="s">
        <v>64</v>
      </c>
      <c r="D623" t="s">
        <v>120</v>
      </c>
      <c r="E623" t="s">
        <v>51</v>
      </c>
      <c r="F623" t="s">
        <v>58</v>
      </c>
      <c r="G623" t="s">
        <v>69</v>
      </c>
      <c r="H623">
        <v>1</v>
      </c>
      <c r="I623">
        <v>1794</v>
      </c>
      <c r="J623">
        <v>0.05</v>
      </c>
      <c r="K623">
        <v>1704.3</v>
      </c>
      <c r="L623">
        <v>309.05</v>
      </c>
      <c r="M623" t="str">
        <f t="shared" si="81"/>
        <v>Mouse</v>
      </c>
      <c r="N623" t="str">
        <f t="shared" si="82"/>
        <v>Jaipur</v>
      </c>
      <c r="O623" t="str">
        <f t="shared" si="83"/>
        <v>North</v>
      </c>
      <c r="P623" t="str">
        <f t="shared" si="84"/>
        <v>Electronics</v>
      </c>
      <c r="Q623" t="str">
        <f t="shared" si="85"/>
        <v>Electronics</v>
      </c>
      <c r="R623" t="str">
        <f t="shared" si="86"/>
        <v>North</v>
      </c>
      <c r="S623" t="str">
        <f t="shared" si="87"/>
        <v>Jaipur</v>
      </c>
      <c r="T623">
        <f t="shared" si="88"/>
        <v>1704.3</v>
      </c>
      <c r="U623" t="str">
        <f t="shared" si="89"/>
        <v>OK</v>
      </c>
    </row>
    <row r="624" spans="1:21" x14ac:dyDescent="0.3">
      <c r="A624" t="s">
        <v>856</v>
      </c>
      <c r="B624" s="3">
        <v>45677</v>
      </c>
      <c r="C624" t="s">
        <v>358</v>
      </c>
      <c r="D624" t="s">
        <v>25</v>
      </c>
      <c r="E624" t="s">
        <v>26</v>
      </c>
      <c r="F624" t="s">
        <v>27</v>
      </c>
      <c r="G624" t="s">
        <v>31</v>
      </c>
      <c r="H624">
        <v>4</v>
      </c>
      <c r="I624">
        <v>12028</v>
      </c>
      <c r="J624">
        <v>0.05</v>
      </c>
      <c r="K624">
        <v>45706.400000000001</v>
      </c>
      <c r="L624">
        <v>10394.85</v>
      </c>
      <c r="M624" t="str">
        <f t="shared" si="81"/>
        <v>Microwave</v>
      </c>
      <c r="N624" t="str">
        <f t="shared" si="82"/>
        <v>Hyderabad</v>
      </c>
      <c r="O624" t="str">
        <f t="shared" si="83"/>
        <v>South</v>
      </c>
      <c r="P624" t="str">
        <f t="shared" si="84"/>
        <v>Home Appliances</v>
      </c>
      <c r="Q624" t="str">
        <f t="shared" si="85"/>
        <v>Home Appliances</v>
      </c>
      <c r="R624" t="str">
        <f t="shared" si="86"/>
        <v>South</v>
      </c>
      <c r="S624" t="str">
        <f t="shared" si="87"/>
        <v>Hyderabad</v>
      </c>
      <c r="T624">
        <f t="shared" si="88"/>
        <v>45706.400000000001</v>
      </c>
      <c r="U624" t="str">
        <f t="shared" si="89"/>
        <v>OK</v>
      </c>
    </row>
    <row r="625" spans="1:21" x14ac:dyDescent="0.3">
      <c r="A625" t="s">
        <v>857</v>
      </c>
      <c r="B625" s="3">
        <v>45802</v>
      </c>
      <c r="C625" t="s">
        <v>415</v>
      </c>
      <c r="D625" t="s">
        <v>34</v>
      </c>
      <c r="E625" t="s">
        <v>15</v>
      </c>
      <c r="F625" t="s">
        <v>16</v>
      </c>
      <c r="G625" t="s">
        <v>104</v>
      </c>
      <c r="H625">
        <v>2</v>
      </c>
      <c r="I625">
        <v>8136</v>
      </c>
      <c r="J625">
        <v>0.05</v>
      </c>
      <c r="K625">
        <v>15458.4</v>
      </c>
      <c r="L625">
        <v>3316.62</v>
      </c>
      <c r="M625" t="str">
        <f t="shared" si="81"/>
        <v>Desk</v>
      </c>
      <c r="N625" t="str">
        <f t="shared" si="82"/>
        <v>Bhubaneswar</v>
      </c>
      <c r="O625" t="str">
        <f t="shared" si="83"/>
        <v>East</v>
      </c>
      <c r="P625" t="str">
        <f t="shared" si="84"/>
        <v>Furniture</v>
      </c>
      <c r="Q625" t="str">
        <f t="shared" si="85"/>
        <v>Furniture</v>
      </c>
      <c r="R625" t="str">
        <f t="shared" si="86"/>
        <v>East</v>
      </c>
      <c r="S625" t="str">
        <f t="shared" si="87"/>
        <v>Bhubaneswar</v>
      </c>
      <c r="T625">
        <f t="shared" si="88"/>
        <v>15458.4</v>
      </c>
      <c r="U625" t="str">
        <f t="shared" si="89"/>
        <v>OK</v>
      </c>
    </row>
    <row r="626" spans="1:21" x14ac:dyDescent="0.3">
      <c r="A626" t="s">
        <v>858</v>
      </c>
      <c r="B626" s="3">
        <v>45696</v>
      </c>
      <c r="C626" t="s">
        <v>595</v>
      </c>
      <c r="D626" t="s">
        <v>47</v>
      </c>
      <c r="E626" t="s">
        <v>26</v>
      </c>
      <c r="F626" t="s">
        <v>58</v>
      </c>
      <c r="G626" t="s">
        <v>69</v>
      </c>
      <c r="H626">
        <v>2</v>
      </c>
      <c r="I626">
        <v>13437</v>
      </c>
      <c r="J626">
        <v>0</v>
      </c>
      <c r="K626">
        <v>26874</v>
      </c>
      <c r="L626">
        <v>2720.51</v>
      </c>
      <c r="M626" t="str">
        <f t="shared" si="81"/>
        <v>Air Purifier</v>
      </c>
      <c r="N626" t="str">
        <f t="shared" si="82"/>
        <v>Jaipur</v>
      </c>
      <c r="O626" t="str">
        <f t="shared" si="83"/>
        <v>North</v>
      </c>
      <c r="P626" t="str">
        <f t="shared" si="84"/>
        <v>Home Appliances</v>
      </c>
      <c r="Q626" t="str">
        <f t="shared" si="85"/>
        <v>Home Appliances</v>
      </c>
      <c r="R626" t="str">
        <f t="shared" si="86"/>
        <v>North</v>
      </c>
      <c r="S626" t="str">
        <f t="shared" si="87"/>
        <v>Jaipur</v>
      </c>
      <c r="T626">
        <f t="shared" si="88"/>
        <v>26874</v>
      </c>
      <c r="U626" t="str">
        <f t="shared" si="89"/>
        <v>OK</v>
      </c>
    </row>
    <row r="627" spans="1:21" x14ac:dyDescent="0.3">
      <c r="A627" t="s">
        <v>859</v>
      </c>
      <c r="B627" s="3">
        <v>45767</v>
      </c>
      <c r="C627" t="s">
        <v>123</v>
      </c>
      <c r="D627" t="s">
        <v>68</v>
      </c>
      <c r="E627" t="s">
        <v>44</v>
      </c>
      <c r="F627" t="s">
        <v>16</v>
      </c>
      <c r="G627" t="s">
        <v>104</v>
      </c>
      <c r="H627">
        <v>3</v>
      </c>
      <c r="I627">
        <v>4144</v>
      </c>
      <c r="J627">
        <v>0.25</v>
      </c>
      <c r="K627">
        <v>9324</v>
      </c>
      <c r="L627">
        <v>1615.39</v>
      </c>
      <c r="M627" t="str">
        <f t="shared" si="81"/>
        <v>Webcam</v>
      </c>
      <c r="N627" t="str">
        <f t="shared" si="82"/>
        <v>Bhubaneswar</v>
      </c>
      <c r="O627" t="str">
        <f t="shared" si="83"/>
        <v>East</v>
      </c>
      <c r="P627" t="str">
        <f t="shared" si="84"/>
        <v>Accessories</v>
      </c>
      <c r="Q627" t="str">
        <f t="shared" si="85"/>
        <v>Accessories</v>
      </c>
      <c r="R627" t="str">
        <f t="shared" si="86"/>
        <v>East</v>
      </c>
      <c r="S627" t="str">
        <f t="shared" si="87"/>
        <v>Bhubaneswar</v>
      </c>
      <c r="T627">
        <f t="shared" si="88"/>
        <v>9324</v>
      </c>
      <c r="U627" t="str">
        <f t="shared" si="89"/>
        <v>OK</v>
      </c>
    </row>
    <row r="628" spans="1:21" x14ac:dyDescent="0.3">
      <c r="A628" t="s">
        <v>860</v>
      </c>
      <c r="B628" s="3">
        <v>46000</v>
      </c>
      <c r="C628" t="s">
        <v>501</v>
      </c>
      <c r="D628" t="s">
        <v>120</v>
      </c>
      <c r="E628" t="s">
        <v>51</v>
      </c>
      <c r="F628" t="s">
        <v>21</v>
      </c>
      <c r="G628" t="s">
        <v>55</v>
      </c>
      <c r="H628">
        <v>1</v>
      </c>
      <c r="I628">
        <v>481</v>
      </c>
      <c r="J628">
        <v>0.05</v>
      </c>
      <c r="K628">
        <v>456.95</v>
      </c>
      <c r="L628">
        <v>113.69</v>
      </c>
      <c r="M628" t="str">
        <f t="shared" si="81"/>
        <v>Mouse</v>
      </c>
      <c r="N628" t="str">
        <f t="shared" si="82"/>
        <v>Pune</v>
      </c>
      <c r="O628" t="str">
        <f t="shared" si="83"/>
        <v>West</v>
      </c>
      <c r="P628" t="str">
        <f t="shared" si="84"/>
        <v>Electronics</v>
      </c>
      <c r="Q628" t="str">
        <f t="shared" si="85"/>
        <v>Electronics</v>
      </c>
      <c r="R628" t="str">
        <f t="shared" si="86"/>
        <v>West</v>
      </c>
      <c r="S628" t="str">
        <f t="shared" si="87"/>
        <v>Pune</v>
      </c>
      <c r="T628">
        <f t="shared" si="88"/>
        <v>456.95</v>
      </c>
      <c r="U628" t="str">
        <f t="shared" si="89"/>
        <v>OK</v>
      </c>
    </row>
    <row r="629" spans="1:21" x14ac:dyDescent="0.3">
      <c r="A629" t="s">
        <v>861</v>
      </c>
      <c r="B629" s="3">
        <v>45903</v>
      </c>
      <c r="C629" t="s">
        <v>42</v>
      </c>
      <c r="D629" t="s">
        <v>103</v>
      </c>
      <c r="E629" t="s">
        <v>51</v>
      </c>
      <c r="F629" t="s">
        <v>27</v>
      </c>
      <c r="G629" t="s">
        <v>31</v>
      </c>
      <c r="H629">
        <v>2</v>
      </c>
      <c r="I629">
        <v>3932</v>
      </c>
      <c r="J629">
        <v>0.1</v>
      </c>
      <c r="K629">
        <v>7077.6</v>
      </c>
      <c r="L629">
        <v>1818.67</v>
      </c>
      <c r="M629" t="str">
        <f t="shared" si="81"/>
        <v>Headphones</v>
      </c>
      <c r="N629" t="str">
        <f t="shared" si="82"/>
        <v>Hyderabad</v>
      </c>
      <c r="O629" t="str">
        <f t="shared" si="83"/>
        <v>South</v>
      </c>
      <c r="P629" t="str">
        <f t="shared" si="84"/>
        <v>Electronics</v>
      </c>
      <c r="Q629" t="str">
        <f t="shared" si="85"/>
        <v>Electronics</v>
      </c>
      <c r="R629" t="str">
        <f t="shared" si="86"/>
        <v>South</v>
      </c>
      <c r="S629" t="str">
        <f t="shared" si="87"/>
        <v>Hyderabad</v>
      </c>
      <c r="T629">
        <f t="shared" si="88"/>
        <v>7077.6</v>
      </c>
      <c r="U629" t="str">
        <f t="shared" si="89"/>
        <v>OK</v>
      </c>
    </row>
    <row r="630" spans="1:21" x14ac:dyDescent="0.3">
      <c r="A630" t="s">
        <v>862</v>
      </c>
      <c r="B630" s="3">
        <v>45851</v>
      </c>
      <c r="C630" t="s">
        <v>503</v>
      </c>
      <c r="D630" t="s">
        <v>120</v>
      </c>
      <c r="E630" t="s">
        <v>51</v>
      </c>
      <c r="F630" t="s">
        <v>58</v>
      </c>
      <c r="G630" t="s">
        <v>59</v>
      </c>
      <c r="H630">
        <v>5</v>
      </c>
      <c r="I630">
        <v>1957</v>
      </c>
      <c r="J630">
        <v>0.1</v>
      </c>
      <c r="K630">
        <v>8806.5</v>
      </c>
      <c r="L630">
        <v>1938.95</v>
      </c>
      <c r="M630" t="str">
        <f t="shared" si="81"/>
        <v>Mouse</v>
      </c>
      <c r="N630" t="str">
        <f t="shared" si="82"/>
        <v>Chandigarh</v>
      </c>
      <c r="O630" t="str">
        <f t="shared" si="83"/>
        <v>North</v>
      </c>
      <c r="P630" t="str">
        <f t="shared" si="84"/>
        <v>Electronics</v>
      </c>
      <c r="Q630" t="str">
        <f t="shared" si="85"/>
        <v>Electronics</v>
      </c>
      <c r="R630" t="str">
        <f t="shared" si="86"/>
        <v>North</v>
      </c>
      <c r="S630" t="str">
        <f t="shared" si="87"/>
        <v>Chandigarh</v>
      </c>
      <c r="T630">
        <f t="shared" si="88"/>
        <v>8806.5</v>
      </c>
      <c r="U630" t="str">
        <f t="shared" si="89"/>
        <v>OK</v>
      </c>
    </row>
    <row r="631" spans="1:21" x14ac:dyDescent="0.3">
      <c r="A631" t="s">
        <v>863</v>
      </c>
      <c r="B631" s="3">
        <v>45932</v>
      </c>
      <c r="C631" t="s">
        <v>131</v>
      </c>
      <c r="D631" t="s">
        <v>68</v>
      </c>
      <c r="E631" t="s">
        <v>44</v>
      </c>
      <c r="F631" t="s">
        <v>58</v>
      </c>
      <c r="G631" t="s">
        <v>69</v>
      </c>
      <c r="H631">
        <v>1</v>
      </c>
      <c r="I631">
        <v>3444</v>
      </c>
      <c r="J631">
        <v>0</v>
      </c>
      <c r="K631">
        <v>3444</v>
      </c>
      <c r="L631">
        <v>341.4</v>
      </c>
      <c r="M631" t="str">
        <f t="shared" si="81"/>
        <v>Webcam</v>
      </c>
      <c r="N631" t="str">
        <f t="shared" si="82"/>
        <v>Jaipur</v>
      </c>
      <c r="O631" t="str">
        <f t="shared" si="83"/>
        <v>North</v>
      </c>
      <c r="P631" t="str">
        <f t="shared" si="84"/>
        <v>Accessories</v>
      </c>
      <c r="Q631" t="str">
        <f t="shared" si="85"/>
        <v>Accessories</v>
      </c>
      <c r="R631" t="str">
        <f t="shared" si="86"/>
        <v>North</v>
      </c>
      <c r="S631" t="str">
        <f t="shared" si="87"/>
        <v>Jaipur</v>
      </c>
      <c r="T631">
        <f t="shared" si="88"/>
        <v>3444</v>
      </c>
      <c r="U631" t="str">
        <f t="shared" si="89"/>
        <v>OK</v>
      </c>
    </row>
    <row r="632" spans="1:21" x14ac:dyDescent="0.3">
      <c r="A632" t="s">
        <v>864</v>
      </c>
      <c r="B632" s="3">
        <v>45839</v>
      </c>
      <c r="C632" t="s">
        <v>665</v>
      </c>
      <c r="D632" t="s">
        <v>92</v>
      </c>
      <c r="E632" t="s">
        <v>51</v>
      </c>
      <c r="F632" t="s">
        <v>58</v>
      </c>
      <c r="G632" t="s">
        <v>126</v>
      </c>
      <c r="H632">
        <v>1</v>
      </c>
      <c r="I632">
        <v>14492</v>
      </c>
      <c r="J632">
        <v>0.15</v>
      </c>
      <c r="K632">
        <v>12318.2</v>
      </c>
      <c r="L632">
        <v>2363.17</v>
      </c>
      <c r="M632" t="str">
        <f t="shared" si="81"/>
        <v>Monitor</v>
      </c>
      <c r="N632" t="str">
        <f t="shared" si="82"/>
        <v>Delhi</v>
      </c>
      <c r="O632" t="str">
        <f t="shared" si="83"/>
        <v>North</v>
      </c>
      <c r="P632" t="str">
        <f t="shared" si="84"/>
        <v>Electronics</v>
      </c>
      <c r="Q632" t="str">
        <f t="shared" si="85"/>
        <v>Electronics</v>
      </c>
      <c r="R632" t="str">
        <f t="shared" si="86"/>
        <v>North</v>
      </c>
      <c r="S632" t="str">
        <f t="shared" si="87"/>
        <v>Delhi</v>
      </c>
      <c r="T632">
        <f t="shared" si="88"/>
        <v>12318.199999999999</v>
      </c>
      <c r="U632" t="str">
        <f t="shared" si="89"/>
        <v>OK</v>
      </c>
    </row>
    <row r="633" spans="1:21" x14ac:dyDescent="0.3">
      <c r="A633" t="s">
        <v>865</v>
      </c>
      <c r="B633" s="3">
        <v>45734</v>
      </c>
      <c r="C633" t="s">
        <v>13</v>
      </c>
      <c r="D633" t="s">
        <v>43</v>
      </c>
      <c r="E633" t="s">
        <v>44</v>
      </c>
      <c r="F633" t="s">
        <v>21</v>
      </c>
      <c r="G633" t="s">
        <v>55</v>
      </c>
      <c r="H633">
        <v>4</v>
      </c>
      <c r="I633">
        <v>1134</v>
      </c>
      <c r="J633">
        <v>0</v>
      </c>
      <c r="K633">
        <v>4536</v>
      </c>
      <c r="L633">
        <v>720.4</v>
      </c>
      <c r="M633" t="str">
        <f t="shared" si="81"/>
        <v>Phone Holder</v>
      </c>
      <c r="N633" t="str">
        <f t="shared" si="82"/>
        <v>Pune</v>
      </c>
      <c r="O633" t="str">
        <f t="shared" si="83"/>
        <v>West</v>
      </c>
      <c r="P633" t="str">
        <f t="shared" si="84"/>
        <v>Accessories</v>
      </c>
      <c r="Q633" t="str">
        <f t="shared" si="85"/>
        <v>Accessories</v>
      </c>
      <c r="R633" t="str">
        <f t="shared" si="86"/>
        <v>West</v>
      </c>
      <c r="S633" t="str">
        <f t="shared" si="87"/>
        <v>Pune</v>
      </c>
      <c r="T633">
        <f t="shared" si="88"/>
        <v>4536</v>
      </c>
      <c r="U633" t="str">
        <f t="shared" si="89"/>
        <v>OK</v>
      </c>
    </row>
    <row r="634" spans="1:21" x14ac:dyDescent="0.3">
      <c r="A634" t="s">
        <v>866</v>
      </c>
      <c r="B634" s="3">
        <v>45845</v>
      </c>
      <c r="C634" t="s">
        <v>61</v>
      </c>
      <c r="D634" t="s">
        <v>30</v>
      </c>
      <c r="E634" t="s">
        <v>15</v>
      </c>
      <c r="F634" t="s">
        <v>21</v>
      </c>
      <c r="G634" t="s">
        <v>55</v>
      </c>
      <c r="H634">
        <v>3</v>
      </c>
      <c r="I634">
        <v>6026</v>
      </c>
      <c r="J634">
        <v>0.1</v>
      </c>
      <c r="K634">
        <v>16270.2</v>
      </c>
      <c r="L634">
        <v>1926.25</v>
      </c>
      <c r="M634" t="str">
        <f t="shared" si="81"/>
        <v>Bookshelf</v>
      </c>
      <c r="N634" t="str">
        <f t="shared" si="82"/>
        <v>Pune</v>
      </c>
      <c r="O634" t="str">
        <f t="shared" si="83"/>
        <v>West</v>
      </c>
      <c r="P634" t="str">
        <f t="shared" si="84"/>
        <v>Furniture</v>
      </c>
      <c r="Q634" t="str">
        <f t="shared" si="85"/>
        <v>Furniture</v>
      </c>
      <c r="R634" t="str">
        <f t="shared" si="86"/>
        <v>West</v>
      </c>
      <c r="S634" t="str">
        <f t="shared" si="87"/>
        <v>Pune</v>
      </c>
      <c r="T634">
        <f t="shared" si="88"/>
        <v>16270.2</v>
      </c>
      <c r="U634" t="str">
        <f t="shared" si="89"/>
        <v>OK</v>
      </c>
    </row>
    <row r="635" spans="1:21" x14ac:dyDescent="0.3">
      <c r="A635" t="s">
        <v>867</v>
      </c>
      <c r="B635" s="3">
        <v>45800</v>
      </c>
      <c r="C635" t="s">
        <v>440</v>
      </c>
      <c r="D635" t="s">
        <v>47</v>
      </c>
      <c r="E635" t="s">
        <v>26</v>
      </c>
      <c r="F635" t="s">
        <v>27</v>
      </c>
      <c r="G635" t="s">
        <v>40</v>
      </c>
      <c r="H635">
        <v>1</v>
      </c>
      <c r="I635">
        <v>20632</v>
      </c>
      <c r="J635">
        <v>0.15</v>
      </c>
      <c r="K635">
        <v>17537.2</v>
      </c>
      <c r="L635">
        <v>3775.4</v>
      </c>
      <c r="M635" t="str">
        <f t="shared" si="81"/>
        <v>Air Purifier</v>
      </c>
      <c r="N635" t="str">
        <f t="shared" si="82"/>
        <v>Chennai</v>
      </c>
      <c r="O635" t="str">
        <f t="shared" si="83"/>
        <v>South</v>
      </c>
      <c r="P635" t="str">
        <f t="shared" si="84"/>
        <v>Home Appliances</v>
      </c>
      <c r="Q635" t="str">
        <f t="shared" si="85"/>
        <v>Home Appliances</v>
      </c>
      <c r="R635" t="str">
        <f t="shared" si="86"/>
        <v>South</v>
      </c>
      <c r="S635" t="str">
        <f t="shared" si="87"/>
        <v>Chennai</v>
      </c>
      <c r="T635">
        <f t="shared" si="88"/>
        <v>17537.2</v>
      </c>
      <c r="U635" t="str">
        <f t="shared" si="89"/>
        <v>OK</v>
      </c>
    </row>
    <row r="636" spans="1:21" x14ac:dyDescent="0.3">
      <c r="A636" t="s">
        <v>868</v>
      </c>
      <c r="B636" s="3">
        <v>45668</v>
      </c>
      <c r="C636" t="s">
        <v>339</v>
      </c>
      <c r="D636" t="s">
        <v>103</v>
      </c>
      <c r="E636" t="s">
        <v>51</v>
      </c>
      <c r="F636" t="s">
        <v>27</v>
      </c>
      <c r="G636" t="s">
        <v>28</v>
      </c>
      <c r="H636">
        <v>2</v>
      </c>
      <c r="I636">
        <v>8565</v>
      </c>
      <c r="J636">
        <v>0.25</v>
      </c>
      <c r="K636">
        <v>12847.5</v>
      </c>
      <c r="L636">
        <v>2184.79</v>
      </c>
      <c r="M636" t="str">
        <f t="shared" si="81"/>
        <v>Headphones</v>
      </c>
      <c r="N636" t="str">
        <f t="shared" si="82"/>
        <v>Bengaluru</v>
      </c>
      <c r="O636" t="str">
        <f t="shared" si="83"/>
        <v>South</v>
      </c>
      <c r="P636" t="str">
        <f t="shared" si="84"/>
        <v>Electronics</v>
      </c>
      <c r="Q636" t="str">
        <f t="shared" si="85"/>
        <v>Electronics</v>
      </c>
      <c r="R636" t="str">
        <f t="shared" si="86"/>
        <v>South</v>
      </c>
      <c r="S636" t="str">
        <f t="shared" si="87"/>
        <v>Bengaluru</v>
      </c>
      <c r="T636">
        <f t="shared" si="88"/>
        <v>12847.5</v>
      </c>
      <c r="U636" t="str">
        <f t="shared" si="89"/>
        <v>OK</v>
      </c>
    </row>
    <row r="637" spans="1:21" x14ac:dyDescent="0.3">
      <c r="A637" t="s">
        <v>869</v>
      </c>
      <c r="B637" s="3">
        <v>45846</v>
      </c>
      <c r="C637" t="s">
        <v>358</v>
      </c>
      <c r="D637" t="s">
        <v>50</v>
      </c>
      <c r="E637" t="s">
        <v>51</v>
      </c>
      <c r="F637" t="s">
        <v>21</v>
      </c>
      <c r="G637" t="s">
        <v>55</v>
      </c>
      <c r="H637">
        <v>5</v>
      </c>
      <c r="I637">
        <v>3064</v>
      </c>
      <c r="J637">
        <v>0.15</v>
      </c>
      <c r="K637">
        <v>13022</v>
      </c>
      <c r="L637">
        <v>1869.71</v>
      </c>
      <c r="M637" t="str">
        <f t="shared" si="81"/>
        <v>Keyboard</v>
      </c>
      <c r="N637" t="str">
        <f t="shared" si="82"/>
        <v>Pune</v>
      </c>
      <c r="O637" t="str">
        <f t="shared" si="83"/>
        <v>West</v>
      </c>
      <c r="P637" t="str">
        <f t="shared" si="84"/>
        <v>Electronics</v>
      </c>
      <c r="Q637" t="str">
        <f t="shared" si="85"/>
        <v>Electronics</v>
      </c>
      <c r="R637" t="str">
        <f t="shared" si="86"/>
        <v>West</v>
      </c>
      <c r="S637" t="str">
        <f t="shared" si="87"/>
        <v>Pune</v>
      </c>
      <c r="T637">
        <f t="shared" si="88"/>
        <v>13022</v>
      </c>
      <c r="U637" t="str">
        <f t="shared" si="89"/>
        <v>OK</v>
      </c>
    </row>
    <row r="638" spans="1:21" x14ac:dyDescent="0.3">
      <c r="A638" t="s">
        <v>870</v>
      </c>
      <c r="B638" s="3">
        <v>45877</v>
      </c>
      <c r="C638" t="s">
        <v>90</v>
      </c>
      <c r="D638" t="s">
        <v>14</v>
      </c>
      <c r="E638" t="s">
        <v>15</v>
      </c>
      <c r="F638" t="s">
        <v>21</v>
      </c>
      <c r="G638" t="s">
        <v>35</v>
      </c>
      <c r="H638">
        <v>2</v>
      </c>
      <c r="I638">
        <v>10836</v>
      </c>
      <c r="J638">
        <v>0.1</v>
      </c>
      <c r="K638">
        <v>19504.8</v>
      </c>
      <c r="L638">
        <v>3983.61</v>
      </c>
      <c r="M638" t="str">
        <f t="shared" si="81"/>
        <v>Office Chair</v>
      </c>
      <c r="N638" t="str">
        <f t="shared" si="82"/>
        <v>Mumbai</v>
      </c>
      <c r="O638" t="str">
        <f t="shared" si="83"/>
        <v>West</v>
      </c>
      <c r="P638" t="str">
        <f t="shared" si="84"/>
        <v>Furniture</v>
      </c>
      <c r="Q638" t="str">
        <f t="shared" si="85"/>
        <v>Furniture</v>
      </c>
      <c r="R638" t="str">
        <f t="shared" si="86"/>
        <v>West</v>
      </c>
      <c r="S638" t="str">
        <f t="shared" si="87"/>
        <v>Mumbai</v>
      </c>
      <c r="T638">
        <f t="shared" si="88"/>
        <v>19504.8</v>
      </c>
      <c r="U638" t="str">
        <f t="shared" si="89"/>
        <v>OK</v>
      </c>
    </row>
    <row r="639" spans="1:21" x14ac:dyDescent="0.3">
      <c r="A639" t="s">
        <v>871</v>
      </c>
      <c r="B639" s="3">
        <v>45763</v>
      </c>
      <c r="C639" t="s">
        <v>263</v>
      </c>
      <c r="D639" t="s">
        <v>92</v>
      </c>
      <c r="E639" t="s">
        <v>51</v>
      </c>
      <c r="F639" t="s">
        <v>58</v>
      </c>
      <c r="G639" t="s">
        <v>59</v>
      </c>
      <c r="H639">
        <v>2</v>
      </c>
      <c r="I639">
        <v>22009</v>
      </c>
      <c r="J639">
        <v>0</v>
      </c>
      <c r="K639">
        <v>44018</v>
      </c>
      <c r="L639">
        <v>7295.05</v>
      </c>
      <c r="M639" t="str">
        <f t="shared" si="81"/>
        <v>Monitor</v>
      </c>
      <c r="N639" t="str">
        <f t="shared" si="82"/>
        <v>Chandigarh</v>
      </c>
      <c r="O639" t="str">
        <f t="shared" si="83"/>
        <v>North</v>
      </c>
      <c r="P639" t="str">
        <f t="shared" si="84"/>
        <v>Electronics</v>
      </c>
      <c r="Q639" t="str">
        <f t="shared" si="85"/>
        <v>Electronics</v>
      </c>
      <c r="R639" t="str">
        <f t="shared" si="86"/>
        <v>North</v>
      </c>
      <c r="S639" t="str">
        <f t="shared" si="87"/>
        <v>Chandigarh</v>
      </c>
      <c r="T639">
        <f t="shared" si="88"/>
        <v>44018</v>
      </c>
      <c r="U639" t="str">
        <f t="shared" si="89"/>
        <v>OK</v>
      </c>
    </row>
    <row r="640" spans="1:21" x14ac:dyDescent="0.3">
      <c r="A640" t="s">
        <v>872</v>
      </c>
      <c r="B640" s="3">
        <v>45913</v>
      </c>
      <c r="C640" t="s">
        <v>391</v>
      </c>
      <c r="D640" t="s">
        <v>80</v>
      </c>
      <c r="E640" t="s">
        <v>51</v>
      </c>
      <c r="F640" t="s">
        <v>21</v>
      </c>
      <c r="G640" t="s">
        <v>35</v>
      </c>
      <c r="H640">
        <v>5</v>
      </c>
      <c r="I640">
        <v>46298</v>
      </c>
      <c r="J640">
        <v>0.05</v>
      </c>
      <c r="K640">
        <v>219915.5</v>
      </c>
      <c r="L640">
        <v>31241.51</v>
      </c>
      <c r="M640" t="str">
        <f t="shared" si="81"/>
        <v>Laptop</v>
      </c>
      <c r="N640" t="str">
        <f t="shared" si="82"/>
        <v>Mumbai</v>
      </c>
      <c r="O640" t="str">
        <f t="shared" si="83"/>
        <v>West</v>
      </c>
      <c r="P640" t="str">
        <f t="shared" si="84"/>
        <v>Electronics</v>
      </c>
      <c r="Q640" t="str">
        <f t="shared" si="85"/>
        <v>Electronics</v>
      </c>
      <c r="R640" t="str">
        <f t="shared" si="86"/>
        <v>West</v>
      </c>
      <c r="S640" t="str">
        <f t="shared" si="87"/>
        <v>Mumbai</v>
      </c>
      <c r="T640">
        <f t="shared" si="88"/>
        <v>219915.5</v>
      </c>
      <c r="U640" t="str">
        <f t="shared" si="89"/>
        <v>OK</v>
      </c>
    </row>
    <row r="641" spans="1:21" x14ac:dyDescent="0.3">
      <c r="A641" t="s">
        <v>873</v>
      </c>
      <c r="B641" s="3">
        <v>45661</v>
      </c>
      <c r="C641" t="s">
        <v>255</v>
      </c>
      <c r="D641" t="s">
        <v>92</v>
      </c>
      <c r="E641" t="s">
        <v>51</v>
      </c>
      <c r="F641" t="s">
        <v>21</v>
      </c>
      <c r="G641" t="s">
        <v>55</v>
      </c>
      <c r="H641">
        <v>4</v>
      </c>
      <c r="I641">
        <v>9752</v>
      </c>
      <c r="J641">
        <v>0.05</v>
      </c>
      <c r="K641">
        <v>37057.599999999999</v>
      </c>
      <c r="L641">
        <v>5967.37</v>
      </c>
      <c r="M641" t="str">
        <f t="shared" si="81"/>
        <v>Monitor</v>
      </c>
      <c r="N641" t="str">
        <f t="shared" si="82"/>
        <v>Pune</v>
      </c>
      <c r="O641" t="str">
        <f t="shared" si="83"/>
        <v>West</v>
      </c>
      <c r="P641" t="str">
        <f t="shared" si="84"/>
        <v>Electronics</v>
      </c>
      <c r="Q641" t="str">
        <f t="shared" si="85"/>
        <v>Electronics</v>
      </c>
      <c r="R641" t="str">
        <f t="shared" si="86"/>
        <v>West</v>
      </c>
      <c r="S641" t="str">
        <f t="shared" si="87"/>
        <v>Pune</v>
      </c>
      <c r="T641">
        <f t="shared" si="88"/>
        <v>37057.599999999999</v>
      </c>
      <c r="U641" t="str">
        <f t="shared" si="89"/>
        <v>OK</v>
      </c>
    </row>
    <row r="642" spans="1:21" x14ac:dyDescent="0.3">
      <c r="A642" t="s">
        <v>874</v>
      </c>
      <c r="B642" s="3">
        <v>45966</v>
      </c>
      <c r="C642" t="s">
        <v>473</v>
      </c>
      <c r="D642" t="s">
        <v>88</v>
      </c>
      <c r="E642" t="s">
        <v>73</v>
      </c>
      <c r="F642" t="s">
        <v>58</v>
      </c>
      <c r="G642" t="s">
        <v>126</v>
      </c>
      <c r="H642">
        <v>1</v>
      </c>
      <c r="I642">
        <v>574</v>
      </c>
      <c r="J642">
        <v>0</v>
      </c>
      <c r="K642">
        <v>574</v>
      </c>
      <c r="L642">
        <v>83.37</v>
      </c>
      <c r="M642" t="str">
        <f t="shared" si="81"/>
        <v>Stapler</v>
      </c>
      <c r="N642" t="str">
        <f t="shared" si="82"/>
        <v>Delhi</v>
      </c>
      <c r="O642" t="str">
        <f t="shared" si="83"/>
        <v>North</v>
      </c>
      <c r="P642" t="str">
        <f t="shared" si="84"/>
        <v>Office Supplies</v>
      </c>
      <c r="Q642" t="str">
        <f t="shared" si="85"/>
        <v>Office Supplies</v>
      </c>
      <c r="R642" t="str">
        <f t="shared" si="86"/>
        <v>North</v>
      </c>
      <c r="S642" t="str">
        <f t="shared" si="87"/>
        <v>Delhi</v>
      </c>
      <c r="T642">
        <f t="shared" si="88"/>
        <v>574</v>
      </c>
      <c r="U642" t="str">
        <f t="shared" si="89"/>
        <v>OK</v>
      </c>
    </row>
    <row r="643" spans="1:21" x14ac:dyDescent="0.3">
      <c r="A643" t="s">
        <v>875</v>
      </c>
      <c r="B643" s="3">
        <v>45864</v>
      </c>
      <c r="C643" t="s">
        <v>240</v>
      </c>
      <c r="D643" t="s">
        <v>47</v>
      </c>
      <c r="E643" t="s">
        <v>26</v>
      </c>
      <c r="F643" t="s">
        <v>58</v>
      </c>
      <c r="G643" t="s">
        <v>59</v>
      </c>
      <c r="H643">
        <v>1</v>
      </c>
      <c r="I643">
        <v>20865</v>
      </c>
      <c r="J643">
        <v>0.05</v>
      </c>
      <c r="K643">
        <v>19821.75</v>
      </c>
      <c r="L643">
        <v>2732.4</v>
      </c>
      <c r="M643" t="str">
        <f t="shared" ref="M643:M706" si="90">TRIM(D643)</f>
        <v>Air Purifier</v>
      </c>
      <c r="N643" t="str">
        <f t="shared" ref="N643:N706" si="91">TRIM(G643)</f>
        <v>Chandigarh</v>
      </c>
      <c r="O643" t="str">
        <f t="shared" ref="O643:O706" si="92">TRIM(F:F)</f>
        <v>North</v>
      </c>
      <c r="P643" t="str">
        <f t="shared" ref="P643:P706" si="93">TRIM(E643)</f>
        <v>Home Appliances</v>
      </c>
      <c r="Q643" t="str">
        <f t="shared" ref="Q643:Q706" si="94">PROPER(E643)</f>
        <v>Home Appliances</v>
      </c>
      <c r="R643" t="str">
        <f t="shared" ref="R643:R706" si="95">PROPER(F643)</f>
        <v>North</v>
      </c>
      <c r="S643" t="str">
        <f t="shared" ref="S643:S706" si="96">PROPER(G643)</f>
        <v>Chandigarh</v>
      </c>
      <c r="T643">
        <f t="shared" ref="T643:T706" si="97">H643*I643*(1-J643)</f>
        <v>19821.75</v>
      </c>
      <c r="U643" t="str">
        <f t="shared" ref="U643:U706" si="98">IF(ROUND(K643,2)=ROUND(T643,2),"OK","CHECK")</f>
        <v>OK</v>
      </c>
    </row>
    <row r="644" spans="1:21" x14ac:dyDescent="0.3">
      <c r="A644" t="s">
        <v>876</v>
      </c>
      <c r="B644" s="3">
        <v>46004</v>
      </c>
      <c r="C644" t="s">
        <v>346</v>
      </c>
      <c r="D644" t="s">
        <v>92</v>
      </c>
      <c r="E644" t="s">
        <v>51</v>
      </c>
      <c r="F644" t="s">
        <v>58</v>
      </c>
      <c r="G644" t="s">
        <v>59</v>
      </c>
      <c r="H644">
        <v>4</v>
      </c>
      <c r="I644">
        <v>18235</v>
      </c>
      <c r="J644">
        <v>0.1</v>
      </c>
      <c r="K644">
        <v>65646</v>
      </c>
      <c r="L644">
        <v>5470.42</v>
      </c>
      <c r="M644" t="str">
        <f t="shared" si="90"/>
        <v>Monitor</v>
      </c>
      <c r="N644" t="str">
        <f t="shared" si="91"/>
        <v>Chandigarh</v>
      </c>
      <c r="O644" t="str">
        <f t="shared" si="92"/>
        <v>North</v>
      </c>
      <c r="P644" t="str">
        <f t="shared" si="93"/>
        <v>Electronics</v>
      </c>
      <c r="Q644" t="str">
        <f t="shared" si="94"/>
        <v>Electronics</v>
      </c>
      <c r="R644" t="str">
        <f t="shared" si="95"/>
        <v>North</v>
      </c>
      <c r="S644" t="str">
        <f t="shared" si="96"/>
        <v>Chandigarh</v>
      </c>
      <c r="T644">
        <f t="shared" si="97"/>
        <v>65646</v>
      </c>
      <c r="U644" t="str">
        <f t="shared" si="98"/>
        <v>OK</v>
      </c>
    </row>
    <row r="645" spans="1:21" x14ac:dyDescent="0.3">
      <c r="A645" t="s">
        <v>877</v>
      </c>
      <c r="B645" s="3">
        <v>45981</v>
      </c>
      <c r="C645" t="s">
        <v>878</v>
      </c>
      <c r="D645" t="s">
        <v>72</v>
      </c>
      <c r="E645" t="s">
        <v>73</v>
      </c>
      <c r="F645" t="s">
        <v>58</v>
      </c>
      <c r="G645" t="s">
        <v>59</v>
      </c>
      <c r="H645">
        <v>2</v>
      </c>
      <c r="I645">
        <v>257</v>
      </c>
      <c r="J645">
        <v>0.1</v>
      </c>
      <c r="K645">
        <v>462.6</v>
      </c>
      <c r="L645">
        <v>98.2</v>
      </c>
      <c r="M645" t="str">
        <f t="shared" si="90"/>
        <v>Desk Organizer</v>
      </c>
      <c r="N645" t="str">
        <f t="shared" si="91"/>
        <v>Chandigarh</v>
      </c>
      <c r="O645" t="str">
        <f t="shared" si="92"/>
        <v>North</v>
      </c>
      <c r="P645" t="str">
        <f t="shared" si="93"/>
        <v>Office Supplies</v>
      </c>
      <c r="Q645" t="str">
        <f t="shared" si="94"/>
        <v>Office Supplies</v>
      </c>
      <c r="R645" t="str">
        <f t="shared" si="95"/>
        <v>North</v>
      </c>
      <c r="S645" t="str">
        <f t="shared" si="96"/>
        <v>Chandigarh</v>
      </c>
      <c r="T645">
        <f t="shared" si="97"/>
        <v>462.6</v>
      </c>
      <c r="U645" t="str">
        <f t="shared" si="98"/>
        <v>OK</v>
      </c>
    </row>
    <row r="646" spans="1:21" x14ac:dyDescent="0.3">
      <c r="A646" t="s">
        <v>879</v>
      </c>
      <c r="B646" s="3">
        <v>45755</v>
      </c>
      <c r="C646" t="s">
        <v>440</v>
      </c>
      <c r="D646" t="s">
        <v>72</v>
      </c>
      <c r="E646" t="s">
        <v>73</v>
      </c>
      <c r="F646" t="s">
        <v>16</v>
      </c>
      <c r="G646" t="s">
        <v>17</v>
      </c>
      <c r="H646">
        <v>3</v>
      </c>
      <c r="I646">
        <v>694</v>
      </c>
      <c r="J646">
        <v>0.05</v>
      </c>
      <c r="K646">
        <v>1977.9</v>
      </c>
      <c r="L646">
        <v>370.32</v>
      </c>
      <c r="M646" t="str">
        <f t="shared" si="90"/>
        <v>Desk Organizer</v>
      </c>
      <c r="N646" t="str">
        <f t="shared" si="91"/>
        <v>Guwahati</v>
      </c>
      <c r="O646" t="str">
        <f t="shared" si="92"/>
        <v>East</v>
      </c>
      <c r="P646" t="str">
        <f t="shared" si="93"/>
        <v>Office Supplies</v>
      </c>
      <c r="Q646" t="str">
        <f t="shared" si="94"/>
        <v>Office Supplies</v>
      </c>
      <c r="R646" t="str">
        <f t="shared" si="95"/>
        <v>East</v>
      </c>
      <c r="S646" t="str">
        <f t="shared" si="96"/>
        <v>Guwahati</v>
      </c>
      <c r="T646">
        <f t="shared" si="97"/>
        <v>1977.8999999999999</v>
      </c>
      <c r="U646" t="str">
        <f t="shared" si="98"/>
        <v>OK</v>
      </c>
    </row>
    <row r="647" spans="1:21" x14ac:dyDescent="0.3">
      <c r="A647" t="s">
        <v>880</v>
      </c>
      <c r="B647" s="3">
        <v>45852</v>
      </c>
      <c r="C647" t="s">
        <v>427</v>
      </c>
      <c r="D647" t="s">
        <v>20</v>
      </c>
      <c r="E647" t="s">
        <v>15</v>
      </c>
      <c r="F647" t="s">
        <v>21</v>
      </c>
      <c r="G647" t="s">
        <v>55</v>
      </c>
      <c r="H647">
        <v>2</v>
      </c>
      <c r="I647">
        <v>5915</v>
      </c>
      <c r="J647">
        <v>0.15</v>
      </c>
      <c r="K647">
        <v>10055.5</v>
      </c>
      <c r="L647">
        <v>1770.89</v>
      </c>
      <c r="M647" t="str">
        <f t="shared" si="90"/>
        <v>Filing Cabinet</v>
      </c>
      <c r="N647" t="str">
        <f t="shared" si="91"/>
        <v>Pune</v>
      </c>
      <c r="O647" t="str">
        <f t="shared" si="92"/>
        <v>West</v>
      </c>
      <c r="P647" t="str">
        <f t="shared" si="93"/>
        <v>Furniture</v>
      </c>
      <c r="Q647" t="str">
        <f t="shared" si="94"/>
        <v>Furniture</v>
      </c>
      <c r="R647" t="str">
        <f t="shared" si="95"/>
        <v>West</v>
      </c>
      <c r="S647" t="str">
        <f t="shared" si="96"/>
        <v>Pune</v>
      </c>
      <c r="T647">
        <f t="shared" si="97"/>
        <v>10055.5</v>
      </c>
      <c r="U647" t="str">
        <f t="shared" si="98"/>
        <v>OK</v>
      </c>
    </row>
    <row r="648" spans="1:21" x14ac:dyDescent="0.3">
      <c r="A648" t="s">
        <v>881</v>
      </c>
      <c r="B648" s="3">
        <v>45701</v>
      </c>
      <c r="C648" t="s">
        <v>456</v>
      </c>
      <c r="D648" t="s">
        <v>103</v>
      </c>
      <c r="E648" t="s">
        <v>51</v>
      </c>
      <c r="F648" t="s">
        <v>21</v>
      </c>
      <c r="G648" t="s">
        <v>22</v>
      </c>
      <c r="H648">
        <v>1</v>
      </c>
      <c r="I648">
        <v>7646</v>
      </c>
      <c r="J648">
        <v>0.1</v>
      </c>
      <c r="K648">
        <v>6881.4</v>
      </c>
      <c r="L648">
        <v>625.66999999999996</v>
      </c>
      <c r="M648" t="str">
        <f t="shared" si="90"/>
        <v>Headphones</v>
      </c>
      <c r="N648" t="str">
        <f t="shared" si="91"/>
        <v>Ahmedabad</v>
      </c>
      <c r="O648" t="str">
        <f t="shared" si="92"/>
        <v>West</v>
      </c>
      <c r="P648" t="str">
        <f t="shared" si="93"/>
        <v>Electronics</v>
      </c>
      <c r="Q648" t="str">
        <f t="shared" si="94"/>
        <v>Electronics</v>
      </c>
      <c r="R648" t="str">
        <f t="shared" si="95"/>
        <v>West</v>
      </c>
      <c r="S648" t="str">
        <f t="shared" si="96"/>
        <v>Ahmedabad</v>
      </c>
      <c r="T648">
        <f t="shared" si="97"/>
        <v>6881.4000000000005</v>
      </c>
      <c r="U648" t="str">
        <f t="shared" si="98"/>
        <v>OK</v>
      </c>
    </row>
    <row r="649" spans="1:21" x14ac:dyDescent="0.3">
      <c r="A649" t="s">
        <v>882</v>
      </c>
      <c r="B649" s="3">
        <v>45694</v>
      </c>
      <c r="C649" t="s">
        <v>798</v>
      </c>
      <c r="D649" t="s">
        <v>14</v>
      </c>
      <c r="E649" t="s">
        <v>15</v>
      </c>
      <c r="F649" t="s">
        <v>16</v>
      </c>
      <c r="G649" t="s">
        <v>52</v>
      </c>
      <c r="H649">
        <v>3</v>
      </c>
      <c r="I649">
        <v>9659</v>
      </c>
      <c r="J649">
        <v>0</v>
      </c>
      <c r="K649">
        <v>28977</v>
      </c>
      <c r="L649">
        <v>3066.18</v>
      </c>
      <c r="M649" t="str">
        <f t="shared" si="90"/>
        <v>Office Chair</v>
      </c>
      <c r="N649" t="str">
        <f t="shared" si="91"/>
        <v>Kolkata</v>
      </c>
      <c r="O649" t="str">
        <f t="shared" si="92"/>
        <v>East</v>
      </c>
      <c r="P649" t="str">
        <f t="shared" si="93"/>
        <v>Furniture</v>
      </c>
      <c r="Q649" t="str">
        <f t="shared" si="94"/>
        <v>Furniture</v>
      </c>
      <c r="R649" t="str">
        <f t="shared" si="95"/>
        <v>East</v>
      </c>
      <c r="S649" t="str">
        <f t="shared" si="96"/>
        <v>Kolkata</v>
      </c>
      <c r="T649">
        <f t="shared" si="97"/>
        <v>28977</v>
      </c>
      <c r="U649" t="str">
        <f t="shared" si="98"/>
        <v>OK</v>
      </c>
    </row>
    <row r="650" spans="1:21" x14ac:dyDescent="0.3">
      <c r="A650" t="s">
        <v>883</v>
      </c>
      <c r="B650" s="3">
        <v>45906</v>
      </c>
      <c r="C650" t="s">
        <v>731</v>
      </c>
      <c r="D650" t="s">
        <v>88</v>
      </c>
      <c r="E650" t="s">
        <v>73</v>
      </c>
      <c r="F650" t="s">
        <v>58</v>
      </c>
      <c r="G650" t="s">
        <v>59</v>
      </c>
      <c r="H650">
        <v>1</v>
      </c>
      <c r="I650">
        <v>266</v>
      </c>
      <c r="J650">
        <v>0.2</v>
      </c>
      <c r="K650">
        <v>212.8</v>
      </c>
      <c r="L650">
        <v>31.62</v>
      </c>
      <c r="M650" t="str">
        <f t="shared" si="90"/>
        <v>Stapler</v>
      </c>
      <c r="N650" t="str">
        <f t="shared" si="91"/>
        <v>Chandigarh</v>
      </c>
      <c r="O650" t="str">
        <f t="shared" si="92"/>
        <v>North</v>
      </c>
      <c r="P650" t="str">
        <f t="shared" si="93"/>
        <v>Office Supplies</v>
      </c>
      <c r="Q650" t="str">
        <f t="shared" si="94"/>
        <v>Office Supplies</v>
      </c>
      <c r="R650" t="str">
        <f t="shared" si="95"/>
        <v>North</v>
      </c>
      <c r="S650" t="str">
        <f t="shared" si="96"/>
        <v>Chandigarh</v>
      </c>
      <c r="T650">
        <f t="shared" si="97"/>
        <v>212.8</v>
      </c>
      <c r="U650" t="str">
        <f t="shared" si="98"/>
        <v>OK</v>
      </c>
    </row>
    <row r="651" spans="1:21" x14ac:dyDescent="0.3">
      <c r="A651" t="s">
        <v>884</v>
      </c>
      <c r="B651" s="3">
        <v>45667</v>
      </c>
      <c r="C651" t="s">
        <v>33</v>
      </c>
      <c r="D651" t="s">
        <v>14</v>
      </c>
      <c r="E651" t="s">
        <v>15</v>
      </c>
      <c r="F651" t="s">
        <v>58</v>
      </c>
      <c r="G651" t="s">
        <v>59</v>
      </c>
      <c r="H651">
        <v>3</v>
      </c>
      <c r="I651">
        <v>17805</v>
      </c>
      <c r="J651">
        <v>0</v>
      </c>
      <c r="K651">
        <v>53415</v>
      </c>
      <c r="L651">
        <v>5306.19</v>
      </c>
      <c r="M651" t="str">
        <f t="shared" si="90"/>
        <v>Office Chair</v>
      </c>
      <c r="N651" t="str">
        <f t="shared" si="91"/>
        <v>Chandigarh</v>
      </c>
      <c r="O651" t="str">
        <f t="shared" si="92"/>
        <v>North</v>
      </c>
      <c r="P651" t="str">
        <f t="shared" si="93"/>
        <v>Furniture</v>
      </c>
      <c r="Q651" t="str">
        <f t="shared" si="94"/>
        <v>Furniture</v>
      </c>
      <c r="R651" t="str">
        <f t="shared" si="95"/>
        <v>North</v>
      </c>
      <c r="S651" t="str">
        <f t="shared" si="96"/>
        <v>Chandigarh</v>
      </c>
      <c r="T651">
        <f t="shared" si="97"/>
        <v>53415</v>
      </c>
      <c r="U651" t="str">
        <f t="shared" si="98"/>
        <v>OK</v>
      </c>
    </row>
    <row r="652" spans="1:21" x14ac:dyDescent="0.3">
      <c r="A652" t="s">
        <v>885</v>
      </c>
      <c r="B652" s="3">
        <v>45870</v>
      </c>
      <c r="C652" t="s">
        <v>61</v>
      </c>
      <c r="D652" t="s">
        <v>68</v>
      </c>
      <c r="E652" t="s">
        <v>44</v>
      </c>
      <c r="F652" t="s">
        <v>58</v>
      </c>
      <c r="G652" t="s">
        <v>69</v>
      </c>
      <c r="H652">
        <v>1</v>
      </c>
      <c r="I652">
        <v>2092</v>
      </c>
      <c r="J652">
        <v>0</v>
      </c>
      <c r="K652">
        <v>2092</v>
      </c>
      <c r="L652">
        <v>246.35</v>
      </c>
      <c r="M652" t="str">
        <f t="shared" si="90"/>
        <v>Webcam</v>
      </c>
      <c r="N652" t="str">
        <f t="shared" si="91"/>
        <v>Jaipur</v>
      </c>
      <c r="O652" t="str">
        <f t="shared" si="92"/>
        <v>North</v>
      </c>
      <c r="P652" t="str">
        <f t="shared" si="93"/>
        <v>Accessories</v>
      </c>
      <c r="Q652" t="str">
        <f t="shared" si="94"/>
        <v>Accessories</v>
      </c>
      <c r="R652" t="str">
        <f t="shared" si="95"/>
        <v>North</v>
      </c>
      <c r="S652" t="str">
        <f t="shared" si="96"/>
        <v>Jaipur</v>
      </c>
      <c r="T652">
        <f t="shared" si="97"/>
        <v>2092</v>
      </c>
      <c r="U652" t="str">
        <f t="shared" si="98"/>
        <v>OK</v>
      </c>
    </row>
    <row r="653" spans="1:21" x14ac:dyDescent="0.3">
      <c r="A653" t="s">
        <v>886</v>
      </c>
      <c r="B653" s="3">
        <v>45804</v>
      </c>
      <c r="C653" t="s">
        <v>111</v>
      </c>
      <c r="D653" t="s">
        <v>25</v>
      </c>
      <c r="E653" t="s">
        <v>26</v>
      </c>
      <c r="F653" t="s">
        <v>16</v>
      </c>
      <c r="G653" t="s">
        <v>17</v>
      </c>
      <c r="H653">
        <v>3</v>
      </c>
      <c r="I653">
        <v>6126</v>
      </c>
      <c r="J653">
        <v>0.15</v>
      </c>
      <c r="K653">
        <v>15621.3</v>
      </c>
      <c r="L653">
        <v>4040.62</v>
      </c>
      <c r="M653" t="str">
        <f t="shared" si="90"/>
        <v>Microwave</v>
      </c>
      <c r="N653" t="str">
        <f t="shared" si="91"/>
        <v>Guwahati</v>
      </c>
      <c r="O653" t="str">
        <f t="shared" si="92"/>
        <v>East</v>
      </c>
      <c r="P653" t="str">
        <f t="shared" si="93"/>
        <v>Home Appliances</v>
      </c>
      <c r="Q653" t="str">
        <f t="shared" si="94"/>
        <v>Home Appliances</v>
      </c>
      <c r="R653" t="str">
        <f t="shared" si="95"/>
        <v>East</v>
      </c>
      <c r="S653" t="str">
        <f t="shared" si="96"/>
        <v>Guwahati</v>
      </c>
      <c r="T653">
        <f t="shared" si="97"/>
        <v>15621.3</v>
      </c>
      <c r="U653" t="str">
        <f t="shared" si="98"/>
        <v>OK</v>
      </c>
    </row>
    <row r="654" spans="1:21" x14ac:dyDescent="0.3">
      <c r="A654" t="s">
        <v>887</v>
      </c>
      <c r="B654" s="3">
        <v>45752</v>
      </c>
      <c r="C654" t="s">
        <v>189</v>
      </c>
      <c r="D654" t="s">
        <v>25</v>
      </c>
      <c r="E654" t="s">
        <v>26</v>
      </c>
      <c r="F654" t="s">
        <v>21</v>
      </c>
      <c r="G654" t="s">
        <v>55</v>
      </c>
      <c r="H654">
        <v>4</v>
      </c>
      <c r="I654">
        <v>16727</v>
      </c>
      <c r="J654">
        <v>0.05</v>
      </c>
      <c r="K654">
        <v>63562.6</v>
      </c>
      <c r="L654">
        <v>12904.09</v>
      </c>
      <c r="M654" t="str">
        <f t="shared" si="90"/>
        <v>Microwave</v>
      </c>
      <c r="N654" t="str">
        <f t="shared" si="91"/>
        <v>Pune</v>
      </c>
      <c r="O654" t="str">
        <f t="shared" si="92"/>
        <v>West</v>
      </c>
      <c r="P654" t="str">
        <f t="shared" si="93"/>
        <v>Home Appliances</v>
      </c>
      <c r="Q654" t="str">
        <f t="shared" si="94"/>
        <v>Home Appliances</v>
      </c>
      <c r="R654" t="str">
        <f t="shared" si="95"/>
        <v>West</v>
      </c>
      <c r="S654" t="str">
        <f t="shared" si="96"/>
        <v>Pune</v>
      </c>
      <c r="T654">
        <f t="shared" si="97"/>
        <v>63562.6</v>
      </c>
      <c r="U654" t="str">
        <f t="shared" si="98"/>
        <v>OK</v>
      </c>
    </row>
    <row r="655" spans="1:21" x14ac:dyDescent="0.3">
      <c r="A655" t="s">
        <v>888</v>
      </c>
      <c r="B655" s="3">
        <v>45839</v>
      </c>
      <c r="C655" t="s">
        <v>231</v>
      </c>
      <c r="D655" t="s">
        <v>120</v>
      </c>
      <c r="E655" t="s">
        <v>51</v>
      </c>
      <c r="F655" t="s">
        <v>21</v>
      </c>
      <c r="G655" t="s">
        <v>55</v>
      </c>
      <c r="H655">
        <v>4</v>
      </c>
      <c r="I655">
        <v>873</v>
      </c>
      <c r="J655">
        <v>0.1</v>
      </c>
      <c r="K655">
        <v>3142.8</v>
      </c>
      <c r="L655">
        <v>455.28</v>
      </c>
      <c r="M655" t="str">
        <f t="shared" si="90"/>
        <v>Mouse</v>
      </c>
      <c r="N655" t="str">
        <f t="shared" si="91"/>
        <v>Pune</v>
      </c>
      <c r="O655" t="str">
        <f t="shared" si="92"/>
        <v>West</v>
      </c>
      <c r="P655" t="str">
        <f t="shared" si="93"/>
        <v>Electronics</v>
      </c>
      <c r="Q655" t="str">
        <f t="shared" si="94"/>
        <v>Electronics</v>
      </c>
      <c r="R655" t="str">
        <f t="shared" si="95"/>
        <v>West</v>
      </c>
      <c r="S655" t="str">
        <f t="shared" si="96"/>
        <v>Pune</v>
      </c>
      <c r="T655">
        <f t="shared" si="97"/>
        <v>3142.8</v>
      </c>
      <c r="U655" t="str">
        <f t="shared" si="98"/>
        <v>OK</v>
      </c>
    </row>
    <row r="656" spans="1:21" x14ac:dyDescent="0.3">
      <c r="A656" t="s">
        <v>889</v>
      </c>
      <c r="B656" s="3">
        <v>45934</v>
      </c>
      <c r="C656" t="s">
        <v>199</v>
      </c>
      <c r="D656" t="s">
        <v>80</v>
      </c>
      <c r="E656" t="s">
        <v>51</v>
      </c>
      <c r="F656" t="s">
        <v>58</v>
      </c>
      <c r="G656" t="s">
        <v>126</v>
      </c>
      <c r="H656">
        <v>1</v>
      </c>
      <c r="I656">
        <v>62902</v>
      </c>
      <c r="J656">
        <v>0.15</v>
      </c>
      <c r="K656">
        <v>53466.7</v>
      </c>
      <c r="L656">
        <v>8102.93</v>
      </c>
      <c r="M656" t="str">
        <f t="shared" si="90"/>
        <v>Laptop</v>
      </c>
      <c r="N656" t="str">
        <f t="shared" si="91"/>
        <v>Delhi</v>
      </c>
      <c r="O656" t="str">
        <f t="shared" si="92"/>
        <v>North</v>
      </c>
      <c r="P656" t="str">
        <f t="shared" si="93"/>
        <v>Electronics</v>
      </c>
      <c r="Q656" t="str">
        <f t="shared" si="94"/>
        <v>Electronics</v>
      </c>
      <c r="R656" t="str">
        <f t="shared" si="95"/>
        <v>North</v>
      </c>
      <c r="S656" t="str">
        <f t="shared" si="96"/>
        <v>Delhi</v>
      </c>
      <c r="T656">
        <f t="shared" si="97"/>
        <v>53466.7</v>
      </c>
      <c r="U656" t="str">
        <f t="shared" si="98"/>
        <v>OK</v>
      </c>
    </row>
    <row r="657" spans="1:21" x14ac:dyDescent="0.3">
      <c r="A657" t="s">
        <v>890</v>
      </c>
      <c r="B657" s="3">
        <v>45841</v>
      </c>
      <c r="C657" t="s">
        <v>535</v>
      </c>
      <c r="D657" t="s">
        <v>120</v>
      </c>
      <c r="E657" t="s">
        <v>51</v>
      </c>
      <c r="F657" t="s">
        <v>58</v>
      </c>
      <c r="G657" t="s">
        <v>69</v>
      </c>
      <c r="H657">
        <v>5</v>
      </c>
      <c r="I657">
        <v>2100</v>
      </c>
      <c r="J657">
        <v>0.05</v>
      </c>
      <c r="K657">
        <v>9975</v>
      </c>
      <c r="L657">
        <v>1936.85</v>
      </c>
      <c r="M657" t="str">
        <f t="shared" si="90"/>
        <v>Mouse</v>
      </c>
      <c r="N657" t="str">
        <f t="shared" si="91"/>
        <v>Jaipur</v>
      </c>
      <c r="O657" t="str">
        <f t="shared" si="92"/>
        <v>North</v>
      </c>
      <c r="P657" t="str">
        <f t="shared" si="93"/>
        <v>Electronics</v>
      </c>
      <c r="Q657" t="str">
        <f t="shared" si="94"/>
        <v>Electronics</v>
      </c>
      <c r="R657" t="str">
        <f t="shared" si="95"/>
        <v>North</v>
      </c>
      <c r="S657" t="str">
        <f t="shared" si="96"/>
        <v>Jaipur</v>
      </c>
      <c r="T657">
        <f t="shared" si="97"/>
        <v>9975</v>
      </c>
      <c r="U657" t="str">
        <f t="shared" si="98"/>
        <v>OK</v>
      </c>
    </row>
    <row r="658" spans="1:21" x14ac:dyDescent="0.3">
      <c r="A658" t="s">
        <v>891</v>
      </c>
      <c r="B658" s="3">
        <v>45868</v>
      </c>
      <c r="C658" t="s">
        <v>351</v>
      </c>
      <c r="D658" t="s">
        <v>83</v>
      </c>
      <c r="E658" t="s">
        <v>73</v>
      </c>
      <c r="F658" t="s">
        <v>27</v>
      </c>
      <c r="G658" t="s">
        <v>31</v>
      </c>
      <c r="H658">
        <v>2</v>
      </c>
      <c r="I658">
        <v>621</v>
      </c>
      <c r="J658">
        <v>0.1</v>
      </c>
      <c r="K658">
        <v>1117.8</v>
      </c>
      <c r="L658">
        <v>300.10000000000002</v>
      </c>
      <c r="M658" t="str">
        <f t="shared" si="90"/>
        <v>Printer Paper</v>
      </c>
      <c r="N658" t="str">
        <f t="shared" si="91"/>
        <v>Hyderabad</v>
      </c>
      <c r="O658" t="str">
        <f t="shared" si="92"/>
        <v>South</v>
      </c>
      <c r="P658" t="str">
        <f t="shared" si="93"/>
        <v>Office Supplies</v>
      </c>
      <c r="Q658" t="str">
        <f t="shared" si="94"/>
        <v>Office Supplies</v>
      </c>
      <c r="R658" t="str">
        <f t="shared" si="95"/>
        <v>South</v>
      </c>
      <c r="S658" t="str">
        <f t="shared" si="96"/>
        <v>Hyderabad</v>
      </c>
      <c r="T658">
        <f t="shared" si="97"/>
        <v>1117.8</v>
      </c>
      <c r="U658" t="str">
        <f t="shared" si="98"/>
        <v>OK</v>
      </c>
    </row>
    <row r="659" spans="1:21" x14ac:dyDescent="0.3">
      <c r="A659" t="s">
        <v>892</v>
      </c>
      <c r="B659" s="3">
        <v>45757</v>
      </c>
      <c r="C659" t="s">
        <v>251</v>
      </c>
      <c r="D659" t="s">
        <v>92</v>
      </c>
      <c r="E659" t="s">
        <v>51</v>
      </c>
      <c r="F659" t="s">
        <v>16</v>
      </c>
      <c r="G659" t="s">
        <v>104</v>
      </c>
      <c r="H659">
        <v>3</v>
      </c>
      <c r="I659">
        <v>12410</v>
      </c>
      <c r="J659">
        <v>0.15</v>
      </c>
      <c r="K659">
        <v>31645.5</v>
      </c>
      <c r="L659">
        <v>8581.27</v>
      </c>
      <c r="M659" t="str">
        <f t="shared" si="90"/>
        <v>Monitor</v>
      </c>
      <c r="N659" t="str">
        <f t="shared" si="91"/>
        <v>Bhubaneswar</v>
      </c>
      <c r="O659" t="str">
        <f t="shared" si="92"/>
        <v>East</v>
      </c>
      <c r="P659" t="str">
        <f t="shared" si="93"/>
        <v>Electronics</v>
      </c>
      <c r="Q659" t="str">
        <f t="shared" si="94"/>
        <v>Electronics</v>
      </c>
      <c r="R659" t="str">
        <f t="shared" si="95"/>
        <v>East</v>
      </c>
      <c r="S659" t="str">
        <f t="shared" si="96"/>
        <v>Bhubaneswar</v>
      </c>
      <c r="T659">
        <f t="shared" si="97"/>
        <v>31645.5</v>
      </c>
      <c r="U659" t="str">
        <f t="shared" si="98"/>
        <v>OK</v>
      </c>
    </row>
    <row r="660" spans="1:21" x14ac:dyDescent="0.3">
      <c r="A660" t="s">
        <v>893</v>
      </c>
      <c r="B660" s="3">
        <v>45854</v>
      </c>
      <c r="C660" t="s">
        <v>94</v>
      </c>
      <c r="D660" t="s">
        <v>43</v>
      </c>
      <c r="E660" t="s">
        <v>44</v>
      </c>
      <c r="F660" t="s">
        <v>58</v>
      </c>
      <c r="G660" t="s">
        <v>69</v>
      </c>
      <c r="H660">
        <v>1</v>
      </c>
      <c r="I660">
        <v>1314</v>
      </c>
      <c r="J660">
        <v>0</v>
      </c>
      <c r="K660">
        <v>1314</v>
      </c>
      <c r="L660">
        <v>176.51</v>
      </c>
      <c r="M660" t="str">
        <f t="shared" si="90"/>
        <v>Phone Holder</v>
      </c>
      <c r="N660" t="str">
        <f t="shared" si="91"/>
        <v>Jaipur</v>
      </c>
      <c r="O660" t="str">
        <f t="shared" si="92"/>
        <v>North</v>
      </c>
      <c r="P660" t="str">
        <f t="shared" si="93"/>
        <v>Accessories</v>
      </c>
      <c r="Q660" t="str">
        <f t="shared" si="94"/>
        <v>Accessories</v>
      </c>
      <c r="R660" t="str">
        <f t="shared" si="95"/>
        <v>North</v>
      </c>
      <c r="S660" t="str">
        <f t="shared" si="96"/>
        <v>Jaipur</v>
      </c>
      <c r="T660">
        <f t="shared" si="97"/>
        <v>1314</v>
      </c>
      <c r="U660" t="str">
        <f t="shared" si="98"/>
        <v>OK</v>
      </c>
    </row>
    <row r="661" spans="1:21" x14ac:dyDescent="0.3">
      <c r="A661" t="s">
        <v>894</v>
      </c>
      <c r="B661" s="3">
        <v>45868</v>
      </c>
      <c r="C661" t="s">
        <v>46</v>
      </c>
      <c r="D661" t="s">
        <v>307</v>
      </c>
      <c r="E661" t="s">
        <v>73</v>
      </c>
      <c r="F661" t="s">
        <v>27</v>
      </c>
      <c r="G661" t="s">
        <v>28</v>
      </c>
      <c r="H661">
        <v>2</v>
      </c>
      <c r="I661">
        <v>217</v>
      </c>
      <c r="J661">
        <v>0.15</v>
      </c>
      <c r="K661">
        <v>368.9</v>
      </c>
      <c r="L661">
        <v>42.09</v>
      </c>
      <c r="M661" t="str">
        <f t="shared" si="90"/>
        <v>Notebook</v>
      </c>
      <c r="N661" t="str">
        <f t="shared" si="91"/>
        <v>Bengaluru</v>
      </c>
      <c r="O661" t="str">
        <f t="shared" si="92"/>
        <v>South</v>
      </c>
      <c r="P661" t="str">
        <f t="shared" si="93"/>
        <v>Office Supplies</v>
      </c>
      <c r="Q661" t="str">
        <f t="shared" si="94"/>
        <v>Office Supplies</v>
      </c>
      <c r="R661" t="str">
        <f t="shared" si="95"/>
        <v>South</v>
      </c>
      <c r="S661" t="str">
        <f t="shared" si="96"/>
        <v>Bengaluru</v>
      </c>
      <c r="T661">
        <f t="shared" si="97"/>
        <v>368.9</v>
      </c>
      <c r="U661" t="str">
        <f t="shared" si="98"/>
        <v>OK</v>
      </c>
    </row>
    <row r="662" spans="1:21" x14ac:dyDescent="0.3">
      <c r="A662" t="s">
        <v>895</v>
      </c>
      <c r="B662" s="3">
        <v>45845</v>
      </c>
      <c r="C662" t="s">
        <v>492</v>
      </c>
      <c r="D662" t="s">
        <v>20</v>
      </c>
      <c r="E662" t="s">
        <v>15</v>
      </c>
      <c r="F662" t="s">
        <v>58</v>
      </c>
      <c r="G662" t="s">
        <v>59</v>
      </c>
      <c r="H662">
        <v>3</v>
      </c>
      <c r="I662">
        <v>11341</v>
      </c>
      <c r="J662">
        <v>0.05</v>
      </c>
      <c r="K662">
        <v>32321.85</v>
      </c>
      <c r="L662">
        <v>7821.75</v>
      </c>
      <c r="M662" t="str">
        <f t="shared" si="90"/>
        <v>Filing Cabinet</v>
      </c>
      <c r="N662" t="str">
        <f t="shared" si="91"/>
        <v>Chandigarh</v>
      </c>
      <c r="O662" t="str">
        <f t="shared" si="92"/>
        <v>North</v>
      </c>
      <c r="P662" t="str">
        <f t="shared" si="93"/>
        <v>Furniture</v>
      </c>
      <c r="Q662" t="str">
        <f t="shared" si="94"/>
        <v>Furniture</v>
      </c>
      <c r="R662" t="str">
        <f t="shared" si="95"/>
        <v>North</v>
      </c>
      <c r="S662" t="str">
        <f t="shared" si="96"/>
        <v>Chandigarh</v>
      </c>
      <c r="T662">
        <f t="shared" si="97"/>
        <v>32321.85</v>
      </c>
      <c r="U662" t="str">
        <f t="shared" si="98"/>
        <v>OK</v>
      </c>
    </row>
    <row r="663" spans="1:21" x14ac:dyDescent="0.3">
      <c r="A663" t="s">
        <v>896</v>
      </c>
      <c r="B663" s="3">
        <v>45704</v>
      </c>
      <c r="C663" t="s">
        <v>897</v>
      </c>
      <c r="D663" t="s">
        <v>103</v>
      </c>
      <c r="E663" t="s">
        <v>51</v>
      </c>
      <c r="F663" t="s">
        <v>58</v>
      </c>
      <c r="G663" t="s">
        <v>69</v>
      </c>
      <c r="H663">
        <v>1</v>
      </c>
      <c r="I663">
        <v>2646</v>
      </c>
      <c r="J663">
        <v>0</v>
      </c>
      <c r="K663">
        <v>2646</v>
      </c>
      <c r="L663">
        <v>483.09</v>
      </c>
      <c r="M663" t="str">
        <f t="shared" si="90"/>
        <v>Headphones</v>
      </c>
      <c r="N663" t="str">
        <f t="shared" si="91"/>
        <v>Jaipur</v>
      </c>
      <c r="O663" t="str">
        <f t="shared" si="92"/>
        <v>North</v>
      </c>
      <c r="P663" t="str">
        <f t="shared" si="93"/>
        <v>Electronics</v>
      </c>
      <c r="Q663" t="str">
        <f t="shared" si="94"/>
        <v>Electronics</v>
      </c>
      <c r="R663" t="str">
        <f t="shared" si="95"/>
        <v>North</v>
      </c>
      <c r="S663" t="str">
        <f t="shared" si="96"/>
        <v>Jaipur</v>
      </c>
      <c r="T663">
        <f t="shared" si="97"/>
        <v>2646</v>
      </c>
      <c r="U663" t="str">
        <f t="shared" si="98"/>
        <v>OK</v>
      </c>
    </row>
    <row r="664" spans="1:21" x14ac:dyDescent="0.3">
      <c r="A664" t="s">
        <v>898</v>
      </c>
      <c r="B664" s="3">
        <v>45824</v>
      </c>
      <c r="C664" t="s">
        <v>458</v>
      </c>
      <c r="D664" t="s">
        <v>202</v>
      </c>
      <c r="E664" t="s">
        <v>44</v>
      </c>
      <c r="F664" t="s">
        <v>21</v>
      </c>
      <c r="G664" t="s">
        <v>55</v>
      </c>
      <c r="H664">
        <v>4</v>
      </c>
      <c r="I664">
        <v>1535</v>
      </c>
      <c r="J664">
        <v>0.05</v>
      </c>
      <c r="K664">
        <v>5833</v>
      </c>
      <c r="L664">
        <v>1546.71</v>
      </c>
      <c r="M664" t="str">
        <f t="shared" si="90"/>
        <v>Laptop Stand</v>
      </c>
      <c r="N664" t="str">
        <f t="shared" si="91"/>
        <v>Pune</v>
      </c>
      <c r="O664" t="str">
        <f t="shared" si="92"/>
        <v>West</v>
      </c>
      <c r="P664" t="str">
        <f t="shared" si="93"/>
        <v>Accessories</v>
      </c>
      <c r="Q664" t="str">
        <f t="shared" si="94"/>
        <v>Accessories</v>
      </c>
      <c r="R664" t="str">
        <f t="shared" si="95"/>
        <v>West</v>
      </c>
      <c r="S664" t="str">
        <f t="shared" si="96"/>
        <v>Pune</v>
      </c>
      <c r="T664">
        <f t="shared" si="97"/>
        <v>5833</v>
      </c>
      <c r="U664" t="str">
        <f t="shared" si="98"/>
        <v>OK</v>
      </c>
    </row>
    <row r="665" spans="1:21" x14ac:dyDescent="0.3">
      <c r="A665" t="s">
        <v>899</v>
      </c>
      <c r="B665" s="3">
        <v>45858</v>
      </c>
      <c r="C665" t="s">
        <v>900</v>
      </c>
      <c r="D665" t="s">
        <v>34</v>
      </c>
      <c r="E665" t="s">
        <v>15</v>
      </c>
      <c r="F665" t="s">
        <v>21</v>
      </c>
      <c r="G665" t="s">
        <v>55</v>
      </c>
      <c r="H665">
        <v>1</v>
      </c>
      <c r="I665">
        <v>24401</v>
      </c>
      <c r="J665">
        <v>0.2</v>
      </c>
      <c r="K665">
        <v>19520.8</v>
      </c>
      <c r="L665">
        <v>2528.46</v>
      </c>
      <c r="M665" t="str">
        <f t="shared" si="90"/>
        <v>Desk</v>
      </c>
      <c r="N665" t="str">
        <f t="shared" si="91"/>
        <v>Pune</v>
      </c>
      <c r="O665" t="str">
        <f t="shared" si="92"/>
        <v>West</v>
      </c>
      <c r="P665" t="str">
        <f t="shared" si="93"/>
        <v>Furniture</v>
      </c>
      <c r="Q665" t="str">
        <f t="shared" si="94"/>
        <v>Furniture</v>
      </c>
      <c r="R665" t="str">
        <f t="shared" si="95"/>
        <v>West</v>
      </c>
      <c r="S665" t="str">
        <f t="shared" si="96"/>
        <v>Pune</v>
      </c>
      <c r="T665">
        <f t="shared" si="97"/>
        <v>19520.8</v>
      </c>
      <c r="U665" t="str">
        <f t="shared" si="98"/>
        <v>OK</v>
      </c>
    </row>
    <row r="666" spans="1:21" x14ac:dyDescent="0.3">
      <c r="A666" t="s">
        <v>901</v>
      </c>
      <c r="B666" s="3">
        <v>45861</v>
      </c>
      <c r="C666" t="s">
        <v>217</v>
      </c>
      <c r="D666" t="s">
        <v>43</v>
      </c>
      <c r="E666" t="s">
        <v>44</v>
      </c>
      <c r="F666" t="s">
        <v>21</v>
      </c>
      <c r="G666" t="s">
        <v>35</v>
      </c>
      <c r="H666">
        <v>1</v>
      </c>
      <c r="I666">
        <v>508</v>
      </c>
      <c r="J666">
        <v>0.05</v>
      </c>
      <c r="K666">
        <v>482.6</v>
      </c>
      <c r="L666">
        <v>50.15</v>
      </c>
      <c r="M666" t="str">
        <f t="shared" si="90"/>
        <v>Phone Holder</v>
      </c>
      <c r="N666" t="str">
        <f t="shared" si="91"/>
        <v>Mumbai</v>
      </c>
      <c r="O666" t="str">
        <f t="shared" si="92"/>
        <v>West</v>
      </c>
      <c r="P666" t="str">
        <f t="shared" si="93"/>
        <v>Accessories</v>
      </c>
      <c r="Q666" t="str">
        <f t="shared" si="94"/>
        <v>Accessories</v>
      </c>
      <c r="R666" t="str">
        <f t="shared" si="95"/>
        <v>West</v>
      </c>
      <c r="S666" t="str">
        <f t="shared" si="96"/>
        <v>Mumbai</v>
      </c>
      <c r="T666">
        <f t="shared" si="97"/>
        <v>482.59999999999997</v>
      </c>
      <c r="U666" t="str">
        <f t="shared" si="98"/>
        <v>OK</v>
      </c>
    </row>
    <row r="667" spans="1:21" x14ac:dyDescent="0.3">
      <c r="A667" t="s">
        <v>902</v>
      </c>
      <c r="B667" s="3">
        <v>45658</v>
      </c>
      <c r="C667" t="s">
        <v>371</v>
      </c>
      <c r="D667" t="s">
        <v>120</v>
      </c>
      <c r="E667" t="s">
        <v>51</v>
      </c>
      <c r="F667" t="s">
        <v>16</v>
      </c>
      <c r="G667" t="s">
        <v>52</v>
      </c>
      <c r="H667">
        <v>3</v>
      </c>
      <c r="I667">
        <v>486</v>
      </c>
      <c r="J667">
        <v>0.2</v>
      </c>
      <c r="K667">
        <v>1166.4000000000001</v>
      </c>
      <c r="L667">
        <v>259.20999999999998</v>
      </c>
      <c r="M667" t="str">
        <f t="shared" si="90"/>
        <v>Mouse</v>
      </c>
      <c r="N667" t="str">
        <f t="shared" si="91"/>
        <v>Kolkata</v>
      </c>
      <c r="O667" t="str">
        <f t="shared" si="92"/>
        <v>East</v>
      </c>
      <c r="P667" t="str">
        <f t="shared" si="93"/>
        <v>Electronics</v>
      </c>
      <c r="Q667" t="str">
        <f t="shared" si="94"/>
        <v>Electronics</v>
      </c>
      <c r="R667" t="str">
        <f t="shared" si="95"/>
        <v>East</v>
      </c>
      <c r="S667" t="str">
        <f t="shared" si="96"/>
        <v>Kolkata</v>
      </c>
      <c r="T667">
        <f t="shared" si="97"/>
        <v>1166.4000000000001</v>
      </c>
      <c r="U667" t="str">
        <f t="shared" si="98"/>
        <v>OK</v>
      </c>
    </row>
    <row r="668" spans="1:21" x14ac:dyDescent="0.3">
      <c r="A668" t="s">
        <v>903</v>
      </c>
      <c r="B668" s="3">
        <v>45731</v>
      </c>
      <c r="C668" t="s">
        <v>451</v>
      </c>
      <c r="D668" t="s">
        <v>20</v>
      </c>
      <c r="E668" t="s">
        <v>15</v>
      </c>
      <c r="F668" t="s">
        <v>16</v>
      </c>
      <c r="G668" t="s">
        <v>104</v>
      </c>
      <c r="H668">
        <v>2</v>
      </c>
      <c r="I668">
        <v>12051</v>
      </c>
      <c r="J668">
        <v>0.15</v>
      </c>
      <c r="K668">
        <v>20486.7</v>
      </c>
      <c r="L668">
        <v>3298.8</v>
      </c>
      <c r="M668" t="str">
        <f t="shared" si="90"/>
        <v>Filing Cabinet</v>
      </c>
      <c r="N668" t="str">
        <f t="shared" si="91"/>
        <v>Bhubaneswar</v>
      </c>
      <c r="O668" t="str">
        <f t="shared" si="92"/>
        <v>East</v>
      </c>
      <c r="P668" t="str">
        <f t="shared" si="93"/>
        <v>Furniture</v>
      </c>
      <c r="Q668" t="str">
        <f t="shared" si="94"/>
        <v>Furniture</v>
      </c>
      <c r="R668" t="str">
        <f t="shared" si="95"/>
        <v>East</v>
      </c>
      <c r="S668" t="str">
        <f t="shared" si="96"/>
        <v>Bhubaneswar</v>
      </c>
      <c r="T668">
        <f t="shared" si="97"/>
        <v>20486.7</v>
      </c>
      <c r="U668" t="str">
        <f t="shared" si="98"/>
        <v>OK</v>
      </c>
    </row>
    <row r="669" spans="1:21" x14ac:dyDescent="0.3">
      <c r="A669" t="s">
        <v>904</v>
      </c>
      <c r="B669" s="3">
        <v>45776</v>
      </c>
      <c r="C669" t="s">
        <v>458</v>
      </c>
      <c r="D669" t="s">
        <v>72</v>
      </c>
      <c r="E669" t="s">
        <v>73</v>
      </c>
      <c r="F669" t="s">
        <v>16</v>
      </c>
      <c r="G669" t="s">
        <v>17</v>
      </c>
      <c r="H669">
        <v>1</v>
      </c>
      <c r="I669">
        <v>717</v>
      </c>
      <c r="J669">
        <v>0.25</v>
      </c>
      <c r="K669">
        <v>537.75</v>
      </c>
      <c r="L669">
        <v>72.95</v>
      </c>
      <c r="M669" t="str">
        <f t="shared" si="90"/>
        <v>Desk Organizer</v>
      </c>
      <c r="N669" t="str">
        <f t="shared" si="91"/>
        <v>Guwahati</v>
      </c>
      <c r="O669" t="str">
        <f t="shared" si="92"/>
        <v>East</v>
      </c>
      <c r="P669" t="str">
        <f t="shared" si="93"/>
        <v>Office Supplies</v>
      </c>
      <c r="Q669" t="str">
        <f t="shared" si="94"/>
        <v>Office Supplies</v>
      </c>
      <c r="R669" t="str">
        <f t="shared" si="95"/>
        <v>East</v>
      </c>
      <c r="S669" t="str">
        <f t="shared" si="96"/>
        <v>Guwahati</v>
      </c>
      <c r="T669">
        <f t="shared" si="97"/>
        <v>537.75</v>
      </c>
      <c r="U669" t="str">
        <f t="shared" si="98"/>
        <v>OK</v>
      </c>
    </row>
    <row r="670" spans="1:21" x14ac:dyDescent="0.3">
      <c r="A670" t="s">
        <v>905</v>
      </c>
      <c r="B670" s="3">
        <v>46014</v>
      </c>
      <c r="C670" t="s">
        <v>134</v>
      </c>
      <c r="D670" t="s">
        <v>68</v>
      </c>
      <c r="E670" t="s">
        <v>44</v>
      </c>
      <c r="F670" t="s">
        <v>27</v>
      </c>
      <c r="G670" t="s">
        <v>40</v>
      </c>
      <c r="H670">
        <v>2</v>
      </c>
      <c r="I670">
        <v>3149</v>
      </c>
      <c r="J670">
        <v>0</v>
      </c>
      <c r="K670">
        <v>6298</v>
      </c>
      <c r="L670">
        <v>1704.63</v>
      </c>
      <c r="M670" t="str">
        <f t="shared" si="90"/>
        <v>Webcam</v>
      </c>
      <c r="N670" t="str">
        <f t="shared" si="91"/>
        <v>Chennai</v>
      </c>
      <c r="O670" t="str">
        <f t="shared" si="92"/>
        <v>South</v>
      </c>
      <c r="P670" t="str">
        <f t="shared" si="93"/>
        <v>Accessories</v>
      </c>
      <c r="Q670" t="str">
        <f t="shared" si="94"/>
        <v>Accessories</v>
      </c>
      <c r="R670" t="str">
        <f t="shared" si="95"/>
        <v>South</v>
      </c>
      <c r="S670" t="str">
        <f t="shared" si="96"/>
        <v>Chennai</v>
      </c>
      <c r="T670">
        <f t="shared" si="97"/>
        <v>6298</v>
      </c>
      <c r="U670" t="str">
        <f t="shared" si="98"/>
        <v>OK</v>
      </c>
    </row>
    <row r="671" spans="1:21" x14ac:dyDescent="0.3">
      <c r="A671" t="s">
        <v>906</v>
      </c>
      <c r="B671" s="3">
        <v>45664</v>
      </c>
      <c r="C671" t="s">
        <v>61</v>
      </c>
      <c r="D671" t="s">
        <v>103</v>
      </c>
      <c r="E671" t="s">
        <v>51</v>
      </c>
      <c r="F671" t="s">
        <v>21</v>
      </c>
      <c r="G671" t="s">
        <v>35</v>
      </c>
      <c r="H671">
        <v>1</v>
      </c>
      <c r="I671">
        <v>8046</v>
      </c>
      <c r="J671">
        <v>0</v>
      </c>
      <c r="K671">
        <v>8046</v>
      </c>
      <c r="L671">
        <v>1794.84</v>
      </c>
      <c r="M671" t="str">
        <f t="shared" si="90"/>
        <v>Headphones</v>
      </c>
      <c r="N671" t="str">
        <f t="shared" si="91"/>
        <v>Mumbai</v>
      </c>
      <c r="O671" t="str">
        <f t="shared" si="92"/>
        <v>West</v>
      </c>
      <c r="P671" t="str">
        <f t="shared" si="93"/>
        <v>Electronics</v>
      </c>
      <c r="Q671" t="str">
        <f t="shared" si="94"/>
        <v>Electronics</v>
      </c>
      <c r="R671" t="str">
        <f t="shared" si="95"/>
        <v>West</v>
      </c>
      <c r="S671" t="str">
        <f t="shared" si="96"/>
        <v>Mumbai</v>
      </c>
      <c r="T671">
        <f t="shared" si="97"/>
        <v>8046</v>
      </c>
      <c r="U671" t="str">
        <f t="shared" si="98"/>
        <v>OK</v>
      </c>
    </row>
    <row r="672" spans="1:21" x14ac:dyDescent="0.3">
      <c r="A672" t="s">
        <v>907</v>
      </c>
      <c r="B672" s="3">
        <v>45876</v>
      </c>
      <c r="C672" t="s">
        <v>71</v>
      </c>
      <c r="D672" t="s">
        <v>103</v>
      </c>
      <c r="E672" t="s">
        <v>51</v>
      </c>
      <c r="F672" t="s">
        <v>21</v>
      </c>
      <c r="G672" t="s">
        <v>55</v>
      </c>
      <c r="H672">
        <v>2</v>
      </c>
      <c r="I672">
        <v>2287</v>
      </c>
      <c r="J672">
        <v>0.15</v>
      </c>
      <c r="K672">
        <v>3887.9</v>
      </c>
      <c r="L672">
        <v>988.76</v>
      </c>
      <c r="M672" t="str">
        <f t="shared" si="90"/>
        <v>Headphones</v>
      </c>
      <c r="N672" t="str">
        <f t="shared" si="91"/>
        <v>Pune</v>
      </c>
      <c r="O672" t="str">
        <f t="shared" si="92"/>
        <v>West</v>
      </c>
      <c r="P672" t="str">
        <f t="shared" si="93"/>
        <v>Electronics</v>
      </c>
      <c r="Q672" t="str">
        <f t="shared" si="94"/>
        <v>Electronics</v>
      </c>
      <c r="R672" t="str">
        <f t="shared" si="95"/>
        <v>West</v>
      </c>
      <c r="S672" t="str">
        <f t="shared" si="96"/>
        <v>Pune</v>
      </c>
      <c r="T672">
        <f t="shared" si="97"/>
        <v>3887.9</v>
      </c>
      <c r="U672" t="str">
        <f t="shared" si="98"/>
        <v>OK</v>
      </c>
    </row>
    <row r="673" spans="1:21" x14ac:dyDescent="0.3">
      <c r="A673" t="s">
        <v>908</v>
      </c>
      <c r="B673" s="3">
        <v>45948</v>
      </c>
      <c r="C673" t="s">
        <v>468</v>
      </c>
      <c r="D673" t="s">
        <v>14</v>
      </c>
      <c r="E673" t="s">
        <v>15</v>
      </c>
      <c r="F673" t="s">
        <v>21</v>
      </c>
      <c r="G673" t="s">
        <v>55</v>
      </c>
      <c r="H673">
        <v>1</v>
      </c>
      <c r="I673">
        <v>12071</v>
      </c>
      <c r="J673">
        <v>0.15</v>
      </c>
      <c r="K673">
        <v>10260.35</v>
      </c>
      <c r="L673">
        <v>2582.17</v>
      </c>
      <c r="M673" t="str">
        <f t="shared" si="90"/>
        <v>Office Chair</v>
      </c>
      <c r="N673" t="str">
        <f t="shared" si="91"/>
        <v>Pune</v>
      </c>
      <c r="O673" t="str">
        <f t="shared" si="92"/>
        <v>West</v>
      </c>
      <c r="P673" t="str">
        <f t="shared" si="93"/>
        <v>Furniture</v>
      </c>
      <c r="Q673" t="str">
        <f t="shared" si="94"/>
        <v>Furniture</v>
      </c>
      <c r="R673" t="str">
        <f t="shared" si="95"/>
        <v>West</v>
      </c>
      <c r="S673" t="str">
        <f t="shared" si="96"/>
        <v>Pune</v>
      </c>
      <c r="T673">
        <f t="shared" si="97"/>
        <v>10260.35</v>
      </c>
      <c r="U673" t="str">
        <f t="shared" si="98"/>
        <v>OK</v>
      </c>
    </row>
    <row r="674" spans="1:21" x14ac:dyDescent="0.3">
      <c r="A674" t="s">
        <v>909</v>
      </c>
      <c r="B674" s="3">
        <v>46012</v>
      </c>
      <c r="C674" t="s">
        <v>33</v>
      </c>
      <c r="D674" t="s">
        <v>80</v>
      </c>
      <c r="E674" t="s">
        <v>51</v>
      </c>
      <c r="F674" t="s">
        <v>21</v>
      </c>
      <c r="G674" t="s">
        <v>35</v>
      </c>
      <c r="H674">
        <v>2</v>
      </c>
      <c r="I674">
        <v>84718</v>
      </c>
      <c r="J674">
        <v>0.15</v>
      </c>
      <c r="K674">
        <v>144020.6</v>
      </c>
      <c r="L674">
        <v>18026.759999999998</v>
      </c>
      <c r="M674" t="str">
        <f t="shared" si="90"/>
        <v>Laptop</v>
      </c>
      <c r="N674" t="str">
        <f t="shared" si="91"/>
        <v>Mumbai</v>
      </c>
      <c r="O674" t="str">
        <f t="shared" si="92"/>
        <v>West</v>
      </c>
      <c r="P674" t="str">
        <f t="shared" si="93"/>
        <v>Electronics</v>
      </c>
      <c r="Q674" t="str">
        <f t="shared" si="94"/>
        <v>Electronics</v>
      </c>
      <c r="R674" t="str">
        <f t="shared" si="95"/>
        <v>West</v>
      </c>
      <c r="S674" t="str">
        <f t="shared" si="96"/>
        <v>Mumbai</v>
      </c>
      <c r="T674">
        <f t="shared" si="97"/>
        <v>144020.6</v>
      </c>
      <c r="U674" t="str">
        <f t="shared" si="98"/>
        <v>OK</v>
      </c>
    </row>
    <row r="675" spans="1:21" x14ac:dyDescent="0.3">
      <c r="A675" t="s">
        <v>910</v>
      </c>
      <c r="B675" s="3">
        <v>45764</v>
      </c>
      <c r="C675" t="s">
        <v>337</v>
      </c>
      <c r="D675" t="s">
        <v>307</v>
      </c>
      <c r="E675" t="s">
        <v>73</v>
      </c>
      <c r="F675" t="s">
        <v>27</v>
      </c>
      <c r="G675" t="s">
        <v>31</v>
      </c>
      <c r="H675">
        <v>3</v>
      </c>
      <c r="I675">
        <v>189</v>
      </c>
      <c r="J675">
        <v>0.05</v>
      </c>
      <c r="K675">
        <v>538.65</v>
      </c>
      <c r="L675">
        <v>121.41</v>
      </c>
      <c r="M675" t="str">
        <f t="shared" si="90"/>
        <v>Notebook</v>
      </c>
      <c r="N675" t="str">
        <f t="shared" si="91"/>
        <v>Hyderabad</v>
      </c>
      <c r="O675" t="str">
        <f t="shared" si="92"/>
        <v>South</v>
      </c>
      <c r="P675" t="str">
        <f t="shared" si="93"/>
        <v>Office Supplies</v>
      </c>
      <c r="Q675" t="str">
        <f t="shared" si="94"/>
        <v>Office Supplies</v>
      </c>
      <c r="R675" t="str">
        <f t="shared" si="95"/>
        <v>South</v>
      </c>
      <c r="S675" t="str">
        <f t="shared" si="96"/>
        <v>Hyderabad</v>
      </c>
      <c r="T675">
        <f t="shared" si="97"/>
        <v>538.65</v>
      </c>
      <c r="U675" t="str">
        <f t="shared" si="98"/>
        <v>OK</v>
      </c>
    </row>
    <row r="676" spans="1:21" x14ac:dyDescent="0.3">
      <c r="A676" t="s">
        <v>911</v>
      </c>
      <c r="B676" s="3">
        <v>45838</v>
      </c>
      <c r="C676" t="s">
        <v>172</v>
      </c>
      <c r="D676" t="s">
        <v>97</v>
      </c>
      <c r="E676" t="s">
        <v>44</v>
      </c>
      <c r="F676" t="s">
        <v>58</v>
      </c>
      <c r="G676" t="s">
        <v>126</v>
      </c>
      <c r="H676">
        <v>2</v>
      </c>
      <c r="I676">
        <v>755</v>
      </c>
      <c r="J676">
        <v>0.05</v>
      </c>
      <c r="K676">
        <v>1434.5</v>
      </c>
      <c r="L676">
        <v>228.6</v>
      </c>
      <c r="M676" t="str">
        <f t="shared" si="90"/>
        <v>USB Cable</v>
      </c>
      <c r="N676" t="str">
        <f t="shared" si="91"/>
        <v>Delhi</v>
      </c>
      <c r="O676" t="str">
        <f t="shared" si="92"/>
        <v>North</v>
      </c>
      <c r="P676" t="str">
        <f t="shared" si="93"/>
        <v>Accessories</v>
      </c>
      <c r="Q676" t="str">
        <f t="shared" si="94"/>
        <v>Accessories</v>
      </c>
      <c r="R676" t="str">
        <f t="shared" si="95"/>
        <v>North</v>
      </c>
      <c r="S676" t="str">
        <f t="shared" si="96"/>
        <v>Delhi</v>
      </c>
      <c r="T676">
        <f t="shared" si="97"/>
        <v>1434.5</v>
      </c>
      <c r="U676" t="str">
        <f t="shared" si="98"/>
        <v>OK</v>
      </c>
    </row>
    <row r="677" spans="1:21" x14ac:dyDescent="0.3">
      <c r="A677" t="s">
        <v>912</v>
      </c>
      <c r="B677" s="3">
        <v>45662</v>
      </c>
      <c r="C677" t="s">
        <v>321</v>
      </c>
      <c r="D677" t="s">
        <v>47</v>
      </c>
      <c r="E677" t="s">
        <v>26</v>
      </c>
      <c r="F677" t="s">
        <v>16</v>
      </c>
      <c r="G677" t="s">
        <v>17</v>
      </c>
      <c r="H677">
        <v>2</v>
      </c>
      <c r="I677">
        <v>17833</v>
      </c>
      <c r="J677">
        <v>0</v>
      </c>
      <c r="K677">
        <v>35666</v>
      </c>
      <c r="L677">
        <v>6754.29</v>
      </c>
      <c r="M677" t="str">
        <f t="shared" si="90"/>
        <v>Air Purifier</v>
      </c>
      <c r="N677" t="str">
        <f t="shared" si="91"/>
        <v>Guwahati</v>
      </c>
      <c r="O677" t="str">
        <f t="shared" si="92"/>
        <v>East</v>
      </c>
      <c r="P677" t="str">
        <f t="shared" si="93"/>
        <v>Home Appliances</v>
      </c>
      <c r="Q677" t="str">
        <f t="shared" si="94"/>
        <v>Home Appliances</v>
      </c>
      <c r="R677" t="str">
        <f t="shared" si="95"/>
        <v>East</v>
      </c>
      <c r="S677" t="str">
        <f t="shared" si="96"/>
        <v>Guwahati</v>
      </c>
      <c r="T677">
        <f t="shared" si="97"/>
        <v>35666</v>
      </c>
      <c r="U677" t="str">
        <f t="shared" si="98"/>
        <v>OK</v>
      </c>
    </row>
    <row r="678" spans="1:21" x14ac:dyDescent="0.3">
      <c r="A678" t="s">
        <v>913</v>
      </c>
      <c r="B678" s="3">
        <v>45894</v>
      </c>
      <c r="C678" t="s">
        <v>211</v>
      </c>
      <c r="D678" t="s">
        <v>65</v>
      </c>
      <c r="E678" t="s">
        <v>26</v>
      </c>
      <c r="F678" t="s">
        <v>16</v>
      </c>
      <c r="G678" t="s">
        <v>17</v>
      </c>
      <c r="H678">
        <v>2</v>
      </c>
      <c r="I678">
        <v>2224</v>
      </c>
      <c r="J678">
        <v>0</v>
      </c>
      <c r="K678">
        <v>4448</v>
      </c>
      <c r="L678">
        <v>804.32</v>
      </c>
      <c r="M678" t="str">
        <f t="shared" si="90"/>
        <v>Electric Kettle</v>
      </c>
      <c r="N678" t="str">
        <f t="shared" si="91"/>
        <v>Guwahati</v>
      </c>
      <c r="O678" t="str">
        <f t="shared" si="92"/>
        <v>East</v>
      </c>
      <c r="P678" t="str">
        <f t="shared" si="93"/>
        <v>Home Appliances</v>
      </c>
      <c r="Q678" t="str">
        <f t="shared" si="94"/>
        <v>Home Appliances</v>
      </c>
      <c r="R678" t="str">
        <f t="shared" si="95"/>
        <v>East</v>
      </c>
      <c r="S678" t="str">
        <f t="shared" si="96"/>
        <v>Guwahati</v>
      </c>
      <c r="T678">
        <f t="shared" si="97"/>
        <v>4448</v>
      </c>
      <c r="U678" t="str">
        <f t="shared" si="98"/>
        <v>OK</v>
      </c>
    </row>
    <row r="679" spans="1:21" x14ac:dyDescent="0.3">
      <c r="A679" t="s">
        <v>914</v>
      </c>
      <c r="B679" s="3">
        <v>45802</v>
      </c>
      <c r="C679" t="s">
        <v>551</v>
      </c>
      <c r="D679" t="s">
        <v>20</v>
      </c>
      <c r="E679" t="s">
        <v>15</v>
      </c>
      <c r="F679" t="s">
        <v>16</v>
      </c>
      <c r="G679" t="s">
        <v>17</v>
      </c>
      <c r="H679">
        <v>2</v>
      </c>
      <c r="I679">
        <v>6799</v>
      </c>
      <c r="J679">
        <v>0.05</v>
      </c>
      <c r="K679">
        <v>12918.1</v>
      </c>
      <c r="L679">
        <v>2638.15</v>
      </c>
      <c r="M679" t="str">
        <f t="shared" si="90"/>
        <v>Filing Cabinet</v>
      </c>
      <c r="N679" t="str">
        <f t="shared" si="91"/>
        <v>Guwahati</v>
      </c>
      <c r="O679" t="str">
        <f t="shared" si="92"/>
        <v>East</v>
      </c>
      <c r="P679" t="str">
        <f t="shared" si="93"/>
        <v>Furniture</v>
      </c>
      <c r="Q679" t="str">
        <f t="shared" si="94"/>
        <v>Furniture</v>
      </c>
      <c r="R679" t="str">
        <f t="shared" si="95"/>
        <v>East</v>
      </c>
      <c r="S679" t="str">
        <f t="shared" si="96"/>
        <v>Guwahati</v>
      </c>
      <c r="T679">
        <f t="shared" si="97"/>
        <v>12918.099999999999</v>
      </c>
      <c r="U679" t="str">
        <f t="shared" si="98"/>
        <v>OK</v>
      </c>
    </row>
    <row r="680" spans="1:21" x14ac:dyDescent="0.3">
      <c r="A680" t="s">
        <v>915</v>
      </c>
      <c r="B680" s="3">
        <v>45992</v>
      </c>
      <c r="C680" t="s">
        <v>300</v>
      </c>
      <c r="D680" t="s">
        <v>307</v>
      </c>
      <c r="E680" t="s">
        <v>73</v>
      </c>
      <c r="F680" t="s">
        <v>21</v>
      </c>
      <c r="G680" t="s">
        <v>35</v>
      </c>
      <c r="H680">
        <v>2</v>
      </c>
      <c r="I680">
        <v>389</v>
      </c>
      <c r="J680">
        <v>0.1</v>
      </c>
      <c r="K680">
        <v>700.2</v>
      </c>
      <c r="L680">
        <v>146.54</v>
      </c>
      <c r="M680" t="str">
        <f t="shared" si="90"/>
        <v>Notebook</v>
      </c>
      <c r="N680" t="str">
        <f t="shared" si="91"/>
        <v>Mumbai</v>
      </c>
      <c r="O680" t="str">
        <f t="shared" si="92"/>
        <v>West</v>
      </c>
      <c r="P680" t="str">
        <f t="shared" si="93"/>
        <v>Office Supplies</v>
      </c>
      <c r="Q680" t="str">
        <f t="shared" si="94"/>
        <v>Office Supplies</v>
      </c>
      <c r="R680" t="str">
        <f t="shared" si="95"/>
        <v>West</v>
      </c>
      <c r="S680" t="str">
        <f t="shared" si="96"/>
        <v>Mumbai</v>
      </c>
      <c r="T680">
        <f t="shared" si="97"/>
        <v>700.2</v>
      </c>
      <c r="U680" t="str">
        <f t="shared" si="98"/>
        <v>OK</v>
      </c>
    </row>
    <row r="681" spans="1:21" x14ac:dyDescent="0.3">
      <c r="A681" t="s">
        <v>916</v>
      </c>
      <c r="B681" s="3">
        <v>45823</v>
      </c>
      <c r="C681" t="s">
        <v>597</v>
      </c>
      <c r="D681" t="s">
        <v>83</v>
      </c>
      <c r="E681" t="s">
        <v>73</v>
      </c>
      <c r="F681" t="s">
        <v>16</v>
      </c>
      <c r="G681" t="s">
        <v>104</v>
      </c>
      <c r="H681">
        <v>1</v>
      </c>
      <c r="I681">
        <v>813</v>
      </c>
      <c r="J681">
        <v>0.1</v>
      </c>
      <c r="K681">
        <v>731.7</v>
      </c>
      <c r="L681">
        <v>101.93</v>
      </c>
      <c r="M681" t="str">
        <f t="shared" si="90"/>
        <v>Printer Paper</v>
      </c>
      <c r="N681" t="str">
        <f t="shared" si="91"/>
        <v>Bhubaneswar</v>
      </c>
      <c r="O681" t="str">
        <f t="shared" si="92"/>
        <v>East</v>
      </c>
      <c r="P681" t="str">
        <f t="shared" si="93"/>
        <v>Office Supplies</v>
      </c>
      <c r="Q681" t="str">
        <f t="shared" si="94"/>
        <v>Office Supplies</v>
      </c>
      <c r="R681" t="str">
        <f t="shared" si="95"/>
        <v>East</v>
      </c>
      <c r="S681" t="str">
        <f t="shared" si="96"/>
        <v>Bhubaneswar</v>
      </c>
      <c r="T681">
        <f t="shared" si="97"/>
        <v>731.7</v>
      </c>
      <c r="U681" t="str">
        <f t="shared" si="98"/>
        <v>OK</v>
      </c>
    </row>
    <row r="682" spans="1:21" x14ac:dyDescent="0.3">
      <c r="A682" t="s">
        <v>917</v>
      </c>
      <c r="B682" s="3">
        <v>45882</v>
      </c>
      <c r="C682" t="s">
        <v>165</v>
      </c>
      <c r="D682" t="s">
        <v>120</v>
      </c>
      <c r="E682" t="s">
        <v>51</v>
      </c>
      <c r="F682" t="s">
        <v>27</v>
      </c>
      <c r="G682" t="s">
        <v>31</v>
      </c>
      <c r="H682">
        <v>1</v>
      </c>
      <c r="I682">
        <v>1453</v>
      </c>
      <c r="J682">
        <v>0.1</v>
      </c>
      <c r="K682">
        <v>1307.7</v>
      </c>
      <c r="L682">
        <v>241.71</v>
      </c>
      <c r="M682" t="str">
        <f t="shared" si="90"/>
        <v>Mouse</v>
      </c>
      <c r="N682" t="str">
        <f t="shared" si="91"/>
        <v>Hyderabad</v>
      </c>
      <c r="O682" t="str">
        <f t="shared" si="92"/>
        <v>South</v>
      </c>
      <c r="P682" t="str">
        <f t="shared" si="93"/>
        <v>Electronics</v>
      </c>
      <c r="Q682" t="str">
        <f t="shared" si="94"/>
        <v>Electronics</v>
      </c>
      <c r="R682" t="str">
        <f t="shared" si="95"/>
        <v>South</v>
      </c>
      <c r="S682" t="str">
        <f t="shared" si="96"/>
        <v>Hyderabad</v>
      </c>
      <c r="T682">
        <f t="shared" si="97"/>
        <v>1307.7</v>
      </c>
      <c r="U682" t="str">
        <f t="shared" si="98"/>
        <v>OK</v>
      </c>
    </row>
    <row r="683" spans="1:21" x14ac:dyDescent="0.3">
      <c r="A683" t="s">
        <v>918</v>
      </c>
      <c r="B683" s="3">
        <v>45749</v>
      </c>
      <c r="C683" t="s">
        <v>116</v>
      </c>
      <c r="D683" t="s">
        <v>153</v>
      </c>
      <c r="E683" t="s">
        <v>26</v>
      </c>
      <c r="F683" t="s">
        <v>58</v>
      </c>
      <c r="G683" t="s">
        <v>59</v>
      </c>
      <c r="H683">
        <v>4</v>
      </c>
      <c r="I683">
        <v>8711</v>
      </c>
      <c r="J683">
        <v>0.1</v>
      </c>
      <c r="K683">
        <v>31359.599999999999</v>
      </c>
      <c r="L683">
        <v>2980.91</v>
      </c>
      <c r="M683" t="str">
        <f t="shared" si="90"/>
        <v>Coffee Maker</v>
      </c>
      <c r="N683" t="str">
        <f t="shared" si="91"/>
        <v>Chandigarh</v>
      </c>
      <c r="O683" t="str">
        <f t="shared" si="92"/>
        <v>North</v>
      </c>
      <c r="P683" t="str">
        <f t="shared" si="93"/>
        <v>Home Appliances</v>
      </c>
      <c r="Q683" t="str">
        <f t="shared" si="94"/>
        <v>Home Appliances</v>
      </c>
      <c r="R683" t="str">
        <f t="shared" si="95"/>
        <v>North</v>
      </c>
      <c r="S683" t="str">
        <f t="shared" si="96"/>
        <v>Chandigarh</v>
      </c>
      <c r="T683">
        <f t="shared" si="97"/>
        <v>31359.600000000002</v>
      </c>
      <c r="U683" t="str">
        <f t="shared" si="98"/>
        <v>OK</v>
      </c>
    </row>
    <row r="684" spans="1:21" x14ac:dyDescent="0.3">
      <c r="A684" t="s">
        <v>919</v>
      </c>
      <c r="B684" s="3">
        <v>45704</v>
      </c>
      <c r="C684" t="s">
        <v>440</v>
      </c>
      <c r="D684" t="s">
        <v>25</v>
      </c>
      <c r="E684" t="s">
        <v>26</v>
      </c>
      <c r="F684" t="s">
        <v>21</v>
      </c>
      <c r="G684" t="s">
        <v>22</v>
      </c>
      <c r="H684">
        <v>1</v>
      </c>
      <c r="I684">
        <v>10621</v>
      </c>
      <c r="J684">
        <v>0.2</v>
      </c>
      <c r="K684">
        <v>8496.7999999999993</v>
      </c>
      <c r="L684">
        <v>1716.99</v>
      </c>
      <c r="M684" t="str">
        <f t="shared" si="90"/>
        <v>Microwave</v>
      </c>
      <c r="N684" t="str">
        <f t="shared" si="91"/>
        <v>Ahmedabad</v>
      </c>
      <c r="O684" t="str">
        <f t="shared" si="92"/>
        <v>West</v>
      </c>
      <c r="P684" t="str">
        <f t="shared" si="93"/>
        <v>Home Appliances</v>
      </c>
      <c r="Q684" t="str">
        <f t="shared" si="94"/>
        <v>Home Appliances</v>
      </c>
      <c r="R684" t="str">
        <f t="shared" si="95"/>
        <v>West</v>
      </c>
      <c r="S684" t="str">
        <f t="shared" si="96"/>
        <v>Ahmedabad</v>
      </c>
      <c r="T684">
        <f t="shared" si="97"/>
        <v>8496.8000000000011</v>
      </c>
      <c r="U684" t="str">
        <f t="shared" si="98"/>
        <v>OK</v>
      </c>
    </row>
    <row r="685" spans="1:21" x14ac:dyDescent="0.3">
      <c r="A685" t="s">
        <v>920</v>
      </c>
      <c r="B685" s="3">
        <v>45721</v>
      </c>
      <c r="C685" t="s">
        <v>71</v>
      </c>
      <c r="D685" t="s">
        <v>20</v>
      </c>
      <c r="E685" t="s">
        <v>15</v>
      </c>
      <c r="F685" t="s">
        <v>16</v>
      </c>
      <c r="G685" t="s">
        <v>17</v>
      </c>
      <c r="H685">
        <v>1</v>
      </c>
      <c r="I685">
        <v>12030</v>
      </c>
      <c r="J685">
        <v>0.05</v>
      </c>
      <c r="K685">
        <v>11428.5</v>
      </c>
      <c r="L685">
        <v>3194.66</v>
      </c>
      <c r="M685" t="str">
        <f t="shared" si="90"/>
        <v>Filing Cabinet</v>
      </c>
      <c r="N685" t="str">
        <f t="shared" si="91"/>
        <v>Guwahati</v>
      </c>
      <c r="O685" t="str">
        <f t="shared" si="92"/>
        <v>East</v>
      </c>
      <c r="P685" t="str">
        <f t="shared" si="93"/>
        <v>Furniture</v>
      </c>
      <c r="Q685" t="str">
        <f t="shared" si="94"/>
        <v>Furniture</v>
      </c>
      <c r="R685" t="str">
        <f t="shared" si="95"/>
        <v>East</v>
      </c>
      <c r="S685" t="str">
        <f t="shared" si="96"/>
        <v>Guwahati</v>
      </c>
      <c r="T685">
        <f t="shared" si="97"/>
        <v>11428.5</v>
      </c>
      <c r="U685" t="str">
        <f t="shared" si="98"/>
        <v>OK</v>
      </c>
    </row>
    <row r="686" spans="1:21" x14ac:dyDescent="0.3">
      <c r="A686" t="s">
        <v>921</v>
      </c>
      <c r="B686" s="3">
        <v>45754</v>
      </c>
      <c r="C686" t="s">
        <v>161</v>
      </c>
      <c r="D686" t="s">
        <v>83</v>
      </c>
      <c r="E686" t="s">
        <v>73</v>
      </c>
      <c r="F686" t="s">
        <v>21</v>
      </c>
      <c r="G686" t="s">
        <v>22</v>
      </c>
      <c r="H686">
        <v>5</v>
      </c>
      <c r="I686">
        <v>299</v>
      </c>
      <c r="J686">
        <v>0.05</v>
      </c>
      <c r="K686">
        <v>1420.25</v>
      </c>
      <c r="L686">
        <v>229.48</v>
      </c>
      <c r="M686" t="str">
        <f t="shared" si="90"/>
        <v>Printer Paper</v>
      </c>
      <c r="N686" t="str">
        <f t="shared" si="91"/>
        <v>Ahmedabad</v>
      </c>
      <c r="O686" t="str">
        <f t="shared" si="92"/>
        <v>West</v>
      </c>
      <c r="P686" t="str">
        <f t="shared" si="93"/>
        <v>Office Supplies</v>
      </c>
      <c r="Q686" t="str">
        <f t="shared" si="94"/>
        <v>Office Supplies</v>
      </c>
      <c r="R686" t="str">
        <f t="shared" si="95"/>
        <v>West</v>
      </c>
      <c r="S686" t="str">
        <f t="shared" si="96"/>
        <v>Ahmedabad</v>
      </c>
      <c r="T686">
        <f t="shared" si="97"/>
        <v>1420.25</v>
      </c>
      <c r="U686" t="str">
        <f t="shared" si="98"/>
        <v>OK</v>
      </c>
    </row>
    <row r="687" spans="1:21" x14ac:dyDescent="0.3">
      <c r="A687" t="s">
        <v>922</v>
      </c>
      <c r="B687" s="3">
        <v>45768</v>
      </c>
      <c r="C687" t="s">
        <v>274</v>
      </c>
      <c r="D687" t="s">
        <v>202</v>
      </c>
      <c r="E687" t="s">
        <v>44</v>
      </c>
      <c r="F687" t="s">
        <v>21</v>
      </c>
      <c r="G687" t="s">
        <v>22</v>
      </c>
      <c r="H687">
        <v>2</v>
      </c>
      <c r="I687">
        <v>2583</v>
      </c>
      <c r="J687">
        <v>0</v>
      </c>
      <c r="K687">
        <v>5166</v>
      </c>
      <c r="L687">
        <v>1085.05</v>
      </c>
      <c r="M687" t="str">
        <f t="shared" si="90"/>
        <v>Laptop Stand</v>
      </c>
      <c r="N687" t="str">
        <f t="shared" si="91"/>
        <v>Ahmedabad</v>
      </c>
      <c r="O687" t="str">
        <f t="shared" si="92"/>
        <v>West</v>
      </c>
      <c r="P687" t="str">
        <f t="shared" si="93"/>
        <v>Accessories</v>
      </c>
      <c r="Q687" t="str">
        <f t="shared" si="94"/>
        <v>Accessories</v>
      </c>
      <c r="R687" t="str">
        <f t="shared" si="95"/>
        <v>West</v>
      </c>
      <c r="S687" t="str">
        <f t="shared" si="96"/>
        <v>Ahmedabad</v>
      </c>
      <c r="T687">
        <f t="shared" si="97"/>
        <v>5166</v>
      </c>
      <c r="U687" t="str">
        <f t="shared" si="98"/>
        <v>OK</v>
      </c>
    </row>
    <row r="688" spans="1:21" x14ac:dyDescent="0.3">
      <c r="A688" t="s">
        <v>923</v>
      </c>
      <c r="B688" s="3">
        <v>45848</v>
      </c>
      <c r="C688" t="s">
        <v>368</v>
      </c>
      <c r="D688" t="s">
        <v>88</v>
      </c>
      <c r="E688" t="s">
        <v>73</v>
      </c>
      <c r="F688" t="s">
        <v>27</v>
      </c>
      <c r="G688" t="s">
        <v>31</v>
      </c>
      <c r="H688">
        <v>1</v>
      </c>
      <c r="I688">
        <v>513</v>
      </c>
      <c r="J688">
        <v>0.1</v>
      </c>
      <c r="K688">
        <v>461.7</v>
      </c>
      <c r="L688">
        <v>79.349999999999994</v>
      </c>
      <c r="M688" t="str">
        <f t="shared" si="90"/>
        <v>Stapler</v>
      </c>
      <c r="N688" t="str">
        <f t="shared" si="91"/>
        <v>Hyderabad</v>
      </c>
      <c r="O688" t="str">
        <f t="shared" si="92"/>
        <v>South</v>
      </c>
      <c r="P688" t="str">
        <f t="shared" si="93"/>
        <v>Office Supplies</v>
      </c>
      <c r="Q688" t="str">
        <f t="shared" si="94"/>
        <v>Office Supplies</v>
      </c>
      <c r="R688" t="str">
        <f t="shared" si="95"/>
        <v>South</v>
      </c>
      <c r="S688" t="str">
        <f t="shared" si="96"/>
        <v>Hyderabad</v>
      </c>
      <c r="T688">
        <f t="shared" si="97"/>
        <v>461.7</v>
      </c>
      <c r="U688" t="str">
        <f t="shared" si="98"/>
        <v>OK</v>
      </c>
    </row>
    <row r="689" spans="1:21" x14ac:dyDescent="0.3">
      <c r="A689" t="s">
        <v>924</v>
      </c>
      <c r="B689" s="3">
        <v>45846</v>
      </c>
      <c r="C689" t="s">
        <v>85</v>
      </c>
      <c r="D689" t="s">
        <v>68</v>
      </c>
      <c r="E689" t="s">
        <v>44</v>
      </c>
      <c r="F689" t="s">
        <v>21</v>
      </c>
      <c r="G689" t="s">
        <v>55</v>
      </c>
      <c r="H689">
        <v>4</v>
      </c>
      <c r="I689">
        <v>3506</v>
      </c>
      <c r="J689">
        <v>0.05</v>
      </c>
      <c r="K689">
        <v>13322.8</v>
      </c>
      <c r="L689">
        <v>3547.81</v>
      </c>
      <c r="M689" t="str">
        <f t="shared" si="90"/>
        <v>Webcam</v>
      </c>
      <c r="N689" t="str">
        <f t="shared" si="91"/>
        <v>Pune</v>
      </c>
      <c r="O689" t="str">
        <f t="shared" si="92"/>
        <v>West</v>
      </c>
      <c r="P689" t="str">
        <f t="shared" si="93"/>
        <v>Accessories</v>
      </c>
      <c r="Q689" t="str">
        <f t="shared" si="94"/>
        <v>Accessories</v>
      </c>
      <c r="R689" t="str">
        <f t="shared" si="95"/>
        <v>West</v>
      </c>
      <c r="S689" t="str">
        <f t="shared" si="96"/>
        <v>Pune</v>
      </c>
      <c r="T689">
        <f t="shared" si="97"/>
        <v>13322.8</v>
      </c>
      <c r="U689" t="str">
        <f t="shared" si="98"/>
        <v>OK</v>
      </c>
    </row>
    <row r="690" spans="1:21" x14ac:dyDescent="0.3">
      <c r="A690" t="s">
        <v>925</v>
      </c>
      <c r="B690" s="3">
        <v>45875</v>
      </c>
      <c r="C690" t="s">
        <v>670</v>
      </c>
      <c r="D690" t="s">
        <v>202</v>
      </c>
      <c r="E690" t="s">
        <v>44</v>
      </c>
      <c r="F690" t="s">
        <v>27</v>
      </c>
      <c r="G690" t="s">
        <v>28</v>
      </c>
      <c r="H690">
        <v>2</v>
      </c>
      <c r="I690">
        <v>2622</v>
      </c>
      <c r="J690">
        <v>0.1</v>
      </c>
      <c r="K690">
        <v>4719.6000000000004</v>
      </c>
      <c r="L690">
        <v>630.66999999999996</v>
      </c>
      <c r="M690" t="str">
        <f t="shared" si="90"/>
        <v>Laptop Stand</v>
      </c>
      <c r="N690" t="str">
        <f t="shared" si="91"/>
        <v>Bengaluru</v>
      </c>
      <c r="O690" t="str">
        <f t="shared" si="92"/>
        <v>South</v>
      </c>
      <c r="P690" t="str">
        <f t="shared" si="93"/>
        <v>Accessories</v>
      </c>
      <c r="Q690" t="str">
        <f t="shared" si="94"/>
        <v>Accessories</v>
      </c>
      <c r="R690" t="str">
        <f t="shared" si="95"/>
        <v>South</v>
      </c>
      <c r="S690" t="str">
        <f t="shared" si="96"/>
        <v>Bengaluru</v>
      </c>
      <c r="T690">
        <f t="shared" si="97"/>
        <v>4719.6000000000004</v>
      </c>
      <c r="U690" t="str">
        <f t="shared" si="98"/>
        <v>OK</v>
      </c>
    </row>
    <row r="691" spans="1:21" x14ac:dyDescent="0.3">
      <c r="A691" t="s">
        <v>926</v>
      </c>
      <c r="B691" s="3">
        <v>45801</v>
      </c>
      <c r="C691" t="s">
        <v>199</v>
      </c>
      <c r="D691" t="s">
        <v>30</v>
      </c>
      <c r="E691" t="s">
        <v>15</v>
      </c>
      <c r="F691" t="s">
        <v>16</v>
      </c>
      <c r="G691" t="s">
        <v>52</v>
      </c>
      <c r="H691">
        <v>2</v>
      </c>
      <c r="I691">
        <v>12762</v>
      </c>
      <c r="J691">
        <v>0.2</v>
      </c>
      <c r="K691">
        <v>20419.2</v>
      </c>
      <c r="L691">
        <v>3467.33</v>
      </c>
      <c r="M691" t="str">
        <f t="shared" si="90"/>
        <v>Bookshelf</v>
      </c>
      <c r="N691" t="str">
        <f t="shared" si="91"/>
        <v>Kolkata</v>
      </c>
      <c r="O691" t="str">
        <f t="shared" si="92"/>
        <v>East</v>
      </c>
      <c r="P691" t="str">
        <f t="shared" si="93"/>
        <v>Furniture</v>
      </c>
      <c r="Q691" t="str">
        <f t="shared" si="94"/>
        <v>Furniture</v>
      </c>
      <c r="R691" t="str">
        <f t="shared" si="95"/>
        <v>East</v>
      </c>
      <c r="S691" t="str">
        <f t="shared" si="96"/>
        <v>Kolkata</v>
      </c>
      <c r="T691">
        <f t="shared" si="97"/>
        <v>20419.2</v>
      </c>
      <c r="U691" t="str">
        <f t="shared" si="98"/>
        <v>OK</v>
      </c>
    </row>
    <row r="692" spans="1:21" x14ac:dyDescent="0.3">
      <c r="A692" t="s">
        <v>927</v>
      </c>
      <c r="B692" s="3">
        <v>45823</v>
      </c>
      <c r="C692" t="s">
        <v>403</v>
      </c>
      <c r="D692" t="s">
        <v>25</v>
      </c>
      <c r="E692" t="s">
        <v>26</v>
      </c>
      <c r="F692" t="s">
        <v>27</v>
      </c>
      <c r="G692" t="s">
        <v>31</v>
      </c>
      <c r="H692">
        <v>2</v>
      </c>
      <c r="I692">
        <v>12873</v>
      </c>
      <c r="J692">
        <v>0</v>
      </c>
      <c r="K692">
        <v>25746</v>
      </c>
      <c r="L692">
        <v>6887.89</v>
      </c>
      <c r="M692" t="str">
        <f t="shared" si="90"/>
        <v>Microwave</v>
      </c>
      <c r="N692" t="str">
        <f t="shared" si="91"/>
        <v>Hyderabad</v>
      </c>
      <c r="O692" t="str">
        <f t="shared" si="92"/>
        <v>South</v>
      </c>
      <c r="P692" t="str">
        <f t="shared" si="93"/>
        <v>Home Appliances</v>
      </c>
      <c r="Q692" t="str">
        <f t="shared" si="94"/>
        <v>Home Appliances</v>
      </c>
      <c r="R692" t="str">
        <f t="shared" si="95"/>
        <v>South</v>
      </c>
      <c r="S692" t="str">
        <f t="shared" si="96"/>
        <v>Hyderabad</v>
      </c>
      <c r="T692">
        <f t="shared" si="97"/>
        <v>25746</v>
      </c>
      <c r="U692" t="str">
        <f t="shared" si="98"/>
        <v>OK</v>
      </c>
    </row>
    <row r="693" spans="1:21" x14ac:dyDescent="0.3">
      <c r="A693" t="s">
        <v>928</v>
      </c>
      <c r="B693" s="3">
        <v>45678</v>
      </c>
      <c r="C693" t="s">
        <v>403</v>
      </c>
      <c r="D693" t="s">
        <v>30</v>
      </c>
      <c r="E693" t="s">
        <v>15</v>
      </c>
      <c r="F693" t="s">
        <v>21</v>
      </c>
      <c r="G693" t="s">
        <v>55</v>
      </c>
      <c r="H693">
        <v>1</v>
      </c>
      <c r="I693">
        <v>10495</v>
      </c>
      <c r="J693">
        <v>0</v>
      </c>
      <c r="K693">
        <v>10495</v>
      </c>
      <c r="L693">
        <v>2352.4</v>
      </c>
      <c r="M693" t="str">
        <f t="shared" si="90"/>
        <v>Bookshelf</v>
      </c>
      <c r="N693" t="str">
        <f t="shared" si="91"/>
        <v>Pune</v>
      </c>
      <c r="O693" t="str">
        <f t="shared" si="92"/>
        <v>West</v>
      </c>
      <c r="P693" t="str">
        <f t="shared" si="93"/>
        <v>Furniture</v>
      </c>
      <c r="Q693" t="str">
        <f t="shared" si="94"/>
        <v>Furniture</v>
      </c>
      <c r="R693" t="str">
        <f t="shared" si="95"/>
        <v>West</v>
      </c>
      <c r="S693" t="str">
        <f t="shared" si="96"/>
        <v>Pune</v>
      </c>
      <c r="T693">
        <f t="shared" si="97"/>
        <v>10495</v>
      </c>
      <c r="U693" t="str">
        <f t="shared" si="98"/>
        <v>OK</v>
      </c>
    </row>
    <row r="694" spans="1:21" x14ac:dyDescent="0.3">
      <c r="A694" t="s">
        <v>929</v>
      </c>
      <c r="B694" s="3">
        <v>45750</v>
      </c>
      <c r="C694" t="s">
        <v>156</v>
      </c>
      <c r="D694" t="s">
        <v>202</v>
      </c>
      <c r="E694" t="s">
        <v>44</v>
      </c>
      <c r="F694" t="s">
        <v>27</v>
      </c>
      <c r="G694" t="s">
        <v>28</v>
      </c>
      <c r="H694">
        <v>2</v>
      </c>
      <c r="I694">
        <v>1138</v>
      </c>
      <c r="J694">
        <v>0.15</v>
      </c>
      <c r="K694">
        <v>1934.6</v>
      </c>
      <c r="L694">
        <v>380.12</v>
      </c>
      <c r="M694" t="str">
        <f t="shared" si="90"/>
        <v>Laptop Stand</v>
      </c>
      <c r="N694" t="str">
        <f t="shared" si="91"/>
        <v>Bengaluru</v>
      </c>
      <c r="O694" t="str">
        <f t="shared" si="92"/>
        <v>South</v>
      </c>
      <c r="P694" t="str">
        <f t="shared" si="93"/>
        <v>Accessories</v>
      </c>
      <c r="Q694" t="str">
        <f t="shared" si="94"/>
        <v>Accessories</v>
      </c>
      <c r="R694" t="str">
        <f t="shared" si="95"/>
        <v>South</v>
      </c>
      <c r="S694" t="str">
        <f t="shared" si="96"/>
        <v>Bengaluru</v>
      </c>
      <c r="T694">
        <f t="shared" si="97"/>
        <v>1934.6</v>
      </c>
      <c r="U694" t="str">
        <f t="shared" si="98"/>
        <v>OK</v>
      </c>
    </row>
    <row r="695" spans="1:21" x14ac:dyDescent="0.3">
      <c r="A695" t="s">
        <v>930</v>
      </c>
      <c r="B695" s="3">
        <v>45999</v>
      </c>
      <c r="C695" t="s">
        <v>429</v>
      </c>
      <c r="D695" t="s">
        <v>97</v>
      </c>
      <c r="E695" t="s">
        <v>44</v>
      </c>
      <c r="F695" t="s">
        <v>27</v>
      </c>
      <c r="G695" t="s">
        <v>28</v>
      </c>
      <c r="H695">
        <v>4</v>
      </c>
      <c r="I695">
        <v>627</v>
      </c>
      <c r="J695">
        <v>0</v>
      </c>
      <c r="K695">
        <v>2508</v>
      </c>
      <c r="L695">
        <v>464.2</v>
      </c>
      <c r="M695" t="str">
        <f t="shared" si="90"/>
        <v>USB Cable</v>
      </c>
      <c r="N695" t="str">
        <f t="shared" si="91"/>
        <v>Bengaluru</v>
      </c>
      <c r="O695" t="str">
        <f t="shared" si="92"/>
        <v>South</v>
      </c>
      <c r="P695" t="str">
        <f t="shared" si="93"/>
        <v>Accessories</v>
      </c>
      <c r="Q695" t="str">
        <f t="shared" si="94"/>
        <v>Accessories</v>
      </c>
      <c r="R695" t="str">
        <f t="shared" si="95"/>
        <v>South</v>
      </c>
      <c r="S695" t="str">
        <f t="shared" si="96"/>
        <v>Bengaluru</v>
      </c>
      <c r="T695">
        <f t="shared" si="97"/>
        <v>2508</v>
      </c>
      <c r="U695" t="str">
        <f t="shared" si="98"/>
        <v>OK</v>
      </c>
    </row>
    <row r="696" spans="1:21" x14ac:dyDescent="0.3">
      <c r="A696" t="s">
        <v>931</v>
      </c>
      <c r="B696" s="3">
        <v>45730</v>
      </c>
      <c r="C696" t="s">
        <v>427</v>
      </c>
      <c r="D696" t="s">
        <v>25</v>
      </c>
      <c r="E696" t="s">
        <v>26</v>
      </c>
      <c r="F696" t="s">
        <v>58</v>
      </c>
      <c r="G696" t="s">
        <v>126</v>
      </c>
      <c r="H696">
        <v>1</v>
      </c>
      <c r="I696">
        <v>17937</v>
      </c>
      <c r="J696">
        <v>0.2</v>
      </c>
      <c r="K696">
        <v>14349.6</v>
      </c>
      <c r="L696">
        <v>2412.85</v>
      </c>
      <c r="M696" t="str">
        <f t="shared" si="90"/>
        <v>Microwave</v>
      </c>
      <c r="N696" t="str">
        <f t="shared" si="91"/>
        <v>Delhi</v>
      </c>
      <c r="O696" t="str">
        <f t="shared" si="92"/>
        <v>North</v>
      </c>
      <c r="P696" t="str">
        <f t="shared" si="93"/>
        <v>Home Appliances</v>
      </c>
      <c r="Q696" t="str">
        <f t="shared" si="94"/>
        <v>Home Appliances</v>
      </c>
      <c r="R696" t="str">
        <f t="shared" si="95"/>
        <v>North</v>
      </c>
      <c r="S696" t="str">
        <f t="shared" si="96"/>
        <v>Delhi</v>
      </c>
      <c r="T696">
        <f t="shared" si="97"/>
        <v>14349.6</v>
      </c>
      <c r="U696" t="str">
        <f t="shared" si="98"/>
        <v>OK</v>
      </c>
    </row>
    <row r="697" spans="1:21" x14ac:dyDescent="0.3">
      <c r="A697" t="s">
        <v>932</v>
      </c>
      <c r="B697" s="3">
        <v>45878</v>
      </c>
      <c r="C697" t="s">
        <v>185</v>
      </c>
      <c r="D697" t="s">
        <v>65</v>
      </c>
      <c r="E697" t="s">
        <v>26</v>
      </c>
      <c r="F697" t="s">
        <v>21</v>
      </c>
      <c r="G697" t="s">
        <v>22</v>
      </c>
      <c r="H697">
        <v>2</v>
      </c>
      <c r="I697">
        <v>1879</v>
      </c>
      <c r="J697">
        <v>0.05</v>
      </c>
      <c r="K697">
        <v>3570.1</v>
      </c>
      <c r="L697">
        <v>375.65</v>
      </c>
      <c r="M697" t="str">
        <f t="shared" si="90"/>
        <v>Electric Kettle</v>
      </c>
      <c r="N697" t="str">
        <f t="shared" si="91"/>
        <v>Ahmedabad</v>
      </c>
      <c r="O697" t="str">
        <f t="shared" si="92"/>
        <v>West</v>
      </c>
      <c r="P697" t="str">
        <f t="shared" si="93"/>
        <v>Home Appliances</v>
      </c>
      <c r="Q697" t="str">
        <f t="shared" si="94"/>
        <v>Home Appliances</v>
      </c>
      <c r="R697" t="str">
        <f t="shared" si="95"/>
        <v>West</v>
      </c>
      <c r="S697" t="str">
        <f t="shared" si="96"/>
        <v>Ahmedabad</v>
      </c>
      <c r="T697">
        <f t="shared" si="97"/>
        <v>3570.1</v>
      </c>
      <c r="U697" t="str">
        <f t="shared" si="98"/>
        <v>OK</v>
      </c>
    </row>
    <row r="698" spans="1:21" x14ac:dyDescent="0.3">
      <c r="A698" t="s">
        <v>933</v>
      </c>
      <c r="B698" s="3">
        <v>45786</v>
      </c>
      <c r="C698" t="s">
        <v>180</v>
      </c>
      <c r="D698" t="s">
        <v>14</v>
      </c>
      <c r="E698" t="s">
        <v>15</v>
      </c>
      <c r="F698" t="s">
        <v>58</v>
      </c>
      <c r="G698" t="s">
        <v>59</v>
      </c>
      <c r="H698">
        <v>1</v>
      </c>
      <c r="I698">
        <v>12154</v>
      </c>
      <c r="J698">
        <v>0.05</v>
      </c>
      <c r="K698">
        <v>11546.3</v>
      </c>
      <c r="L698">
        <v>1682.46</v>
      </c>
      <c r="M698" t="str">
        <f t="shared" si="90"/>
        <v>Office Chair</v>
      </c>
      <c r="N698" t="str">
        <f t="shared" si="91"/>
        <v>Chandigarh</v>
      </c>
      <c r="O698" t="str">
        <f t="shared" si="92"/>
        <v>North</v>
      </c>
      <c r="P698" t="str">
        <f t="shared" si="93"/>
        <v>Furniture</v>
      </c>
      <c r="Q698" t="str">
        <f t="shared" si="94"/>
        <v>Furniture</v>
      </c>
      <c r="R698" t="str">
        <f t="shared" si="95"/>
        <v>North</v>
      </c>
      <c r="S698" t="str">
        <f t="shared" si="96"/>
        <v>Chandigarh</v>
      </c>
      <c r="T698">
        <f t="shared" si="97"/>
        <v>11546.3</v>
      </c>
      <c r="U698" t="str">
        <f t="shared" si="98"/>
        <v>OK</v>
      </c>
    </row>
    <row r="699" spans="1:21" x14ac:dyDescent="0.3">
      <c r="A699" t="s">
        <v>934</v>
      </c>
      <c r="B699" s="3">
        <v>45971</v>
      </c>
      <c r="C699" t="s">
        <v>274</v>
      </c>
      <c r="D699" t="s">
        <v>25</v>
      </c>
      <c r="E699" t="s">
        <v>26</v>
      </c>
      <c r="F699" t="s">
        <v>58</v>
      </c>
      <c r="G699" t="s">
        <v>69</v>
      </c>
      <c r="H699">
        <v>3</v>
      </c>
      <c r="I699">
        <v>16013</v>
      </c>
      <c r="J699">
        <v>0</v>
      </c>
      <c r="K699">
        <v>48039</v>
      </c>
      <c r="L699">
        <v>11025.15</v>
      </c>
      <c r="M699" t="str">
        <f t="shared" si="90"/>
        <v>Microwave</v>
      </c>
      <c r="N699" t="str">
        <f t="shared" si="91"/>
        <v>Jaipur</v>
      </c>
      <c r="O699" t="str">
        <f t="shared" si="92"/>
        <v>North</v>
      </c>
      <c r="P699" t="str">
        <f t="shared" si="93"/>
        <v>Home Appliances</v>
      </c>
      <c r="Q699" t="str">
        <f t="shared" si="94"/>
        <v>Home Appliances</v>
      </c>
      <c r="R699" t="str">
        <f t="shared" si="95"/>
        <v>North</v>
      </c>
      <c r="S699" t="str">
        <f t="shared" si="96"/>
        <v>Jaipur</v>
      </c>
      <c r="T699">
        <f t="shared" si="97"/>
        <v>48039</v>
      </c>
      <c r="U699" t="str">
        <f t="shared" si="98"/>
        <v>OK</v>
      </c>
    </row>
    <row r="700" spans="1:21" x14ac:dyDescent="0.3">
      <c r="A700" t="s">
        <v>935</v>
      </c>
      <c r="B700" s="3">
        <v>45866</v>
      </c>
      <c r="C700" t="s">
        <v>71</v>
      </c>
      <c r="D700" t="s">
        <v>43</v>
      </c>
      <c r="E700" t="s">
        <v>44</v>
      </c>
      <c r="F700" t="s">
        <v>58</v>
      </c>
      <c r="G700" t="s">
        <v>126</v>
      </c>
      <c r="H700">
        <v>2</v>
      </c>
      <c r="I700">
        <v>340</v>
      </c>
      <c r="J700">
        <v>0.2</v>
      </c>
      <c r="K700">
        <v>544</v>
      </c>
      <c r="L700">
        <v>66.36</v>
      </c>
      <c r="M700" t="str">
        <f t="shared" si="90"/>
        <v>Phone Holder</v>
      </c>
      <c r="N700" t="str">
        <f t="shared" si="91"/>
        <v>Delhi</v>
      </c>
      <c r="O700" t="str">
        <f t="shared" si="92"/>
        <v>North</v>
      </c>
      <c r="P700" t="str">
        <f t="shared" si="93"/>
        <v>Accessories</v>
      </c>
      <c r="Q700" t="str">
        <f t="shared" si="94"/>
        <v>Accessories</v>
      </c>
      <c r="R700" t="str">
        <f t="shared" si="95"/>
        <v>North</v>
      </c>
      <c r="S700" t="str">
        <f t="shared" si="96"/>
        <v>Delhi</v>
      </c>
      <c r="T700">
        <f t="shared" si="97"/>
        <v>544</v>
      </c>
      <c r="U700" t="str">
        <f t="shared" si="98"/>
        <v>OK</v>
      </c>
    </row>
    <row r="701" spans="1:21" x14ac:dyDescent="0.3">
      <c r="A701" t="s">
        <v>936</v>
      </c>
      <c r="B701" s="3">
        <v>45958</v>
      </c>
      <c r="C701" t="s">
        <v>49</v>
      </c>
      <c r="D701" t="s">
        <v>88</v>
      </c>
      <c r="E701" t="s">
        <v>73</v>
      </c>
      <c r="F701" t="s">
        <v>21</v>
      </c>
      <c r="G701" t="s">
        <v>55</v>
      </c>
      <c r="H701">
        <v>4</v>
      </c>
      <c r="I701">
        <v>206</v>
      </c>
      <c r="J701">
        <v>0</v>
      </c>
      <c r="K701">
        <v>824</v>
      </c>
      <c r="L701">
        <v>191</v>
      </c>
      <c r="M701" t="str">
        <f t="shared" si="90"/>
        <v>Stapler</v>
      </c>
      <c r="N701" t="str">
        <f t="shared" si="91"/>
        <v>Pune</v>
      </c>
      <c r="O701" t="str">
        <f t="shared" si="92"/>
        <v>West</v>
      </c>
      <c r="P701" t="str">
        <f t="shared" si="93"/>
        <v>Office Supplies</v>
      </c>
      <c r="Q701" t="str">
        <f t="shared" si="94"/>
        <v>Office Supplies</v>
      </c>
      <c r="R701" t="str">
        <f t="shared" si="95"/>
        <v>West</v>
      </c>
      <c r="S701" t="str">
        <f t="shared" si="96"/>
        <v>Pune</v>
      </c>
      <c r="T701">
        <f t="shared" si="97"/>
        <v>824</v>
      </c>
      <c r="U701" t="str">
        <f t="shared" si="98"/>
        <v>OK</v>
      </c>
    </row>
    <row r="702" spans="1:21" x14ac:dyDescent="0.3">
      <c r="A702" t="s">
        <v>937</v>
      </c>
      <c r="B702" s="3">
        <v>45864</v>
      </c>
      <c r="C702" t="s">
        <v>617</v>
      </c>
      <c r="D702" t="s">
        <v>50</v>
      </c>
      <c r="E702" t="s">
        <v>51</v>
      </c>
      <c r="F702" t="s">
        <v>58</v>
      </c>
      <c r="G702" t="s">
        <v>59</v>
      </c>
      <c r="H702">
        <v>1</v>
      </c>
      <c r="I702">
        <v>2645</v>
      </c>
      <c r="J702">
        <v>0.1</v>
      </c>
      <c r="K702">
        <v>2380.5</v>
      </c>
      <c r="L702">
        <v>549.80999999999995</v>
      </c>
      <c r="M702" t="str">
        <f t="shared" si="90"/>
        <v>Keyboard</v>
      </c>
      <c r="N702" t="str">
        <f t="shared" si="91"/>
        <v>Chandigarh</v>
      </c>
      <c r="O702" t="str">
        <f t="shared" si="92"/>
        <v>North</v>
      </c>
      <c r="P702" t="str">
        <f t="shared" si="93"/>
        <v>Electronics</v>
      </c>
      <c r="Q702" t="str">
        <f t="shared" si="94"/>
        <v>Electronics</v>
      </c>
      <c r="R702" t="str">
        <f t="shared" si="95"/>
        <v>North</v>
      </c>
      <c r="S702" t="str">
        <f t="shared" si="96"/>
        <v>Chandigarh</v>
      </c>
      <c r="T702">
        <f t="shared" si="97"/>
        <v>2380.5</v>
      </c>
      <c r="U702" t="str">
        <f t="shared" si="98"/>
        <v>OK</v>
      </c>
    </row>
    <row r="703" spans="1:21" x14ac:dyDescent="0.3">
      <c r="A703" t="s">
        <v>938</v>
      </c>
      <c r="B703" s="3">
        <v>45732</v>
      </c>
      <c r="C703" t="s">
        <v>412</v>
      </c>
      <c r="D703" t="s">
        <v>97</v>
      </c>
      <c r="E703" t="s">
        <v>44</v>
      </c>
      <c r="F703" t="s">
        <v>16</v>
      </c>
      <c r="G703" t="s">
        <v>52</v>
      </c>
      <c r="H703">
        <v>1</v>
      </c>
      <c r="I703">
        <v>530</v>
      </c>
      <c r="J703">
        <v>0.05</v>
      </c>
      <c r="K703">
        <v>503.5</v>
      </c>
      <c r="L703">
        <v>97.13</v>
      </c>
      <c r="M703" t="str">
        <f t="shared" si="90"/>
        <v>USB Cable</v>
      </c>
      <c r="N703" t="str">
        <f t="shared" si="91"/>
        <v>Kolkata</v>
      </c>
      <c r="O703" t="str">
        <f t="shared" si="92"/>
        <v>East</v>
      </c>
      <c r="P703" t="str">
        <f t="shared" si="93"/>
        <v>Accessories</v>
      </c>
      <c r="Q703" t="str">
        <f t="shared" si="94"/>
        <v>Accessories</v>
      </c>
      <c r="R703" t="str">
        <f t="shared" si="95"/>
        <v>East</v>
      </c>
      <c r="S703" t="str">
        <f t="shared" si="96"/>
        <v>Kolkata</v>
      </c>
      <c r="T703">
        <f t="shared" si="97"/>
        <v>503.5</v>
      </c>
      <c r="U703" t="str">
        <f t="shared" si="98"/>
        <v>OK</v>
      </c>
    </row>
    <row r="704" spans="1:21" x14ac:dyDescent="0.3">
      <c r="A704" t="s">
        <v>939</v>
      </c>
      <c r="B704" s="3">
        <v>45683</v>
      </c>
      <c r="C704" t="s">
        <v>75</v>
      </c>
      <c r="D704" t="s">
        <v>20</v>
      </c>
      <c r="E704" t="s">
        <v>15</v>
      </c>
      <c r="F704" t="s">
        <v>16</v>
      </c>
      <c r="G704" t="s">
        <v>52</v>
      </c>
      <c r="H704">
        <v>1</v>
      </c>
      <c r="I704">
        <v>15420</v>
      </c>
      <c r="J704">
        <v>0</v>
      </c>
      <c r="K704">
        <v>15420</v>
      </c>
      <c r="L704">
        <v>3126.2</v>
      </c>
      <c r="M704" t="str">
        <f t="shared" si="90"/>
        <v>Filing Cabinet</v>
      </c>
      <c r="N704" t="str">
        <f t="shared" si="91"/>
        <v>Kolkata</v>
      </c>
      <c r="O704" t="str">
        <f t="shared" si="92"/>
        <v>East</v>
      </c>
      <c r="P704" t="str">
        <f t="shared" si="93"/>
        <v>Furniture</v>
      </c>
      <c r="Q704" t="str">
        <f t="shared" si="94"/>
        <v>Furniture</v>
      </c>
      <c r="R704" t="str">
        <f t="shared" si="95"/>
        <v>East</v>
      </c>
      <c r="S704" t="str">
        <f t="shared" si="96"/>
        <v>Kolkata</v>
      </c>
      <c r="T704">
        <f t="shared" si="97"/>
        <v>15420</v>
      </c>
      <c r="U704" t="str">
        <f t="shared" si="98"/>
        <v>OK</v>
      </c>
    </row>
    <row r="705" spans="1:21" x14ac:dyDescent="0.3">
      <c r="A705" t="s">
        <v>940</v>
      </c>
      <c r="B705" s="3">
        <v>45658</v>
      </c>
      <c r="C705" t="s">
        <v>156</v>
      </c>
      <c r="D705" t="s">
        <v>68</v>
      </c>
      <c r="E705" t="s">
        <v>44</v>
      </c>
      <c r="F705" t="s">
        <v>58</v>
      </c>
      <c r="G705" t="s">
        <v>126</v>
      </c>
      <c r="H705">
        <v>2</v>
      </c>
      <c r="I705">
        <v>2240</v>
      </c>
      <c r="J705">
        <v>0.15</v>
      </c>
      <c r="K705">
        <v>3808</v>
      </c>
      <c r="L705">
        <v>560.29999999999995</v>
      </c>
      <c r="M705" t="str">
        <f t="shared" si="90"/>
        <v>Webcam</v>
      </c>
      <c r="N705" t="str">
        <f t="shared" si="91"/>
        <v>Delhi</v>
      </c>
      <c r="O705" t="str">
        <f t="shared" si="92"/>
        <v>North</v>
      </c>
      <c r="P705" t="str">
        <f t="shared" si="93"/>
        <v>Accessories</v>
      </c>
      <c r="Q705" t="str">
        <f t="shared" si="94"/>
        <v>Accessories</v>
      </c>
      <c r="R705" t="str">
        <f t="shared" si="95"/>
        <v>North</v>
      </c>
      <c r="S705" t="str">
        <f t="shared" si="96"/>
        <v>Delhi</v>
      </c>
      <c r="T705">
        <f t="shared" si="97"/>
        <v>3808</v>
      </c>
      <c r="U705" t="str">
        <f t="shared" si="98"/>
        <v>OK</v>
      </c>
    </row>
    <row r="706" spans="1:21" x14ac:dyDescent="0.3">
      <c r="A706" t="s">
        <v>941</v>
      </c>
      <c r="B706" s="3">
        <v>45679</v>
      </c>
      <c r="C706" t="s">
        <v>503</v>
      </c>
      <c r="D706" t="s">
        <v>14</v>
      </c>
      <c r="E706" t="s">
        <v>15</v>
      </c>
      <c r="F706" t="s">
        <v>58</v>
      </c>
      <c r="G706" t="s">
        <v>59</v>
      </c>
      <c r="H706">
        <v>2</v>
      </c>
      <c r="I706">
        <v>14804</v>
      </c>
      <c r="J706">
        <v>0.15</v>
      </c>
      <c r="K706">
        <v>25166.799999999999</v>
      </c>
      <c r="L706">
        <v>4756.4399999999996</v>
      </c>
      <c r="M706" t="str">
        <f t="shared" si="90"/>
        <v>Office Chair</v>
      </c>
      <c r="N706" t="str">
        <f t="shared" si="91"/>
        <v>Chandigarh</v>
      </c>
      <c r="O706" t="str">
        <f t="shared" si="92"/>
        <v>North</v>
      </c>
      <c r="P706" t="str">
        <f t="shared" si="93"/>
        <v>Furniture</v>
      </c>
      <c r="Q706" t="str">
        <f t="shared" si="94"/>
        <v>Furniture</v>
      </c>
      <c r="R706" t="str">
        <f t="shared" si="95"/>
        <v>North</v>
      </c>
      <c r="S706" t="str">
        <f t="shared" si="96"/>
        <v>Chandigarh</v>
      </c>
      <c r="T706">
        <f t="shared" si="97"/>
        <v>25166.799999999999</v>
      </c>
      <c r="U706" t="str">
        <f t="shared" si="98"/>
        <v>OK</v>
      </c>
    </row>
    <row r="707" spans="1:21" x14ac:dyDescent="0.3">
      <c r="A707" t="s">
        <v>942</v>
      </c>
      <c r="B707" s="3">
        <v>45826</v>
      </c>
      <c r="C707" t="s">
        <v>174</v>
      </c>
      <c r="D707" t="s">
        <v>97</v>
      </c>
      <c r="E707" t="s">
        <v>44</v>
      </c>
      <c r="F707" t="s">
        <v>27</v>
      </c>
      <c r="G707" t="s">
        <v>40</v>
      </c>
      <c r="H707">
        <v>1</v>
      </c>
      <c r="I707">
        <v>468</v>
      </c>
      <c r="J707">
        <v>0</v>
      </c>
      <c r="K707">
        <v>468</v>
      </c>
      <c r="L707">
        <v>42.56</v>
      </c>
      <c r="M707" t="str">
        <f t="shared" ref="M707:M770" si="99">TRIM(D707)</f>
        <v>USB Cable</v>
      </c>
      <c r="N707" t="str">
        <f t="shared" ref="N707:N770" si="100">TRIM(G707)</f>
        <v>Chennai</v>
      </c>
      <c r="O707" t="str">
        <f t="shared" ref="O707:O770" si="101">TRIM(F:F)</f>
        <v>South</v>
      </c>
      <c r="P707" t="str">
        <f t="shared" ref="P707:P770" si="102">TRIM(E707)</f>
        <v>Accessories</v>
      </c>
      <c r="Q707" t="str">
        <f t="shared" ref="Q707:Q770" si="103">PROPER(E707)</f>
        <v>Accessories</v>
      </c>
      <c r="R707" t="str">
        <f t="shared" ref="R707:R770" si="104">PROPER(F707)</f>
        <v>South</v>
      </c>
      <c r="S707" t="str">
        <f t="shared" ref="S707:S770" si="105">PROPER(G707)</f>
        <v>Chennai</v>
      </c>
      <c r="T707">
        <f t="shared" ref="T707:T770" si="106">H707*I707*(1-J707)</f>
        <v>468</v>
      </c>
      <c r="U707" t="str">
        <f t="shared" ref="U707:U770" si="107">IF(ROUND(K707,2)=ROUND(T707,2),"OK","CHECK")</f>
        <v>OK</v>
      </c>
    </row>
    <row r="708" spans="1:21" x14ac:dyDescent="0.3">
      <c r="A708" t="s">
        <v>943</v>
      </c>
      <c r="B708" s="3">
        <v>45993</v>
      </c>
      <c r="C708" t="s">
        <v>37</v>
      </c>
      <c r="D708" t="s">
        <v>92</v>
      </c>
      <c r="E708" t="s">
        <v>51</v>
      </c>
      <c r="F708" t="s">
        <v>58</v>
      </c>
      <c r="G708" t="s">
        <v>126</v>
      </c>
      <c r="H708">
        <v>2</v>
      </c>
      <c r="I708">
        <v>11249</v>
      </c>
      <c r="J708">
        <v>0.05</v>
      </c>
      <c r="K708">
        <v>21373.1</v>
      </c>
      <c r="L708">
        <v>3170.69</v>
      </c>
      <c r="M708" t="str">
        <f t="shared" si="99"/>
        <v>Monitor</v>
      </c>
      <c r="N708" t="str">
        <f t="shared" si="100"/>
        <v>Delhi</v>
      </c>
      <c r="O708" t="str">
        <f t="shared" si="101"/>
        <v>North</v>
      </c>
      <c r="P708" t="str">
        <f t="shared" si="102"/>
        <v>Electronics</v>
      </c>
      <c r="Q708" t="str">
        <f t="shared" si="103"/>
        <v>Electronics</v>
      </c>
      <c r="R708" t="str">
        <f t="shared" si="104"/>
        <v>North</v>
      </c>
      <c r="S708" t="str">
        <f t="shared" si="105"/>
        <v>Delhi</v>
      </c>
      <c r="T708">
        <f t="shared" si="106"/>
        <v>21373.1</v>
      </c>
      <c r="U708" t="str">
        <f t="shared" si="107"/>
        <v>OK</v>
      </c>
    </row>
    <row r="709" spans="1:21" x14ac:dyDescent="0.3">
      <c r="A709" t="s">
        <v>944</v>
      </c>
      <c r="B709" s="3">
        <v>46010</v>
      </c>
      <c r="C709" t="s">
        <v>451</v>
      </c>
      <c r="D709" t="s">
        <v>307</v>
      </c>
      <c r="E709" t="s">
        <v>73</v>
      </c>
      <c r="F709" t="s">
        <v>27</v>
      </c>
      <c r="G709" t="s">
        <v>31</v>
      </c>
      <c r="H709">
        <v>5</v>
      </c>
      <c r="I709">
        <v>334</v>
      </c>
      <c r="J709">
        <v>0.05</v>
      </c>
      <c r="K709">
        <v>1586.5</v>
      </c>
      <c r="L709">
        <v>380.3</v>
      </c>
      <c r="M709" t="str">
        <f t="shared" si="99"/>
        <v>Notebook</v>
      </c>
      <c r="N709" t="str">
        <f t="shared" si="100"/>
        <v>Hyderabad</v>
      </c>
      <c r="O709" t="str">
        <f t="shared" si="101"/>
        <v>South</v>
      </c>
      <c r="P709" t="str">
        <f t="shared" si="102"/>
        <v>Office Supplies</v>
      </c>
      <c r="Q709" t="str">
        <f t="shared" si="103"/>
        <v>Office Supplies</v>
      </c>
      <c r="R709" t="str">
        <f t="shared" si="104"/>
        <v>South</v>
      </c>
      <c r="S709" t="str">
        <f t="shared" si="105"/>
        <v>Hyderabad</v>
      </c>
      <c r="T709">
        <f t="shared" si="106"/>
        <v>1586.5</v>
      </c>
      <c r="U709" t="str">
        <f t="shared" si="107"/>
        <v>OK</v>
      </c>
    </row>
    <row r="710" spans="1:21" x14ac:dyDescent="0.3">
      <c r="A710" t="s">
        <v>945</v>
      </c>
      <c r="B710" s="3">
        <v>45927</v>
      </c>
      <c r="C710" t="s">
        <v>363</v>
      </c>
      <c r="D710" t="s">
        <v>83</v>
      </c>
      <c r="E710" t="s">
        <v>73</v>
      </c>
      <c r="F710" t="s">
        <v>27</v>
      </c>
      <c r="G710" t="s">
        <v>28</v>
      </c>
      <c r="H710">
        <v>2</v>
      </c>
      <c r="I710">
        <v>452</v>
      </c>
      <c r="J710">
        <v>0.15</v>
      </c>
      <c r="K710">
        <v>768.4</v>
      </c>
      <c r="L710">
        <v>205.34</v>
      </c>
      <c r="M710" t="str">
        <f t="shared" si="99"/>
        <v>Printer Paper</v>
      </c>
      <c r="N710" t="str">
        <f t="shared" si="100"/>
        <v>Bengaluru</v>
      </c>
      <c r="O710" t="str">
        <f t="shared" si="101"/>
        <v>South</v>
      </c>
      <c r="P710" t="str">
        <f t="shared" si="102"/>
        <v>Office Supplies</v>
      </c>
      <c r="Q710" t="str">
        <f t="shared" si="103"/>
        <v>Office Supplies</v>
      </c>
      <c r="R710" t="str">
        <f t="shared" si="104"/>
        <v>South</v>
      </c>
      <c r="S710" t="str">
        <f t="shared" si="105"/>
        <v>Bengaluru</v>
      </c>
      <c r="T710">
        <f t="shared" si="106"/>
        <v>768.4</v>
      </c>
      <c r="U710" t="str">
        <f t="shared" si="107"/>
        <v>OK</v>
      </c>
    </row>
    <row r="711" spans="1:21" x14ac:dyDescent="0.3">
      <c r="A711" t="s">
        <v>946</v>
      </c>
      <c r="B711" s="3">
        <v>45794</v>
      </c>
      <c r="C711" t="s">
        <v>248</v>
      </c>
      <c r="D711" t="s">
        <v>97</v>
      </c>
      <c r="E711" t="s">
        <v>44</v>
      </c>
      <c r="F711" t="s">
        <v>58</v>
      </c>
      <c r="G711" t="s">
        <v>69</v>
      </c>
      <c r="H711">
        <v>2</v>
      </c>
      <c r="I711">
        <v>700</v>
      </c>
      <c r="J711">
        <v>0.15</v>
      </c>
      <c r="K711">
        <v>1190</v>
      </c>
      <c r="L711">
        <v>159.80000000000001</v>
      </c>
      <c r="M711" t="str">
        <f t="shared" si="99"/>
        <v>USB Cable</v>
      </c>
      <c r="N711" t="str">
        <f t="shared" si="100"/>
        <v>Jaipur</v>
      </c>
      <c r="O711" t="str">
        <f t="shared" si="101"/>
        <v>North</v>
      </c>
      <c r="P711" t="str">
        <f t="shared" si="102"/>
        <v>Accessories</v>
      </c>
      <c r="Q711" t="str">
        <f t="shared" si="103"/>
        <v>Accessories</v>
      </c>
      <c r="R711" t="str">
        <f t="shared" si="104"/>
        <v>North</v>
      </c>
      <c r="S711" t="str">
        <f t="shared" si="105"/>
        <v>Jaipur</v>
      </c>
      <c r="T711">
        <f t="shared" si="106"/>
        <v>1190</v>
      </c>
      <c r="U711" t="str">
        <f t="shared" si="107"/>
        <v>OK</v>
      </c>
    </row>
    <row r="712" spans="1:21" x14ac:dyDescent="0.3">
      <c r="A712" t="s">
        <v>947</v>
      </c>
      <c r="B712" s="3">
        <v>45777</v>
      </c>
      <c r="C712" t="s">
        <v>139</v>
      </c>
      <c r="D712" t="s">
        <v>25</v>
      </c>
      <c r="E712" t="s">
        <v>26</v>
      </c>
      <c r="F712" t="s">
        <v>58</v>
      </c>
      <c r="G712" t="s">
        <v>59</v>
      </c>
      <c r="H712">
        <v>3</v>
      </c>
      <c r="I712">
        <v>14167</v>
      </c>
      <c r="J712">
        <v>0.05</v>
      </c>
      <c r="K712">
        <v>40375.949999999997</v>
      </c>
      <c r="L712">
        <v>6926.44</v>
      </c>
      <c r="M712" t="str">
        <f t="shared" si="99"/>
        <v>Microwave</v>
      </c>
      <c r="N712" t="str">
        <f t="shared" si="100"/>
        <v>Chandigarh</v>
      </c>
      <c r="O712" t="str">
        <f t="shared" si="101"/>
        <v>North</v>
      </c>
      <c r="P712" t="str">
        <f t="shared" si="102"/>
        <v>Home Appliances</v>
      </c>
      <c r="Q712" t="str">
        <f t="shared" si="103"/>
        <v>Home Appliances</v>
      </c>
      <c r="R712" t="str">
        <f t="shared" si="104"/>
        <v>North</v>
      </c>
      <c r="S712" t="str">
        <f t="shared" si="105"/>
        <v>Chandigarh</v>
      </c>
      <c r="T712">
        <f t="shared" si="106"/>
        <v>40375.949999999997</v>
      </c>
      <c r="U712" t="str">
        <f t="shared" si="107"/>
        <v>OK</v>
      </c>
    </row>
    <row r="713" spans="1:21" x14ac:dyDescent="0.3">
      <c r="A713" t="s">
        <v>948</v>
      </c>
      <c r="B713" s="3">
        <v>45771</v>
      </c>
      <c r="C713" t="s">
        <v>287</v>
      </c>
      <c r="D713" t="s">
        <v>43</v>
      </c>
      <c r="E713" t="s">
        <v>44</v>
      </c>
      <c r="F713" t="s">
        <v>16</v>
      </c>
      <c r="G713" t="s">
        <v>104</v>
      </c>
      <c r="H713">
        <v>2</v>
      </c>
      <c r="I713">
        <v>429</v>
      </c>
      <c r="J713">
        <v>0</v>
      </c>
      <c r="K713">
        <v>858</v>
      </c>
      <c r="L713">
        <v>224.72</v>
      </c>
      <c r="M713" t="str">
        <f t="shared" si="99"/>
        <v>Phone Holder</v>
      </c>
      <c r="N713" t="str">
        <f t="shared" si="100"/>
        <v>Bhubaneswar</v>
      </c>
      <c r="O713" t="str">
        <f t="shared" si="101"/>
        <v>East</v>
      </c>
      <c r="P713" t="str">
        <f t="shared" si="102"/>
        <v>Accessories</v>
      </c>
      <c r="Q713" t="str">
        <f t="shared" si="103"/>
        <v>Accessories</v>
      </c>
      <c r="R713" t="str">
        <f t="shared" si="104"/>
        <v>East</v>
      </c>
      <c r="S713" t="str">
        <f t="shared" si="105"/>
        <v>Bhubaneswar</v>
      </c>
      <c r="T713">
        <f t="shared" si="106"/>
        <v>858</v>
      </c>
      <c r="U713" t="str">
        <f t="shared" si="107"/>
        <v>OK</v>
      </c>
    </row>
    <row r="714" spans="1:21" x14ac:dyDescent="0.3">
      <c r="A714" t="s">
        <v>949</v>
      </c>
      <c r="B714" s="3">
        <v>45853</v>
      </c>
      <c r="C714" t="s">
        <v>255</v>
      </c>
      <c r="D714" t="s">
        <v>83</v>
      </c>
      <c r="E714" t="s">
        <v>73</v>
      </c>
      <c r="F714" t="s">
        <v>58</v>
      </c>
      <c r="G714" t="s">
        <v>69</v>
      </c>
      <c r="H714">
        <v>1</v>
      </c>
      <c r="I714">
        <v>691</v>
      </c>
      <c r="J714">
        <v>0.05</v>
      </c>
      <c r="K714">
        <v>656.45</v>
      </c>
      <c r="L714">
        <v>63.54</v>
      </c>
      <c r="M714" t="str">
        <f t="shared" si="99"/>
        <v>Printer Paper</v>
      </c>
      <c r="N714" t="str">
        <f t="shared" si="100"/>
        <v>Jaipur</v>
      </c>
      <c r="O714" t="str">
        <f t="shared" si="101"/>
        <v>North</v>
      </c>
      <c r="P714" t="str">
        <f t="shared" si="102"/>
        <v>Office Supplies</v>
      </c>
      <c r="Q714" t="str">
        <f t="shared" si="103"/>
        <v>Office Supplies</v>
      </c>
      <c r="R714" t="str">
        <f t="shared" si="104"/>
        <v>North</v>
      </c>
      <c r="S714" t="str">
        <f t="shared" si="105"/>
        <v>Jaipur</v>
      </c>
      <c r="T714">
        <f t="shared" si="106"/>
        <v>656.44999999999993</v>
      </c>
      <c r="U714" t="str">
        <f t="shared" si="107"/>
        <v>OK</v>
      </c>
    </row>
    <row r="715" spans="1:21" x14ac:dyDescent="0.3">
      <c r="A715" t="s">
        <v>950</v>
      </c>
      <c r="B715" s="3">
        <v>45702</v>
      </c>
      <c r="C715" t="s">
        <v>248</v>
      </c>
      <c r="D715" t="s">
        <v>307</v>
      </c>
      <c r="E715" t="s">
        <v>73</v>
      </c>
      <c r="F715" t="s">
        <v>58</v>
      </c>
      <c r="G715" t="s">
        <v>59</v>
      </c>
      <c r="H715">
        <v>5</v>
      </c>
      <c r="I715">
        <v>141</v>
      </c>
      <c r="J715">
        <v>0.05</v>
      </c>
      <c r="K715">
        <v>669.75</v>
      </c>
      <c r="L715">
        <v>67</v>
      </c>
      <c r="M715" t="str">
        <f t="shared" si="99"/>
        <v>Notebook</v>
      </c>
      <c r="N715" t="str">
        <f t="shared" si="100"/>
        <v>Chandigarh</v>
      </c>
      <c r="O715" t="str">
        <f t="shared" si="101"/>
        <v>North</v>
      </c>
      <c r="P715" t="str">
        <f t="shared" si="102"/>
        <v>Office Supplies</v>
      </c>
      <c r="Q715" t="str">
        <f t="shared" si="103"/>
        <v>Office Supplies</v>
      </c>
      <c r="R715" t="str">
        <f t="shared" si="104"/>
        <v>North</v>
      </c>
      <c r="S715" t="str">
        <f t="shared" si="105"/>
        <v>Chandigarh</v>
      </c>
      <c r="T715">
        <f t="shared" si="106"/>
        <v>669.75</v>
      </c>
      <c r="U715" t="str">
        <f t="shared" si="107"/>
        <v>OK</v>
      </c>
    </row>
    <row r="716" spans="1:21" x14ac:dyDescent="0.3">
      <c r="A716" t="s">
        <v>951</v>
      </c>
      <c r="B716" s="3">
        <v>45719</v>
      </c>
      <c r="C716" t="s">
        <v>382</v>
      </c>
      <c r="D716" t="s">
        <v>83</v>
      </c>
      <c r="E716" t="s">
        <v>73</v>
      </c>
      <c r="F716" t="s">
        <v>58</v>
      </c>
      <c r="G716" t="s">
        <v>69</v>
      </c>
      <c r="H716">
        <v>1</v>
      </c>
      <c r="I716">
        <v>584</v>
      </c>
      <c r="J716">
        <v>0.1</v>
      </c>
      <c r="K716">
        <v>525.6</v>
      </c>
      <c r="L716">
        <v>137.30000000000001</v>
      </c>
      <c r="M716" t="str">
        <f t="shared" si="99"/>
        <v>Printer Paper</v>
      </c>
      <c r="N716" t="str">
        <f t="shared" si="100"/>
        <v>Jaipur</v>
      </c>
      <c r="O716" t="str">
        <f t="shared" si="101"/>
        <v>North</v>
      </c>
      <c r="P716" t="str">
        <f t="shared" si="102"/>
        <v>Office Supplies</v>
      </c>
      <c r="Q716" t="str">
        <f t="shared" si="103"/>
        <v>Office Supplies</v>
      </c>
      <c r="R716" t="str">
        <f t="shared" si="104"/>
        <v>North</v>
      </c>
      <c r="S716" t="str">
        <f t="shared" si="105"/>
        <v>Jaipur</v>
      </c>
      <c r="T716">
        <f t="shared" si="106"/>
        <v>525.6</v>
      </c>
      <c r="U716" t="str">
        <f t="shared" si="107"/>
        <v>OK</v>
      </c>
    </row>
    <row r="717" spans="1:21" x14ac:dyDescent="0.3">
      <c r="A717" t="s">
        <v>952</v>
      </c>
      <c r="B717" s="3">
        <v>45903</v>
      </c>
      <c r="C717" t="s">
        <v>485</v>
      </c>
      <c r="D717" t="s">
        <v>97</v>
      </c>
      <c r="E717" t="s">
        <v>44</v>
      </c>
      <c r="F717" t="s">
        <v>27</v>
      </c>
      <c r="G717" t="s">
        <v>28</v>
      </c>
      <c r="H717">
        <v>1</v>
      </c>
      <c r="I717">
        <v>364</v>
      </c>
      <c r="J717">
        <v>0.1</v>
      </c>
      <c r="K717">
        <v>327.60000000000002</v>
      </c>
      <c r="L717">
        <v>87.06</v>
      </c>
      <c r="M717" t="str">
        <f t="shared" si="99"/>
        <v>USB Cable</v>
      </c>
      <c r="N717" t="str">
        <f t="shared" si="100"/>
        <v>Bengaluru</v>
      </c>
      <c r="O717" t="str">
        <f t="shared" si="101"/>
        <v>South</v>
      </c>
      <c r="P717" t="str">
        <f t="shared" si="102"/>
        <v>Accessories</v>
      </c>
      <c r="Q717" t="str">
        <f t="shared" si="103"/>
        <v>Accessories</v>
      </c>
      <c r="R717" t="str">
        <f t="shared" si="104"/>
        <v>South</v>
      </c>
      <c r="S717" t="str">
        <f t="shared" si="105"/>
        <v>Bengaluru</v>
      </c>
      <c r="T717">
        <f t="shared" si="106"/>
        <v>327.60000000000002</v>
      </c>
      <c r="U717" t="str">
        <f t="shared" si="107"/>
        <v>OK</v>
      </c>
    </row>
    <row r="718" spans="1:21" x14ac:dyDescent="0.3">
      <c r="A718" t="s">
        <v>953</v>
      </c>
      <c r="B718" s="3">
        <v>45913</v>
      </c>
      <c r="C718" t="s">
        <v>172</v>
      </c>
      <c r="D718" t="s">
        <v>68</v>
      </c>
      <c r="E718" t="s">
        <v>44</v>
      </c>
      <c r="F718" t="s">
        <v>27</v>
      </c>
      <c r="G718" t="s">
        <v>40</v>
      </c>
      <c r="H718">
        <v>5</v>
      </c>
      <c r="I718">
        <v>4037</v>
      </c>
      <c r="J718">
        <v>0.15</v>
      </c>
      <c r="K718">
        <v>17157.25</v>
      </c>
      <c r="L718">
        <v>3088.42</v>
      </c>
      <c r="M718" t="str">
        <f t="shared" si="99"/>
        <v>Webcam</v>
      </c>
      <c r="N718" t="str">
        <f t="shared" si="100"/>
        <v>Chennai</v>
      </c>
      <c r="O718" t="str">
        <f t="shared" si="101"/>
        <v>South</v>
      </c>
      <c r="P718" t="str">
        <f t="shared" si="102"/>
        <v>Accessories</v>
      </c>
      <c r="Q718" t="str">
        <f t="shared" si="103"/>
        <v>Accessories</v>
      </c>
      <c r="R718" t="str">
        <f t="shared" si="104"/>
        <v>South</v>
      </c>
      <c r="S718" t="str">
        <f t="shared" si="105"/>
        <v>Chennai</v>
      </c>
      <c r="T718">
        <f t="shared" si="106"/>
        <v>17157.25</v>
      </c>
      <c r="U718" t="str">
        <f t="shared" si="107"/>
        <v>OK</v>
      </c>
    </row>
    <row r="719" spans="1:21" x14ac:dyDescent="0.3">
      <c r="A719" t="s">
        <v>954</v>
      </c>
      <c r="B719" s="3">
        <v>45970</v>
      </c>
      <c r="C719" t="s">
        <v>371</v>
      </c>
      <c r="D719" t="s">
        <v>47</v>
      </c>
      <c r="E719" t="s">
        <v>26</v>
      </c>
      <c r="F719" t="s">
        <v>16</v>
      </c>
      <c r="G719" t="s">
        <v>104</v>
      </c>
      <c r="H719">
        <v>3</v>
      </c>
      <c r="I719">
        <v>13481</v>
      </c>
      <c r="J719">
        <v>0.15</v>
      </c>
      <c r="K719">
        <v>34376.550000000003</v>
      </c>
      <c r="L719">
        <v>6843.79</v>
      </c>
      <c r="M719" t="str">
        <f t="shared" si="99"/>
        <v>Air Purifier</v>
      </c>
      <c r="N719" t="str">
        <f t="shared" si="100"/>
        <v>Bhubaneswar</v>
      </c>
      <c r="O719" t="str">
        <f t="shared" si="101"/>
        <v>East</v>
      </c>
      <c r="P719" t="str">
        <f t="shared" si="102"/>
        <v>Home Appliances</v>
      </c>
      <c r="Q719" t="str">
        <f t="shared" si="103"/>
        <v>Home Appliances</v>
      </c>
      <c r="R719" t="str">
        <f t="shared" si="104"/>
        <v>East</v>
      </c>
      <c r="S719" t="str">
        <f t="shared" si="105"/>
        <v>Bhubaneswar</v>
      </c>
      <c r="T719">
        <f t="shared" si="106"/>
        <v>34376.549999999996</v>
      </c>
      <c r="U719" t="str">
        <f t="shared" si="107"/>
        <v>OK</v>
      </c>
    </row>
    <row r="720" spans="1:21" x14ac:dyDescent="0.3">
      <c r="A720" t="s">
        <v>955</v>
      </c>
      <c r="B720" s="3">
        <v>46016</v>
      </c>
      <c r="C720" t="s">
        <v>358</v>
      </c>
      <c r="D720" t="s">
        <v>72</v>
      </c>
      <c r="E720" t="s">
        <v>73</v>
      </c>
      <c r="F720" t="s">
        <v>27</v>
      </c>
      <c r="G720" t="s">
        <v>31</v>
      </c>
      <c r="H720">
        <v>4</v>
      </c>
      <c r="I720">
        <v>397</v>
      </c>
      <c r="J720">
        <v>0.1</v>
      </c>
      <c r="K720">
        <v>1429.2</v>
      </c>
      <c r="L720">
        <v>122.57</v>
      </c>
      <c r="M720" t="str">
        <f t="shared" si="99"/>
        <v>Desk Organizer</v>
      </c>
      <c r="N720" t="str">
        <f t="shared" si="100"/>
        <v>Hyderabad</v>
      </c>
      <c r="O720" t="str">
        <f t="shared" si="101"/>
        <v>South</v>
      </c>
      <c r="P720" t="str">
        <f t="shared" si="102"/>
        <v>Office Supplies</v>
      </c>
      <c r="Q720" t="str">
        <f t="shared" si="103"/>
        <v>Office Supplies</v>
      </c>
      <c r="R720" t="str">
        <f t="shared" si="104"/>
        <v>South</v>
      </c>
      <c r="S720" t="str">
        <f t="shared" si="105"/>
        <v>Hyderabad</v>
      </c>
      <c r="T720">
        <f t="shared" si="106"/>
        <v>1429.2</v>
      </c>
      <c r="U720" t="str">
        <f t="shared" si="107"/>
        <v>OK</v>
      </c>
    </row>
    <row r="721" spans="1:21" x14ac:dyDescent="0.3">
      <c r="A721" t="s">
        <v>956</v>
      </c>
      <c r="B721" s="3">
        <v>45912</v>
      </c>
      <c r="C721" t="s">
        <v>617</v>
      </c>
      <c r="D721" t="s">
        <v>202</v>
      </c>
      <c r="E721" t="s">
        <v>44</v>
      </c>
      <c r="F721" t="s">
        <v>27</v>
      </c>
      <c r="G721" t="s">
        <v>40</v>
      </c>
      <c r="H721">
        <v>1</v>
      </c>
      <c r="I721">
        <v>2517</v>
      </c>
      <c r="J721">
        <v>0.2</v>
      </c>
      <c r="K721">
        <v>2013.6</v>
      </c>
      <c r="L721">
        <v>547.33000000000004</v>
      </c>
      <c r="M721" t="str">
        <f t="shared" si="99"/>
        <v>Laptop Stand</v>
      </c>
      <c r="N721" t="str">
        <f t="shared" si="100"/>
        <v>Chennai</v>
      </c>
      <c r="O721" t="str">
        <f t="shared" si="101"/>
        <v>South</v>
      </c>
      <c r="P721" t="str">
        <f t="shared" si="102"/>
        <v>Accessories</v>
      </c>
      <c r="Q721" t="str">
        <f t="shared" si="103"/>
        <v>Accessories</v>
      </c>
      <c r="R721" t="str">
        <f t="shared" si="104"/>
        <v>South</v>
      </c>
      <c r="S721" t="str">
        <f t="shared" si="105"/>
        <v>Chennai</v>
      </c>
      <c r="T721">
        <f t="shared" si="106"/>
        <v>2013.6000000000001</v>
      </c>
      <c r="U721" t="str">
        <f t="shared" si="107"/>
        <v>OK</v>
      </c>
    </row>
    <row r="722" spans="1:21" x14ac:dyDescent="0.3">
      <c r="A722" t="s">
        <v>957</v>
      </c>
      <c r="B722" s="3">
        <v>45988</v>
      </c>
      <c r="C722" t="s">
        <v>448</v>
      </c>
      <c r="D722" t="s">
        <v>97</v>
      </c>
      <c r="E722" t="s">
        <v>44</v>
      </c>
      <c r="F722" t="s">
        <v>16</v>
      </c>
      <c r="G722" t="s">
        <v>52</v>
      </c>
      <c r="H722">
        <v>3</v>
      </c>
      <c r="I722">
        <v>387</v>
      </c>
      <c r="J722">
        <v>0</v>
      </c>
      <c r="K722">
        <v>1161</v>
      </c>
      <c r="L722">
        <v>97.52</v>
      </c>
      <c r="M722" t="str">
        <f t="shared" si="99"/>
        <v>USB Cable</v>
      </c>
      <c r="N722" t="str">
        <f t="shared" si="100"/>
        <v>Kolkata</v>
      </c>
      <c r="O722" t="str">
        <f t="shared" si="101"/>
        <v>East</v>
      </c>
      <c r="P722" t="str">
        <f t="shared" si="102"/>
        <v>Accessories</v>
      </c>
      <c r="Q722" t="str">
        <f t="shared" si="103"/>
        <v>Accessories</v>
      </c>
      <c r="R722" t="str">
        <f t="shared" si="104"/>
        <v>East</v>
      </c>
      <c r="S722" t="str">
        <f t="shared" si="105"/>
        <v>Kolkata</v>
      </c>
      <c r="T722">
        <f t="shared" si="106"/>
        <v>1161</v>
      </c>
      <c r="U722" t="str">
        <f t="shared" si="107"/>
        <v>OK</v>
      </c>
    </row>
    <row r="723" spans="1:21" x14ac:dyDescent="0.3">
      <c r="A723" t="s">
        <v>958</v>
      </c>
      <c r="B723" s="3">
        <v>45827</v>
      </c>
      <c r="C723" t="s">
        <v>244</v>
      </c>
      <c r="D723" t="s">
        <v>30</v>
      </c>
      <c r="E723" t="s">
        <v>15</v>
      </c>
      <c r="F723" t="s">
        <v>21</v>
      </c>
      <c r="G723" t="s">
        <v>55</v>
      </c>
      <c r="H723">
        <v>3</v>
      </c>
      <c r="I723">
        <v>11591</v>
      </c>
      <c r="J723">
        <v>0</v>
      </c>
      <c r="K723">
        <v>34773</v>
      </c>
      <c r="L723">
        <v>8887.83</v>
      </c>
      <c r="M723" t="str">
        <f t="shared" si="99"/>
        <v>Bookshelf</v>
      </c>
      <c r="N723" t="str">
        <f t="shared" si="100"/>
        <v>Pune</v>
      </c>
      <c r="O723" t="str">
        <f t="shared" si="101"/>
        <v>West</v>
      </c>
      <c r="P723" t="str">
        <f t="shared" si="102"/>
        <v>Furniture</v>
      </c>
      <c r="Q723" t="str">
        <f t="shared" si="103"/>
        <v>Furniture</v>
      </c>
      <c r="R723" t="str">
        <f t="shared" si="104"/>
        <v>West</v>
      </c>
      <c r="S723" t="str">
        <f t="shared" si="105"/>
        <v>Pune</v>
      </c>
      <c r="T723">
        <f t="shared" si="106"/>
        <v>34773</v>
      </c>
      <c r="U723" t="str">
        <f t="shared" si="107"/>
        <v>OK</v>
      </c>
    </row>
    <row r="724" spans="1:21" x14ac:dyDescent="0.3">
      <c r="A724" t="s">
        <v>959</v>
      </c>
      <c r="B724" s="3">
        <v>45763</v>
      </c>
      <c r="C724" t="s">
        <v>141</v>
      </c>
      <c r="D724" t="s">
        <v>92</v>
      </c>
      <c r="E724" t="s">
        <v>51</v>
      </c>
      <c r="F724" t="s">
        <v>21</v>
      </c>
      <c r="G724" t="s">
        <v>35</v>
      </c>
      <c r="H724">
        <v>2</v>
      </c>
      <c r="I724">
        <v>22279</v>
      </c>
      <c r="J724">
        <v>0.05</v>
      </c>
      <c r="K724">
        <v>42330.1</v>
      </c>
      <c r="L724">
        <v>5573.18</v>
      </c>
      <c r="M724" t="str">
        <f t="shared" si="99"/>
        <v>Monitor</v>
      </c>
      <c r="N724" t="str">
        <f t="shared" si="100"/>
        <v>Mumbai</v>
      </c>
      <c r="O724" t="str">
        <f t="shared" si="101"/>
        <v>West</v>
      </c>
      <c r="P724" t="str">
        <f t="shared" si="102"/>
        <v>Electronics</v>
      </c>
      <c r="Q724" t="str">
        <f t="shared" si="103"/>
        <v>Electronics</v>
      </c>
      <c r="R724" t="str">
        <f t="shared" si="104"/>
        <v>West</v>
      </c>
      <c r="S724" t="str">
        <f t="shared" si="105"/>
        <v>Mumbai</v>
      </c>
      <c r="T724">
        <f t="shared" si="106"/>
        <v>42330.1</v>
      </c>
      <c r="U724" t="str">
        <f t="shared" si="107"/>
        <v>OK</v>
      </c>
    </row>
    <row r="725" spans="1:21" x14ac:dyDescent="0.3">
      <c r="A725" t="s">
        <v>960</v>
      </c>
      <c r="B725" s="3">
        <v>45892</v>
      </c>
      <c r="C725" t="s">
        <v>87</v>
      </c>
      <c r="D725" t="s">
        <v>50</v>
      </c>
      <c r="E725" t="s">
        <v>51</v>
      </c>
      <c r="F725" t="s">
        <v>16</v>
      </c>
      <c r="G725" t="s">
        <v>52</v>
      </c>
      <c r="H725">
        <v>3</v>
      </c>
      <c r="I725">
        <v>950</v>
      </c>
      <c r="J725">
        <v>0.2</v>
      </c>
      <c r="K725">
        <v>2280</v>
      </c>
      <c r="L725">
        <v>502.55</v>
      </c>
      <c r="M725" t="str">
        <f t="shared" si="99"/>
        <v>Keyboard</v>
      </c>
      <c r="N725" t="str">
        <f t="shared" si="100"/>
        <v>Kolkata</v>
      </c>
      <c r="O725" t="str">
        <f t="shared" si="101"/>
        <v>East</v>
      </c>
      <c r="P725" t="str">
        <f t="shared" si="102"/>
        <v>Electronics</v>
      </c>
      <c r="Q725" t="str">
        <f t="shared" si="103"/>
        <v>Electronics</v>
      </c>
      <c r="R725" t="str">
        <f t="shared" si="104"/>
        <v>East</v>
      </c>
      <c r="S725" t="str">
        <f t="shared" si="105"/>
        <v>Kolkata</v>
      </c>
      <c r="T725">
        <f t="shared" si="106"/>
        <v>2280</v>
      </c>
      <c r="U725" t="str">
        <f t="shared" si="107"/>
        <v>OK</v>
      </c>
    </row>
    <row r="726" spans="1:21" x14ac:dyDescent="0.3">
      <c r="A726" t="s">
        <v>961</v>
      </c>
      <c r="B726" s="3">
        <v>45791</v>
      </c>
      <c r="C726" t="s">
        <v>670</v>
      </c>
      <c r="D726" t="s">
        <v>47</v>
      </c>
      <c r="E726" t="s">
        <v>26</v>
      </c>
      <c r="F726" t="s">
        <v>58</v>
      </c>
      <c r="G726" t="s">
        <v>69</v>
      </c>
      <c r="H726">
        <v>3</v>
      </c>
      <c r="I726">
        <v>13767</v>
      </c>
      <c r="J726">
        <v>0.1</v>
      </c>
      <c r="K726">
        <v>37170.9</v>
      </c>
      <c r="L726">
        <v>7331.85</v>
      </c>
      <c r="M726" t="str">
        <f t="shared" si="99"/>
        <v>Air Purifier</v>
      </c>
      <c r="N726" t="str">
        <f t="shared" si="100"/>
        <v>Jaipur</v>
      </c>
      <c r="O726" t="str">
        <f t="shared" si="101"/>
        <v>North</v>
      </c>
      <c r="P726" t="str">
        <f t="shared" si="102"/>
        <v>Home Appliances</v>
      </c>
      <c r="Q726" t="str">
        <f t="shared" si="103"/>
        <v>Home Appliances</v>
      </c>
      <c r="R726" t="str">
        <f t="shared" si="104"/>
        <v>North</v>
      </c>
      <c r="S726" t="str">
        <f t="shared" si="105"/>
        <v>Jaipur</v>
      </c>
      <c r="T726">
        <f t="shared" si="106"/>
        <v>37170.9</v>
      </c>
      <c r="U726" t="str">
        <f t="shared" si="107"/>
        <v>OK</v>
      </c>
    </row>
    <row r="727" spans="1:21" x14ac:dyDescent="0.3">
      <c r="A727" t="s">
        <v>962</v>
      </c>
      <c r="B727" s="3">
        <v>45843</v>
      </c>
      <c r="C727" t="s">
        <v>90</v>
      </c>
      <c r="D727" t="s">
        <v>47</v>
      </c>
      <c r="E727" t="s">
        <v>26</v>
      </c>
      <c r="F727" t="s">
        <v>16</v>
      </c>
      <c r="G727" t="s">
        <v>104</v>
      </c>
      <c r="H727">
        <v>4</v>
      </c>
      <c r="I727">
        <v>12031</v>
      </c>
      <c r="J727">
        <v>0.2</v>
      </c>
      <c r="K727">
        <v>38499.199999999997</v>
      </c>
      <c r="L727">
        <v>7184.38</v>
      </c>
      <c r="M727" t="str">
        <f t="shared" si="99"/>
        <v>Air Purifier</v>
      </c>
      <c r="N727" t="str">
        <f t="shared" si="100"/>
        <v>Bhubaneswar</v>
      </c>
      <c r="O727" t="str">
        <f t="shared" si="101"/>
        <v>East</v>
      </c>
      <c r="P727" t="str">
        <f t="shared" si="102"/>
        <v>Home Appliances</v>
      </c>
      <c r="Q727" t="str">
        <f t="shared" si="103"/>
        <v>Home Appliances</v>
      </c>
      <c r="R727" t="str">
        <f t="shared" si="104"/>
        <v>East</v>
      </c>
      <c r="S727" t="str">
        <f t="shared" si="105"/>
        <v>Bhubaneswar</v>
      </c>
      <c r="T727">
        <f t="shared" si="106"/>
        <v>38499.200000000004</v>
      </c>
      <c r="U727" t="str">
        <f t="shared" si="107"/>
        <v>OK</v>
      </c>
    </row>
    <row r="728" spans="1:21" x14ac:dyDescent="0.3">
      <c r="A728" t="s">
        <v>963</v>
      </c>
      <c r="B728" s="3">
        <v>45761</v>
      </c>
      <c r="C728" t="s">
        <v>792</v>
      </c>
      <c r="D728" t="s">
        <v>153</v>
      </c>
      <c r="E728" t="s">
        <v>26</v>
      </c>
      <c r="F728" t="s">
        <v>16</v>
      </c>
      <c r="G728" t="s">
        <v>17</v>
      </c>
      <c r="H728">
        <v>1</v>
      </c>
      <c r="I728">
        <v>7172</v>
      </c>
      <c r="J728">
        <v>0.05</v>
      </c>
      <c r="K728">
        <v>6813.4</v>
      </c>
      <c r="L728">
        <v>1605.22</v>
      </c>
      <c r="M728" t="str">
        <f t="shared" si="99"/>
        <v>Coffee Maker</v>
      </c>
      <c r="N728" t="str">
        <f t="shared" si="100"/>
        <v>Guwahati</v>
      </c>
      <c r="O728" t="str">
        <f t="shared" si="101"/>
        <v>East</v>
      </c>
      <c r="P728" t="str">
        <f t="shared" si="102"/>
        <v>Home Appliances</v>
      </c>
      <c r="Q728" t="str">
        <f t="shared" si="103"/>
        <v>Home Appliances</v>
      </c>
      <c r="R728" t="str">
        <f t="shared" si="104"/>
        <v>East</v>
      </c>
      <c r="S728" t="str">
        <f t="shared" si="105"/>
        <v>Guwahati</v>
      </c>
      <c r="T728">
        <f t="shared" si="106"/>
        <v>6813.4</v>
      </c>
      <c r="U728" t="str">
        <f t="shared" si="107"/>
        <v>OK</v>
      </c>
    </row>
    <row r="729" spans="1:21" x14ac:dyDescent="0.3">
      <c r="A729" t="s">
        <v>964</v>
      </c>
      <c r="B729" s="3">
        <v>45883</v>
      </c>
      <c r="C729" t="s">
        <v>965</v>
      </c>
      <c r="D729" t="s">
        <v>92</v>
      </c>
      <c r="E729" t="s">
        <v>51</v>
      </c>
      <c r="F729" t="s">
        <v>58</v>
      </c>
      <c r="G729" t="s">
        <v>126</v>
      </c>
      <c r="H729">
        <v>3</v>
      </c>
      <c r="I729">
        <v>15703</v>
      </c>
      <c r="J729">
        <v>0.1</v>
      </c>
      <c r="K729">
        <v>42398.1</v>
      </c>
      <c r="L729">
        <v>4105.9399999999996</v>
      </c>
      <c r="M729" t="str">
        <f t="shared" si="99"/>
        <v>Monitor</v>
      </c>
      <c r="N729" t="str">
        <f t="shared" si="100"/>
        <v>Delhi</v>
      </c>
      <c r="O729" t="str">
        <f t="shared" si="101"/>
        <v>North</v>
      </c>
      <c r="P729" t="str">
        <f t="shared" si="102"/>
        <v>Electronics</v>
      </c>
      <c r="Q729" t="str">
        <f t="shared" si="103"/>
        <v>Electronics</v>
      </c>
      <c r="R729" t="str">
        <f t="shared" si="104"/>
        <v>North</v>
      </c>
      <c r="S729" t="str">
        <f t="shared" si="105"/>
        <v>Delhi</v>
      </c>
      <c r="T729">
        <f t="shared" si="106"/>
        <v>42398.1</v>
      </c>
      <c r="U729" t="str">
        <f t="shared" si="107"/>
        <v>OK</v>
      </c>
    </row>
    <row r="730" spans="1:21" x14ac:dyDescent="0.3">
      <c r="A730" t="s">
        <v>966</v>
      </c>
      <c r="B730" s="3">
        <v>45980</v>
      </c>
      <c r="C730" t="s">
        <v>197</v>
      </c>
      <c r="D730" t="s">
        <v>202</v>
      </c>
      <c r="E730" t="s">
        <v>44</v>
      </c>
      <c r="F730" t="s">
        <v>21</v>
      </c>
      <c r="G730" t="s">
        <v>35</v>
      </c>
      <c r="H730">
        <v>2</v>
      </c>
      <c r="I730">
        <v>1697</v>
      </c>
      <c r="J730">
        <v>0.2</v>
      </c>
      <c r="K730">
        <v>2715.2</v>
      </c>
      <c r="L730">
        <v>740.97</v>
      </c>
      <c r="M730" t="str">
        <f t="shared" si="99"/>
        <v>Laptop Stand</v>
      </c>
      <c r="N730" t="str">
        <f t="shared" si="100"/>
        <v>Mumbai</v>
      </c>
      <c r="O730" t="str">
        <f t="shared" si="101"/>
        <v>West</v>
      </c>
      <c r="P730" t="str">
        <f t="shared" si="102"/>
        <v>Accessories</v>
      </c>
      <c r="Q730" t="str">
        <f t="shared" si="103"/>
        <v>Accessories</v>
      </c>
      <c r="R730" t="str">
        <f t="shared" si="104"/>
        <v>West</v>
      </c>
      <c r="S730" t="str">
        <f t="shared" si="105"/>
        <v>Mumbai</v>
      </c>
      <c r="T730">
        <f t="shared" si="106"/>
        <v>2715.2000000000003</v>
      </c>
      <c r="U730" t="str">
        <f t="shared" si="107"/>
        <v>OK</v>
      </c>
    </row>
    <row r="731" spans="1:21" x14ac:dyDescent="0.3">
      <c r="A731" t="s">
        <v>967</v>
      </c>
      <c r="B731" s="3">
        <v>45749</v>
      </c>
      <c r="C731" t="s">
        <v>636</v>
      </c>
      <c r="D731" t="s">
        <v>83</v>
      </c>
      <c r="E731" t="s">
        <v>73</v>
      </c>
      <c r="F731" t="s">
        <v>58</v>
      </c>
      <c r="G731" t="s">
        <v>59</v>
      </c>
      <c r="H731">
        <v>2</v>
      </c>
      <c r="I731">
        <v>830</v>
      </c>
      <c r="J731">
        <v>0</v>
      </c>
      <c r="K731">
        <v>1660</v>
      </c>
      <c r="L731">
        <v>242.66</v>
      </c>
      <c r="M731" t="str">
        <f t="shared" si="99"/>
        <v>Printer Paper</v>
      </c>
      <c r="N731" t="str">
        <f t="shared" si="100"/>
        <v>Chandigarh</v>
      </c>
      <c r="O731" t="str">
        <f t="shared" si="101"/>
        <v>North</v>
      </c>
      <c r="P731" t="str">
        <f t="shared" si="102"/>
        <v>Office Supplies</v>
      </c>
      <c r="Q731" t="str">
        <f t="shared" si="103"/>
        <v>Office Supplies</v>
      </c>
      <c r="R731" t="str">
        <f t="shared" si="104"/>
        <v>North</v>
      </c>
      <c r="S731" t="str">
        <f t="shared" si="105"/>
        <v>Chandigarh</v>
      </c>
      <c r="T731">
        <f t="shared" si="106"/>
        <v>1660</v>
      </c>
      <c r="U731" t="str">
        <f t="shared" si="107"/>
        <v>OK</v>
      </c>
    </row>
    <row r="732" spans="1:21" x14ac:dyDescent="0.3">
      <c r="A732" t="s">
        <v>968</v>
      </c>
      <c r="B732" s="3">
        <v>46013</v>
      </c>
      <c r="C732" t="s">
        <v>440</v>
      </c>
      <c r="D732" t="s">
        <v>20</v>
      </c>
      <c r="E732" t="s">
        <v>15</v>
      </c>
      <c r="F732" t="s">
        <v>16</v>
      </c>
      <c r="G732" t="s">
        <v>104</v>
      </c>
      <c r="H732">
        <v>5</v>
      </c>
      <c r="I732">
        <v>13806</v>
      </c>
      <c r="J732">
        <v>0.15</v>
      </c>
      <c r="K732">
        <v>58675.5</v>
      </c>
      <c r="L732">
        <v>12148.94</v>
      </c>
      <c r="M732" t="str">
        <f t="shared" si="99"/>
        <v>Filing Cabinet</v>
      </c>
      <c r="N732" t="str">
        <f t="shared" si="100"/>
        <v>Bhubaneswar</v>
      </c>
      <c r="O732" t="str">
        <f t="shared" si="101"/>
        <v>East</v>
      </c>
      <c r="P732" t="str">
        <f t="shared" si="102"/>
        <v>Furniture</v>
      </c>
      <c r="Q732" t="str">
        <f t="shared" si="103"/>
        <v>Furniture</v>
      </c>
      <c r="R732" t="str">
        <f t="shared" si="104"/>
        <v>East</v>
      </c>
      <c r="S732" t="str">
        <f t="shared" si="105"/>
        <v>Bhubaneswar</v>
      </c>
      <c r="T732">
        <f t="shared" si="106"/>
        <v>58675.5</v>
      </c>
      <c r="U732" t="str">
        <f t="shared" si="107"/>
        <v>OK</v>
      </c>
    </row>
    <row r="733" spans="1:21" x14ac:dyDescent="0.3">
      <c r="A733" t="s">
        <v>969</v>
      </c>
      <c r="B733" s="3">
        <v>45865</v>
      </c>
      <c r="C733" t="s">
        <v>333</v>
      </c>
      <c r="D733" t="s">
        <v>34</v>
      </c>
      <c r="E733" t="s">
        <v>15</v>
      </c>
      <c r="F733" t="s">
        <v>58</v>
      </c>
      <c r="G733" t="s">
        <v>59</v>
      </c>
      <c r="H733">
        <v>4</v>
      </c>
      <c r="I733">
        <v>24381</v>
      </c>
      <c r="J733">
        <v>0.05</v>
      </c>
      <c r="K733">
        <v>92647.8</v>
      </c>
      <c r="L733">
        <v>13684.21</v>
      </c>
      <c r="M733" t="str">
        <f t="shared" si="99"/>
        <v>Desk</v>
      </c>
      <c r="N733" t="str">
        <f t="shared" si="100"/>
        <v>Chandigarh</v>
      </c>
      <c r="O733" t="str">
        <f t="shared" si="101"/>
        <v>North</v>
      </c>
      <c r="P733" t="str">
        <f t="shared" si="102"/>
        <v>Furniture</v>
      </c>
      <c r="Q733" t="str">
        <f t="shared" si="103"/>
        <v>Furniture</v>
      </c>
      <c r="R733" t="str">
        <f t="shared" si="104"/>
        <v>North</v>
      </c>
      <c r="S733" t="str">
        <f t="shared" si="105"/>
        <v>Chandigarh</v>
      </c>
      <c r="T733">
        <f t="shared" si="106"/>
        <v>92647.8</v>
      </c>
      <c r="U733" t="str">
        <f t="shared" si="107"/>
        <v>OK</v>
      </c>
    </row>
    <row r="734" spans="1:21" x14ac:dyDescent="0.3">
      <c r="A734" t="s">
        <v>970</v>
      </c>
      <c r="B734" s="3">
        <v>45686</v>
      </c>
      <c r="C734" t="s">
        <v>134</v>
      </c>
      <c r="D734" t="s">
        <v>88</v>
      </c>
      <c r="E734" t="s">
        <v>73</v>
      </c>
      <c r="F734" t="s">
        <v>21</v>
      </c>
      <c r="G734" t="s">
        <v>55</v>
      </c>
      <c r="H734">
        <v>1</v>
      </c>
      <c r="I734">
        <v>495</v>
      </c>
      <c r="J734">
        <v>0.1</v>
      </c>
      <c r="K734">
        <v>445.5</v>
      </c>
      <c r="L734">
        <v>39.64</v>
      </c>
      <c r="M734" t="str">
        <f t="shared" si="99"/>
        <v>Stapler</v>
      </c>
      <c r="N734" t="str">
        <f t="shared" si="100"/>
        <v>Pune</v>
      </c>
      <c r="O734" t="str">
        <f t="shared" si="101"/>
        <v>West</v>
      </c>
      <c r="P734" t="str">
        <f t="shared" si="102"/>
        <v>Office Supplies</v>
      </c>
      <c r="Q734" t="str">
        <f t="shared" si="103"/>
        <v>Office Supplies</v>
      </c>
      <c r="R734" t="str">
        <f t="shared" si="104"/>
        <v>West</v>
      </c>
      <c r="S734" t="str">
        <f t="shared" si="105"/>
        <v>Pune</v>
      </c>
      <c r="T734">
        <f t="shared" si="106"/>
        <v>445.5</v>
      </c>
      <c r="U734" t="str">
        <f t="shared" si="107"/>
        <v>OK</v>
      </c>
    </row>
    <row r="735" spans="1:21" x14ac:dyDescent="0.3">
      <c r="A735" t="s">
        <v>971</v>
      </c>
      <c r="B735" s="3">
        <v>45744</v>
      </c>
      <c r="C735" t="s">
        <v>358</v>
      </c>
      <c r="D735" t="s">
        <v>25</v>
      </c>
      <c r="E735" t="s">
        <v>26</v>
      </c>
      <c r="F735" t="s">
        <v>58</v>
      </c>
      <c r="G735" t="s">
        <v>69</v>
      </c>
      <c r="H735">
        <v>1</v>
      </c>
      <c r="I735">
        <v>7389</v>
      </c>
      <c r="J735">
        <v>0.15</v>
      </c>
      <c r="K735">
        <v>6280.65</v>
      </c>
      <c r="L735">
        <v>677.43</v>
      </c>
      <c r="M735" t="str">
        <f t="shared" si="99"/>
        <v>Microwave</v>
      </c>
      <c r="N735" t="str">
        <f t="shared" si="100"/>
        <v>Jaipur</v>
      </c>
      <c r="O735" t="str">
        <f t="shared" si="101"/>
        <v>North</v>
      </c>
      <c r="P735" t="str">
        <f t="shared" si="102"/>
        <v>Home Appliances</v>
      </c>
      <c r="Q735" t="str">
        <f t="shared" si="103"/>
        <v>Home Appliances</v>
      </c>
      <c r="R735" t="str">
        <f t="shared" si="104"/>
        <v>North</v>
      </c>
      <c r="S735" t="str">
        <f t="shared" si="105"/>
        <v>Jaipur</v>
      </c>
      <c r="T735">
        <f t="shared" si="106"/>
        <v>6280.65</v>
      </c>
      <c r="U735" t="str">
        <f t="shared" si="107"/>
        <v>OK</v>
      </c>
    </row>
    <row r="736" spans="1:21" x14ac:dyDescent="0.3">
      <c r="A736" t="s">
        <v>972</v>
      </c>
      <c r="B736" s="3">
        <v>45825</v>
      </c>
      <c r="C736" t="s">
        <v>185</v>
      </c>
      <c r="D736" t="s">
        <v>47</v>
      </c>
      <c r="E736" t="s">
        <v>26</v>
      </c>
      <c r="F736" t="s">
        <v>58</v>
      </c>
      <c r="G736" t="s">
        <v>59</v>
      </c>
      <c r="H736">
        <v>1</v>
      </c>
      <c r="I736">
        <v>10234</v>
      </c>
      <c r="J736">
        <v>0.15</v>
      </c>
      <c r="K736">
        <v>8698.9</v>
      </c>
      <c r="L736">
        <v>1073.6199999999999</v>
      </c>
      <c r="M736" t="str">
        <f t="shared" si="99"/>
        <v>Air Purifier</v>
      </c>
      <c r="N736" t="str">
        <f t="shared" si="100"/>
        <v>Chandigarh</v>
      </c>
      <c r="O736" t="str">
        <f t="shared" si="101"/>
        <v>North</v>
      </c>
      <c r="P736" t="str">
        <f t="shared" si="102"/>
        <v>Home Appliances</v>
      </c>
      <c r="Q736" t="str">
        <f t="shared" si="103"/>
        <v>Home Appliances</v>
      </c>
      <c r="R736" t="str">
        <f t="shared" si="104"/>
        <v>North</v>
      </c>
      <c r="S736" t="str">
        <f t="shared" si="105"/>
        <v>Chandigarh</v>
      </c>
      <c r="T736">
        <f t="shared" si="106"/>
        <v>8698.9</v>
      </c>
      <c r="U736" t="str">
        <f t="shared" si="107"/>
        <v>OK</v>
      </c>
    </row>
    <row r="737" spans="1:21" x14ac:dyDescent="0.3">
      <c r="A737" t="s">
        <v>973</v>
      </c>
      <c r="B737" s="3">
        <v>45742</v>
      </c>
      <c r="C737" t="s">
        <v>87</v>
      </c>
      <c r="D737" t="s">
        <v>307</v>
      </c>
      <c r="E737" t="s">
        <v>73</v>
      </c>
      <c r="F737" t="s">
        <v>58</v>
      </c>
      <c r="G737" t="s">
        <v>126</v>
      </c>
      <c r="H737">
        <v>5</v>
      </c>
      <c r="I737">
        <v>98</v>
      </c>
      <c r="J737">
        <v>0</v>
      </c>
      <c r="K737">
        <v>490</v>
      </c>
      <c r="L737">
        <v>91.88</v>
      </c>
      <c r="M737" t="str">
        <f t="shared" si="99"/>
        <v>Notebook</v>
      </c>
      <c r="N737" t="str">
        <f t="shared" si="100"/>
        <v>Delhi</v>
      </c>
      <c r="O737" t="str">
        <f t="shared" si="101"/>
        <v>North</v>
      </c>
      <c r="P737" t="str">
        <f t="shared" si="102"/>
        <v>Office Supplies</v>
      </c>
      <c r="Q737" t="str">
        <f t="shared" si="103"/>
        <v>Office Supplies</v>
      </c>
      <c r="R737" t="str">
        <f t="shared" si="104"/>
        <v>North</v>
      </c>
      <c r="S737" t="str">
        <f t="shared" si="105"/>
        <v>Delhi</v>
      </c>
      <c r="T737">
        <f t="shared" si="106"/>
        <v>490</v>
      </c>
      <c r="U737" t="str">
        <f t="shared" si="107"/>
        <v>OK</v>
      </c>
    </row>
    <row r="738" spans="1:21" x14ac:dyDescent="0.3">
      <c r="A738" t="s">
        <v>974</v>
      </c>
      <c r="B738" s="3">
        <v>45668</v>
      </c>
      <c r="C738" t="s">
        <v>274</v>
      </c>
      <c r="D738" t="s">
        <v>103</v>
      </c>
      <c r="E738" t="s">
        <v>51</v>
      </c>
      <c r="F738" t="s">
        <v>16</v>
      </c>
      <c r="G738" t="s">
        <v>17</v>
      </c>
      <c r="H738">
        <v>1</v>
      </c>
      <c r="I738">
        <v>1309</v>
      </c>
      <c r="J738">
        <v>0.1</v>
      </c>
      <c r="K738">
        <v>1178.0999999999999</v>
      </c>
      <c r="L738">
        <v>313.91000000000003</v>
      </c>
      <c r="M738" t="str">
        <f t="shared" si="99"/>
        <v>Headphones</v>
      </c>
      <c r="N738" t="str">
        <f t="shared" si="100"/>
        <v>Guwahati</v>
      </c>
      <c r="O738" t="str">
        <f t="shared" si="101"/>
        <v>East</v>
      </c>
      <c r="P738" t="str">
        <f t="shared" si="102"/>
        <v>Electronics</v>
      </c>
      <c r="Q738" t="str">
        <f t="shared" si="103"/>
        <v>Electronics</v>
      </c>
      <c r="R738" t="str">
        <f t="shared" si="104"/>
        <v>East</v>
      </c>
      <c r="S738" t="str">
        <f t="shared" si="105"/>
        <v>Guwahati</v>
      </c>
      <c r="T738">
        <f t="shared" si="106"/>
        <v>1178.1000000000001</v>
      </c>
      <c r="U738" t="str">
        <f t="shared" si="107"/>
        <v>OK</v>
      </c>
    </row>
    <row r="739" spans="1:21" x14ac:dyDescent="0.3">
      <c r="A739" t="s">
        <v>975</v>
      </c>
      <c r="B739" s="3">
        <v>45998</v>
      </c>
      <c r="C739" t="s">
        <v>260</v>
      </c>
      <c r="D739" t="s">
        <v>25</v>
      </c>
      <c r="E739" t="s">
        <v>26</v>
      </c>
      <c r="F739" t="s">
        <v>58</v>
      </c>
      <c r="G739" t="s">
        <v>126</v>
      </c>
      <c r="H739">
        <v>2</v>
      </c>
      <c r="I739">
        <v>11988</v>
      </c>
      <c r="J739">
        <v>0</v>
      </c>
      <c r="K739">
        <v>23976</v>
      </c>
      <c r="L739">
        <v>5200.08</v>
      </c>
      <c r="M739" t="str">
        <f t="shared" si="99"/>
        <v>Microwave</v>
      </c>
      <c r="N739" t="str">
        <f t="shared" si="100"/>
        <v>Delhi</v>
      </c>
      <c r="O739" t="str">
        <f t="shared" si="101"/>
        <v>North</v>
      </c>
      <c r="P739" t="str">
        <f t="shared" si="102"/>
        <v>Home Appliances</v>
      </c>
      <c r="Q739" t="str">
        <f t="shared" si="103"/>
        <v>Home Appliances</v>
      </c>
      <c r="R739" t="str">
        <f t="shared" si="104"/>
        <v>North</v>
      </c>
      <c r="S739" t="str">
        <f t="shared" si="105"/>
        <v>Delhi</v>
      </c>
      <c r="T739">
        <f t="shared" si="106"/>
        <v>23976</v>
      </c>
      <c r="U739" t="str">
        <f t="shared" si="107"/>
        <v>OK</v>
      </c>
    </row>
    <row r="740" spans="1:21" x14ac:dyDescent="0.3">
      <c r="A740" t="s">
        <v>976</v>
      </c>
      <c r="B740" s="3">
        <v>45980</v>
      </c>
      <c r="C740" t="s">
        <v>257</v>
      </c>
      <c r="D740" t="s">
        <v>307</v>
      </c>
      <c r="E740" t="s">
        <v>73</v>
      </c>
      <c r="F740" t="s">
        <v>27</v>
      </c>
      <c r="G740" t="s">
        <v>28</v>
      </c>
      <c r="H740">
        <v>2</v>
      </c>
      <c r="I740">
        <v>144</v>
      </c>
      <c r="J740">
        <v>0.15</v>
      </c>
      <c r="K740">
        <v>244.8</v>
      </c>
      <c r="L740">
        <v>49.6</v>
      </c>
      <c r="M740" t="str">
        <f t="shared" si="99"/>
        <v>Notebook</v>
      </c>
      <c r="N740" t="str">
        <f t="shared" si="100"/>
        <v>Bengaluru</v>
      </c>
      <c r="O740" t="str">
        <f t="shared" si="101"/>
        <v>South</v>
      </c>
      <c r="P740" t="str">
        <f t="shared" si="102"/>
        <v>Office Supplies</v>
      </c>
      <c r="Q740" t="str">
        <f t="shared" si="103"/>
        <v>Office Supplies</v>
      </c>
      <c r="R740" t="str">
        <f t="shared" si="104"/>
        <v>South</v>
      </c>
      <c r="S740" t="str">
        <f t="shared" si="105"/>
        <v>Bengaluru</v>
      </c>
      <c r="T740">
        <f t="shared" si="106"/>
        <v>244.79999999999998</v>
      </c>
      <c r="U740" t="str">
        <f t="shared" si="107"/>
        <v>OK</v>
      </c>
    </row>
    <row r="741" spans="1:21" x14ac:dyDescent="0.3">
      <c r="A741" t="s">
        <v>977</v>
      </c>
      <c r="B741" s="3">
        <v>45918</v>
      </c>
      <c r="C741" t="s">
        <v>106</v>
      </c>
      <c r="D741" t="s">
        <v>50</v>
      </c>
      <c r="E741" t="s">
        <v>51</v>
      </c>
      <c r="F741" t="s">
        <v>21</v>
      </c>
      <c r="G741" t="s">
        <v>55</v>
      </c>
      <c r="H741">
        <v>2</v>
      </c>
      <c r="I741">
        <v>1519</v>
      </c>
      <c r="J741">
        <v>0</v>
      </c>
      <c r="K741">
        <v>3038</v>
      </c>
      <c r="L741">
        <v>315.62</v>
      </c>
      <c r="M741" t="str">
        <f t="shared" si="99"/>
        <v>Keyboard</v>
      </c>
      <c r="N741" t="str">
        <f t="shared" si="100"/>
        <v>Pune</v>
      </c>
      <c r="O741" t="str">
        <f t="shared" si="101"/>
        <v>West</v>
      </c>
      <c r="P741" t="str">
        <f t="shared" si="102"/>
        <v>Electronics</v>
      </c>
      <c r="Q741" t="str">
        <f t="shared" si="103"/>
        <v>Electronics</v>
      </c>
      <c r="R741" t="str">
        <f t="shared" si="104"/>
        <v>West</v>
      </c>
      <c r="S741" t="str">
        <f t="shared" si="105"/>
        <v>Pune</v>
      </c>
      <c r="T741">
        <f t="shared" si="106"/>
        <v>3038</v>
      </c>
      <c r="U741" t="str">
        <f t="shared" si="107"/>
        <v>OK</v>
      </c>
    </row>
    <row r="742" spans="1:21" x14ac:dyDescent="0.3">
      <c r="A742" t="s">
        <v>978</v>
      </c>
      <c r="B742" s="3">
        <v>45818</v>
      </c>
      <c r="C742" t="s">
        <v>665</v>
      </c>
      <c r="D742" t="s">
        <v>202</v>
      </c>
      <c r="E742" t="s">
        <v>44</v>
      </c>
      <c r="F742" t="s">
        <v>58</v>
      </c>
      <c r="G742" t="s">
        <v>69</v>
      </c>
      <c r="H742">
        <v>1</v>
      </c>
      <c r="I742">
        <v>2322</v>
      </c>
      <c r="J742">
        <v>0.1</v>
      </c>
      <c r="K742">
        <v>2089.8000000000002</v>
      </c>
      <c r="L742">
        <v>204.58</v>
      </c>
      <c r="M742" t="str">
        <f t="shared" si="99"/>
        <v>Laptop Stand</v>
      </c>
      <c r="N742" t="str">
        <f t="shared" si="100"/>
        <v>Jaipur</v>
      </c>
      <c r="O742" t="str">
        <f t="shared" si="101"/>
        <v>North</v>
      </c>
      <c r="P742" t="str">
        <f t="shared" si="102"/>
        <v>Accessories</v>
      </c>
      <c r="Q742" t="str">
        <f t="shared" si="103"/>
        <v>Accessories</v>
      </c>
      <c r="R742" t="str">
        <f t="shared" si="104"/>
        <v>North</v>
      </c>
      <c r="S742" t="str">
        <f t="shared" si="105"/>
        <v>Jaipur</v>
      </c>
      <c r="T742">
        <f t="shared" si="106"/>
        <v>2089.8000000000002</v>
      </c>
      <c r="U742" t="str">
        <f t="shared" si="107"/>
        <v>OK</v>
      </c>
    </row>
    <row r="743" spans="1:21" x14ac:dyDescent="0.3">
      <c r="A743" t="s">
        <v>979</v>
      </c>
      <c r="B743" s="3">
        <v>45913</v>
      </c>
      <c r="C743" t="s">
        <v>67</v>
      </c>
      <c r="D743" t="s">
        <v>34</v>
      </c>
      <c r="E743" t="s">
        <v>15</v>
      </c>
      <c r="F743" t="s">
        <v>16</v>
      </c>
      <c r="G743" t="s">
        <v>52</v>
      </c>
      <c r="H743">
        <v>1</v>
      </c>
      <c r="I743">
        <v>11729</v>
      </c>
      <c r="J743">
        <v>0.15</v>
      </c>
      <c r="K743">
        <v>9969.65</v>
      </c>
      <c r="L743">
        <v>1054.5899999999999</v>
      </c>
      <c r="M743" t="str">
        <f t="shared" si="99"/>
        <v>Desk</v>
      </c>
      <c r="N743" t="str">
        <f t="shared" si="100"/>
        <v>Kolkata</v>
      </c>
      <c r="O743" t="str">
        <f t="shared" si="101"/>
        <v>East</v>
      </c>
      <c r="P743" t="str">
        <f t="shared" si="102"/>
        <v>Furniture</v>
      </c>
      <c r="Q743" t="str">
        <f t="shared" si="103"/>
        <v>Furniture</v>
      </c>
      <c r="R743" t="str">
        <f t="shared" si="104"/>
        <v>East</v>
      </c>
      <c r="S743" t="str">
        <f t="shared" si="105"/>
        <v>Kolkata</v>
      </c>
      <c r="T743">
        <f t="shared" si="106"/>
        <v>9969.65</v>
      </c>
      <c r="U743" t="str">
        <f t="shared" si="107"/>
        <v>OK</v>
      </c>
    </row>
    <row r="744" spans="1:21" x14ac:dyDescent="0.3">
      <c r="A744" t="s">
        <v>980</v>
      </c>
      <c r="B744" s="3">
        <v>45672</v>
      </c>
      <c r="C744" t="s">
        <v>570</v>
      </c>
      <c r="D744" t="s">
        <v>65</v>
      </c>
      <c r="E744" t="s">
        <v>26</v>
      </c>
      <c r="F744" t="s">
        <v>16</v>
      </c>
      <c r="G744" t="s">
        <v>104</v>
      </c>
      <c r="H744">
        <v>1</v>
      </c>
      <c r="I744">
        <v>3309</v>
      </c>
      <c r="J744">
        <v>0.05</v>
      </c>
      <c r="K744">
        <v>3143.55</v>
      </c>
      <c r="L744">
        <v>700.17</v>
      </c>
      <c r="M744" t="str">
        <f t="shared" si="99"/>
        <v>Electric Kettle</v>
      </c>
      <c r="N744" t="str">
        <f t="shared" si="100"/>
        <v>Bhubaneswar</v>
      </c>
      <c r="O744" t="str">
        <f t="shared" si="101"/>
        <v>East</v>
      </c>
      <c r="P744" t="str">
        <f t="shared" si="102"/>
        <v>Home Appliances</v>
      </c>
      <c r="Q744" t="str">
        <f t="shared" si="103"/>
        <v>Home Appliances</v>
      </c>
      <c r="R744" t="str">
        <f t="shared" si="104"/>
        <v>East</v>
      </c>
      <c r="S744" t="str">
        <f t="shared" si="105"/>
        <v>Bhubaneswar</v>
      </c>
      <c r="T744">
        <f t="shared" si="106"/>
        <v>3143.5499999999997</v>
      </c>
      <c r="U744" t="str">
        <f t="shared" si="107"/>
        <v>OK</v>
      </c>
    </row>
    <row r="745" spans="1:21" x14ac:dyDescent="0.3">
      <c r="A745" t="s">
        <v>981</v>
      </c>
      <c r="B745" s="3">
        <v>45717</v>
      </c>
      <c r="C745" t="s">
        <v>159</v>
      </c>
      <c r="D745" t="s">
        <v>307</v>
      </c>
      <c r="E745" t="s">
        <v>73</v>
      </c>
      <c r="F745" t="s">
        <v>16</v>
      </c>
      <c r="G745" t="s">
        <v>104</v>
      </c>
      <c r="H745">
        <v>1</v>
      </c>
      <c r="I745">
        <v>247</v>
      </c>
      <c r="J745">
        <v>0</v>
      </c>
      <c r="K745">
        <v>247</v>
      </c>
      <c r="L745">
        <v>42.15</v>
      </c>
      <c r="M745" t="str">
        <f t="shared" si="99"/>
        <v>Notebook</v>
      </c>
      <c r="N745" t="str">
        <f t="shared" si="100"/>
        <v>Bhubaneswar</v>
      </c>
      <c r="O745" t="str">
        <f t="shared" si="101"/>
        <v>East</v>
      </c>
      <c r="P745" t="str">
        <f t="shared" si="102"/>
        <v>Office Supplies</v>
      </c>
      <c r="Q745" t="str">
        <f t="shared" si="103"/>
        <v>Office Supplies</v>
      </c>
      <c r="R745" t="str">
        <f t="shared" si="104"/>
        <v>East</v>
      </c>
      <c r="S745" t="str">
        <f t="shared" si="105"/>
        <v>Bhubaneswar</v>
      </c>
      <c r="T745">
        <f t="shared" si="106"/>
        <v>247</v>
      </c>
      <c r="U745" t="str">
        <f t="shared" si="107"/>
        <v>OK</v>
      </c>
    </row>
    <row r="746" spans="1:21" x14ac:dyDescent="0.3">
      <c r="A746" t="s">
        <v>982</v>
      </c>
      <c r="B746" s="3">
        <v>45936</v>
      </c>
      <c r="C746" t="s">
        <v>143</v>
      </c>
      <c r="D746" t="s">
        <v>47</v>
      </c>
      <c r="E746" t="s">
        <v>26</v>
      </c>
      <c r="F746" t="s">
        <v>58</v>
      </c>
      <c r="G746" t="s">
        <v>126</v>
      </c>
      <c r="H746">
        <v>2</v>
      </c>
      <c r="I746">
        <v>21254</v>
      </c>
      <c r="J746">
        <v>0.1</v>
      </c>
      <c r="K746">
        <v>38257.199999999997</v>
      </c>
      <c r="L746">
        <v>6076.7</v>
      </c>
      <c r="M746" t="str">
        <f t="shared" si="99"/>
        <v>Air Purifier</v>
      </c>
      <c r="N746" t="str">
        <f t="shared" si="100"/>
        <v>Delhi</v>
      </c>
      <c r="O746" t="str">
        <f t="shared" si="101"/>
        <v>North</v>
      </c>
      <c r="P746" t="str">
        <f t="shared" si="102"/>
        <v>Home Appliances</v>
      </c>
      <c r="Q746" t="str">
        <f t="shared" si="103"/>
        <v>Home Appliances</v>
      </c>
      <c r="R746" t="str">
        <f t="shared" si="104"/>
        <v>North</v>
      </c>
      <c r="S746" t="str">
        <f t="shared" si="105"/>
        <v>Delhi</v>
      </c>
      <c r="T746">
        <f t="shared" si="106"/>
        <v>38257.200000000004</v>
      </c>
      <c r="U746" t="str">
        <f t="shared" si="107"/>
        <v>OK</v>
      </c>
    </row>
    <row r="747" spans="1:21" x14ac:dyDescent="0.3">
      <c r="A747" t="s">
        <v>983</v>
      </c>
      <c r="B747" s="3">
        <v>45808</v>
      </c>
      <c r="C747" t="s">
        <v>75</v>
      </c>
      <c r="D747" t="s">
        <v>72</v>
      </c>
      <c r="E747" t="s">
        <v>73</v>
      </c>
      <c r="F747" t="s">
        <v>58</v>
      </c>
      <c r="G747" t="s">
        <v>69</v>
      </c>
      <c r="H747">
        <v>1</v>
      </c>
      <c r="I747">
        <v>303</v>
      </c>
      <c r="J747">
        <v>0.1</v>
      </c>
      <c r="K747">
        <v>272.7</v>
      </c>
      <c r="L747">
        <v>53.88</v>
      </c>
      <c r="M747" t="str">
        <f t="shared" si="99"/>
        <v>Desk Organizer</v>
      </c>
      <c r="N747" t="str">
        <f t="shared" si="100"/>
        <v>Jaipur</v>
      </c>
      <c r="O747" t="str">
        <f t="shared" si="101"/>
        <v>North</v>
      </c>
      <c r="P747" t="str">
        <f t="shared" si="102"/>
        <v>Office Supplies</v>
      </c>
      <c r="Q747" t="str">
        <f t="shared" si="103"/>
        <v>Office Supplies</v>
      </c>
      <c r="R747" t="str">
        <f t="shared" si="104"/>
        <v>North</v>
      </c>
      <c r="S747" t="str">
        <f t="shared" si="105"/>
        <v>Jaipur</v>
      </c>
      <c r="T747">
        <f t="shared" si="106"/>
        <v>272.7</v>
      </c>
      <c r="U747" t="str">
        <f t="shared" si="107"/>
        <v>OK</v>
      </c>
    </row>
    <row r="748" spans="1:21" x14ac:dyDescent="0.3">
      <c r="A748" t="s">
        <v>984</v>
      </c>
      <c r="B748" s="3">
        <v>45983</v>
      </c>
      <c r="C748" t="s">
        <v>13</v>
      </c>
      <c r="D748" t="s">
        <v>47</v>
      </c>
      <c r="E748" t="s">
        <v>26</v>
      </c>
      <c r="F748" t="s">
        <v>16</v>
      </c>
      <c r="G748" t="s">
        <v>17</v>
      </c>
      <c r="H748">
        <v>3</v>
      </c>
      <c r="I748">
        <v>14297</v>
      </c>
      <c r="J748">
        <v>0.05</v>
      </c>
      <c r="K748">
        <v>40746.449999999997</v>
      </c>
      <c r="L748">
        <v>4130.2299999999996</v>
      </c>
      <c r="M748" t="str">
        <f t="shared" si="99"/>
        <v>Air Purifier</v>
      </c>
      <c r="N748" t="str">
        <f t="shared" si="100"/>
        <v>Guwahati</v>
      </c>
      <c r="O748" t="str">
        <f t="shared" si="101"/>
        <v>East</v>
      </c>
      <c r="P748" t="str">
        <f t="shared" si="102"/>
        <v>Home Appliances</v>
      </c>
      <c r="Q748" t="str">
        <f t="shared" si="103"/>
        <v>Home Appliances</v>
      </c>
      <c r="R748" t="str">
        <f t="shared" si="104"/>
        <v>East</v>
      </c>
      <c r="S748" t="str">
        <f t="shared" si="105"/>
        <v>Guwahati</v>
      </c>
      <c r="T748">
        <f t="shared" si="106"/>
        <v>40746.449999999997</v>
      </c>
      <c r="U748" t="str">
        <f t="shared" si="107"/>
        <v>OK</v>
      </c>
    </row>
    <row r="749" spans="1:21" x14ac:dyDescent="0.3">
      <c r="A749" t="s">
        <v>985</v>
      </c>
      <c r="B749" s="3">
        <v>45910</v>
      </c>
      <c r="C749" t="s">
        <v>463</v>
      </c>
      <c r="D749" t="s">
        <v>202</v>
      </c>
      <c r="E749" t="s">
        <v>44</v>
      </c>
      <c r="F749" t="s">
        <v>21</v>
      </c>
      <c r="G749" t="s">
        <v>55</v>
      </c>
      <c r="H749">
        <v>2</v>
      </c>
      <c r="I749">
        <v>1447</v>
      </c>
      <c r="J749">
        <v>0.1</v>
      </c>
      <c r="K749">
        <v>2604.6</v>
      </c>
      <c r="L749">
        <v>665.38</v>
      </c>
      <c r="M749" t="str">
        <f t="shared" si="99"/>
        <v>Laptop Stand</v>
      </c>
      <c r="N749" t="str">
        <f t="shared" si="100"/>
        <v>Pune</v>
      </c>
      <c r="O749" t="str">
        <f t="shared" si="101"/>
        <v>West</v>
      </c>
      <c r="P749" t="str">
        <f t="shared" si="102"/>
        <v>Accessories</v>
      </c>
      <c r="Q749" t="str">
        <f t="shared" si="103"/>
        <v>Accessories</v>
      </c>
      <c r="R749" t="str">
        <f t="shared" si="104"/>
        <v>West</v>
      </c>
      <c r="S749" t="str">
        <f t="shared" si="105"/>
        <v>Pune</v>
      </c>
      <c r="T749">
        <f t="shared" si="106"/>
        <v>2604.6</v>
      </c>
      <c r="U749" t="str">
        <f t="shared" si="107"/>
        <v>OK</v>
      </c>
    </row>
    <row r="750" spans="1:21" x14ac:dyDescent="0.3">
      <c r="A750" t="s">
        <v>986</v>
      </c>
      <c r="B750" s="3">
        <v>45678</v>
      </c>
      <c r="C750" t="s">
        <v>310</v>
      </c>
      <c r="D750" t="s">
        <v>65</v>
      </c>
      <c r="E750" t="s">
        <v>26</v>
      </c>
      <c r="F750" t="s">
        <v>16</v>
      </c>
      <c r="G750" t="s">
        <v>52</v>
      </c>
      <c r="H750">
        <v>5</v>
      </c>
      <c r="I750">
        <v>2445</v>
      </c>
      <c r="J750">
        <v>0.05</v>
      </c>
      <c r="K750">
        <v>11613.75</v>
      </c>
      <c r="L750">
        <v>1494.61</v>
      </c>
      <c r="M750" t="str">
        <f t="shared" si="99"/>
        <v>Electric Kettle</v>
      </c>
      <c r="N750" t="str">
        <f t="shared" si="100"/>
        <v>Kolkata</v>
      </c>
      <c r="O750" t="str">
        <f t="shared" si="101"/>
        <v>East</v>
      </c>
      <c r="P750" t="str">
        <f t="shared" si="102"/>
        <v>Home Appliances</v>
      </c>
      <c r="Q750" t="str">
        <f t="shared" si="103"/>
        <v>Home Appliances</v>
      </c>
      <c r="R750" t="str">
        <f t="shared" si="104"/>
        <v>East</v>
      </c>
      <c r="S750" t="str">
        <f t="shared" si="105"/>
        <v>Kolkata</v>
      </c>
      <c r="T750">
        <f t="shared" si="106"/>
        <v>11613.75</v>
      </c>
      <c r="U750" t="str">
        <f t="shared" si="107"/>
        <v>OK</v>
      </c>
    </row>
    <row r="751" spans="1:21" x14ac:dyDescent="0.3">
      <c r="A751" t="s">
        <v>987</v>
      </c>
      <c r="B751" s="3">
        <v>45974</v>
      </c>
      <c r="C751" t="s">
        <v>163</v>
      </c>
      <c r="D751" t="s">
        <v>307</v>
      </c>
      <c r="E751" t="s">
        <v>73</v>
      </c>
      <c r="F751" t="s">
        <v>58</v>
      </c>
      <c r="G751" t="s">
        <v>126</v>
      </c>
      <c r="H751">
        <v>1</v>
      </c>
      <c r="I751">
        <v>261</v>
      </c>
      <c r="J751">
        <v>0.05</v>
      </c>
      <c r="K751">
        <v>247.95</v>
      </c>
      <c r="L751">
        <v>55.68</v>
      </c>
      <c r="M751" t="str">
        <f t="shared" si="99"/>
        <v>Notebook</v>
      </c>
      <c r="N751" t="str">
        <f t="shared" si="100"/>
        <v>Delhi</v>
      </c>
      <c r="O751" t="str">
        <f t="shared" si="101"/>
        <v>North</v>
      </c>
      <c r="P751" t="str">
        <f t="shared" si="102"/>
        <v>Office Supplies</v>
      </c>
      <c r="Q751" t="str">
        <f t="shared" si="103"/>
        <v>Office Supplies</v>
      </c>
      <c r="R751" t="str">
        <f t="shared" si="104"/>
        <v>North</v>
      </c>
      <c r="S751" t="str">
        <f t="shared" si="105"/>
        <v>Delhi</v>
      </c>
      <c r="T751">
        <f t="shared" si="106"/>
        <v>247.95</v>
      </c>
      <c r="U751" t="str">
        <f t="shared" si="107"/>
        <v>OK</v>
      </c>
    </row>
    <row r="752" spans="1:21" x14ac:dyDescent="0.3">
      <c r="A752" t="s">
        <v>988</v>
      </c>
      <c r="B752" s="3">
        <v>45894</v>
      </c>
      <c r="C752" t="s">
        <v>580</v>
      </c>
      <c r="D752" t="s">
        <v>92</v>
      </c>
      <c r="E752" t="s">
        <v>51</v>
      </c>
      <c r="F752" t="s">
        <v>16</v>
      </c>
      <c r="G752" t="s">
        <v>17</v>
      </c>
      <c r="H752">
        <v>3</v>
      </c>
      <c r="I752">
        <v>12171</v>
      </c>
      <c r="J752">
        <v>0.15</v>
      </c>
      <c r="K752">
        <v>31036.05</v>
      </c>
      <c r="L752">
        <v>4671.1099999999997</v>
      </c>
      <c r="M752" t="str">
        <f t="shared" si="99"/>
        <v>Monitor</v>
      </c>
      <c r="N752" t="str">
        <f t="shared" si="100"/>
        <v>Guwahati</v>
      </c>
      <c r="O752" t="str">
        <f t="shared" si="101"/>
        <v>East</v>
      </c>
      <c r="P752" t="str">
        <f t="shared" si="102"/>
        <v>Electronics</v>
      </c>
      <c r="Q752" t="str">
        <f t="shared" si="103"/>
        <v>Electronics</v>
      </c>
      <c r="R752" t="str">
        <f t="shared" si="104"/>
        <v>East</v>
      </c>
      <c r="S752" t="str">
        <f t="shared" si="105"/>
        <v>Guwahati</v>
      </c>
      <c r="T752">
        <f t="shared" si="106"/>
        <v>31036.05</v>
      </c>
      <c r="U752" t="str">
        <f t="shared" si="107"/>
        <v>OK</v>
      </c>
    </row>
    <row r="753" spans="1:21" x14ac:dyDescent="0.3">
      <c r="A753" t="s">
        <v>989</v>
      </c>
      <c r="B753" s="3">
        <v>45763</v>
      </c>
      <c r="C753" t="s">
        <v>570</v>
      </c>
      <c r="D753" t="s">
        <v>30</v>
      </c>
      <c r="E753" t="s">
        <v>15</v>
      </c>
      <c r="F753" t="s">
        <v>16</v>
      </c>
      <c r="G753" t="s">
        <v>52</v>
      </c>
      <c r="H753">
        <v>1</v>
      </c>
      <c r="I753">
        <v>9432</v>
      </c>
      <c r="J753">
        <v>0.05</v>
      </c>
      <c r="K753">
        <v>8960.4</v>
      </c>
      <c r="L753">
        <v>938.27</v>
      </c>
      <c r="M753" t="str">
        <f t="shared" si="99"/>
        <v>Bookshelf</v>
      </c>
      <c r="N753" t="str">
        <f t="shared" si="100"/>
        <v>Kolkata</v>
      </c>
      <c r="O753" t="str">
        <f t="shared" si="101"/>
        <v>East</v>
      </c>
      <c r="P753" t="str">
        <f t="shared" si="102"/>
        <v>Furniture</v>
      </c>
      <c r="Q753" t="str">
        <f t="shared" si="103"/>
        <v>Furniture</v>
      </c>
      <c r="R753" t="str">
        <f t="shared" si="104"/>
        <v>East</v>
      </c>
      <c r="S753" t="str">
        <f t="shared" si="105"/>
        <v>Kolkata</v>
      </c>
      <c r="T753">
        <f t="shared" si="106"/>
        <v>8960.4</v>
      </c>
      <c r="U753" t="str">
        <f t="shared" si="107"/>
        <v>OK</v>
      </c>
    </row>
    <row r="754" spans="1:21" x14ac:dyDescent="0.3">
      <c r="A754" t="s">
        <v>990</v>
      </c>
      <c r="B754" s="3">
        <v>45844</v>
      </c>
      <c r="C754" t="s">
        <v>315</v>
      </c>
      <c r="D754" t="s">
        <v>68</v>
      </c>
      <c r="E754" t="s">
        <v>44</v>
      </c>
      <c r="F754" t="s">
        <v>16</v>
      </c>
      <c r="G754" t="s">
        <v>52</v>
      </c>
      <c r="H754">
        <v>4</v>
      </c>
      <c r="I754">
        <v>5178</v>
      </c>
      <c r="J754">
        <v>0.05</v>
      </c>
      <c r="K754">
        <v>19676.400000000001</v>
      </c>
      <c r="L754">
        <v>4338.25</v>
      </c>
      <c r="M754" t="str">
        <f t="shared" si="99"/>
        <v>Webcam</v>
      </c>
      <c r="N754" t="str">
        <f t="shared" si="100"/>
        <v>Kolkata</v>
      </c>
      <c r="O754" t="str">
        <f t="shared" si="101"/>
        <v>East</v>
      </c>
      <c r="P754" t="str">
        <f t="shared" si="102"/>
        <v>Accessories</v>
      </c>
      <c r="Q754" t="str">
        <f t="shared" si="103"/>
        <v>Accessories</v>
      </c>
      <c r="R754" t="str">
        <f t="shared" si="104"/>
        <v>East</v>
      </c>
      <c r="S754" t="str">
        <f t="shared" si="105"/>
        <v>Kolkata</v>
      </c>
      <c r="T754">
        <f t="shared" si="106"/>
        <v>19676.399999999998</v>
      </c>
      <c r="U754" t="str">
        <f t="shared" si="107"/>
        <v>OK</v>
      </c>
    </row>
    <row r="755" spans="1:21" x14ac:dyDescent="0.3">
      <c r="A755" t="s">
        <v>991</v>
      </c>
      <c r="B755" s="3">
        <v>45710</v>
      </c>
      <c r="C755" t="s">
        <v>798</v>
      </c>
      <c r="D755" t="s">
        <v>92</v>
      </c>
      <c r="E755" t="s">
        <v>51</v>
      </c>
      <c r="F755" t="s">
        <v>27</v>
      </c>
      <c r="G755" t="s">
        <v>31</v>
      </c>
      <c r="H755">
        <v>1</v>
      </c>
      <c r="I755">
        <v>15134</v>
      </c>
      <c r="J755">
        <v>0.15</v>
      </c>
      <c r="K755">
        <v>12863.9</v>
      </c>
      <c r="L755">
        <v>3255.32</v>
      </c>
      <c r="M755" t="str">
        <f t="shared" si="99"/>
        <v>Monitor</v>
      </c>
      <c r="N755" t="str">
        <f t="shared" si="100"/>
        <v>Hyderabad</v>
      </c>
      <c r="O755" t="str">
        <f t="shared" si="101"/>
        <v>South</v>
      </c>
      <c r="P755" t="str">
        <f t="shared" si="102"/>
        <v>Electronics</v>
      </c>
      <c r="Q755" t="str">
        <f t="shared" si="103"/>
        <v>Electronics</v>
      </c>
      <c r="R755" t="str">
        <f t="shared" si="104"/>
        <v>South</v>
      </c>
      <c r="S755" t="str">
        <f t="shared" si="105"/>
        <v>Hyderabad</v>
      </c>
      <c r="T755">
        <f t="shared" si="106"/>
        <v>12863.9</v>
      </c>
      <c r="U755" t="str">
        <f t="shared" si="107"/>
        <v>OK</v>
      </c>
    </row>
    <row r="756" spans="1:21" x14ac:dyDescent="0.3">
      <c r="A756" t="s">
        <v>992</v>
      </c>
      <c r="B756" s="3">
        <v>45758</v>
      </c>
      <c r="C756" t="s">
        <v>337</v>
      </c>
      <c r="D756" t="s">
        <v>88</v>
      </c>
      <c r="E756" t="s">
        <v>73</v>
      </c>
      <c r="F756" t="s">
        <v>21</v>
      </c>
      <c r="G756" t="s">
        <v>22</v>
      </c>
      <c r="H756">
        <v>1</v>
      </c>
      <c r="I756">
        <v>540</v>
      </c>
      <c r="J756">
        <v>0</v>
      </c>
      <c r="K756">
        <v>540</v>
      </c>
      <c r="L756">
        <v>77.06</v>
      </c>
      <c r="M756" t="str">
        <f t="shared" si="99"/>
        <v>Stapler</v>
      </c>
      <c r="N756" t="str">
        <f t="shared" si="100"/>
        <v>Ahmedabad</v>
      </c>
      <c r="O756" t="str">
        <f t="shared" si="101"/>
        <v>West</v>
      </c>
      <c r="P756" t="str">
        <f t="shared" si="102"/>
        <v>Office Supplies</v>
      </c>
      <c r="Q756" t="str">
        <f t="shared" si="103"/>
        <v>Office Supplies</v>
      </c>
      <c r="R756" t="str">
        <f t="shared" si="104"/>
        <v>West</v>
      </c>
      <c r="S756" t="str">
        <f t="shared" si="105"/>
        <v>Ahmedabad</v>
      </c>
      <c r="T756">
        <f t="shared" si="106"/>
        <v>540</v>
      </c>
      <c r="U756" t="str">
        <f t="shared" si="107"/>
        <v>OK</v>
      </c>
    </row>
    <row r="757" spans="1:21" x14ac:dyDescent="0.3">
      <c r="A757" t="s">
        <v>993</v>
      </c>
      <c r="B757" s="3">
        <v>45823</v>
      </c>
      <c r="C757" t="s">
        <v>805</v>
      </c>
      <c r="D757" t="s">
        <v>120</v>
      </c>
      <c r="E757" t="s">
        <v>51</v>
      </c>
      <c r="F757" t="s">
        <v>27</v>
      </c>
      <c r="G757" t="s">
        <v>40</v>
      </c>
      <c r="H757">
        <v>2</v>
      </c>
      <c r="I757">
        <v>1843</v>
      </c>
      <c r="J757">
        <v>0.05</v>
      </c>
      <c r="K757">
        <v>3501.7</v>
      </c>
      <c r="L757">
        <v>533.42999999999995</v>
      </c>
      <c r="M757" t="str">
        <f t="shared" si="99"/>
        <v>Mouse</v>
      </c>
      <c r="N757" t="str">
        <f t="shared" si="100"/>
        <v>Chennai</v>
      </c>
      <c r="O757" t="str">
        <f t="shared" si="101"/>
        <v>South</v>
      </c>
      <c r="P757" t="str">
        <f t="shared" si="102"/>
        <v>Electronics</v>
      </c>
      <c r="Q757" t="str">
        <f t="shared" si="103"/>
        <v>Electronics</v>
      </c>
      <c r="R757" t="str">
        <f t="shared" si="104"/>
        <v>South</v>
      </c>
      <c r="S757" t="str">
        <f t="shared" si="105"/>
        <v>Chennai</v>
      </c>
      <c r="T757">
        <f t="shared" si="106"/>
        <v>3501.7</v>
      </c>
      <c r="U757" t="str">
        <f t="shared" si="107"/>
        <v>OK</v>
      </c>
    </row>
    <row r="758" spans="1:21" x14ac:dyDescent="0.3">
      <c r="A758" t="s">
        <v>994</v>
      </c>
      <c r="B758" s="3">
        <v>45707</v>
      </c>
      <c r="C758" t="s">
        <v>119</v>
      </c>
      <c r="D758" t="s">
        <v>88</v>
      </c>
      <c r="E758" t="s">
        <v>73</v>
      </c>
      <c r="F758" t="s">
        <v>58</v>
      </c>
      <c r="G758" t="s">
        <v>69</v>
      </c>
      <c r="H758">
        <v>1</v>
      </c>
      <c r="I758">
        <v>302</v>
      </c>
      <c r="J758">
        <v>0.25</v>
      </c>
      <c r="K758">
        <v>226.5</v>
      </c>
      <c r="L758">
        <v>26.04</v>
      </c>
      <c r="M758" t="str">
        <f t="shared" si="99"/>
        <v>Stapler</v>
      </c>
      <c r="N758" t="str">
        <f t="shared" si="100"/>
        <v>Jaipur</v>
      </c>
      <c r="O758" t="str">
        <f t="shared" si="101"/>
        <v>North</v>
      </c>
      <c r="P758" t="str">
        <f t="shared" si="102"/>
        <v>Office Supplies</v>
      </c>
      <c r="Q758" t="str">
        <f t="shared" si="103"/>
        <v>Office Supplies</v>
      </c>
      <c r="R758" t="str">
        <f t="shared" si="104"/>
        <v>North</v>
      </c>
      <c r="S758" t="str">
        <f t="shared" si="105"/>
        <v>Jaipur</v>
      </c>
      <c r="T758">
        <f t="shared" si="106"/>
        <v>226.5</v>
      </c>
      <c r="U758" t="str">
        <f t="shared" si="107"/>
        <v>OK</v>
      </c>
    </row>
    <row r="759" spans="1:21" x14ac:dyDescent="0.3">
      <c r="A759" t="s">
        <v>995</v>
      </c>
      <c r="B759" s="3">
        <v>45732</v>
      </c>
      <c r="C759" t="s">
        <v>64</v>
      </c>
      <c r="D759" t="s">
        <v>47</v>
      </c>
      <c r="E759" t="s">
        <v>26</v>
      </c>
      <c r="F759" t="s">
        <v>16</v>
      </c>
      <c r="G759" t="s">
        <v>104</v>
      </c>
      <c r="H759">
        <v>1</v>
      </c>
      <c r="I759">
        <v>18150</v>
      </c>
      <c r="J759">
        <v>0.15</v>
      </c>
      <c r="K759">
        <v>15427.5</v>
      </c>
      <c r="L759">
        <v>1654</v>
      </c>
      <c r="M759" t="str">
        <f t="shared" si="99"/>
        <v>Air Purifier</v>
      </c>
      <c r="N759" t="str">
        <f t="shared" si="100"/>
        <v>Bhubaneswar</v>
      </c>
      <c r="O759" t="str">
        <f t="shared" si="101"/>
        <v>East</v>
      </c>
      <c r="P759" t="str">
        <f t="shared" si="102"/>
        <v>Home Appliances</v>
      </c>
      <c r="Q759" t="str">
        <f t="shared" si="103"/>
        <v>Home Appliances</v>
      </c>
      <c r="R759" t="str">
        <f t="shared" si="104"/>
        <v>East</v>
      </c>
      <c r="S759" t="str">
        <f t="shared" si="105"/>
        <v>Bhubaneswar</v>
      </c>
      <c r="T759">
        <f t="shared" si="106"/>
        <v>15427.5</v>
      </c>
      <c r="U759" t="str">
        <f t="shared" si="107"/>
        <v>OK</v>
      </c>
    </row>
    <row r="760" spans="1:21" x14ac:dyDescent="0.3">
      <c r="A760" t="s">
        <v>996</v>
      </c>
      <c r="B760" s="3">
        <v>45808</v>
      </c>
      <c r="C760" t="s">
        <v>617</v>
      </c>
      <c r="D760" t="s">
        <v>65</v>
      </c>
      <c r="E760" t="s">
        <v>26</v>
      </c>
      <c r="F760" t="s">
        <v>21</v>
      </c>
      <c r="G760" t="s">
        <v>55</v>
      </c>
      <c r="H760">
        <v>1</v>
      </c>
      <c r="I760">
        <v>2040</v>
      </c>
      <c r="J760">
        <v>0.1</v>
      </c>
      <c r="K760">
        <v>1836</v>
      </c>
      <c r="L760">
        <v>296.48</v>
      </c>
      <c r="M760" t="str">
        <f t="shared" si="99"/>
        <v>Electric Kettle</v>
      </c>
      <c r="N760" t="str">
        <f t="shared" si="100"/>
        <v>Pune</v>
      </c>
      <c r="O760" t="str">
        <f t="shared" si="101"/>
        <v>West</v>
      </c>
      <c r="P760" t="str">
        <f t="shared" si="102"/>
        <v>Home Appliances</v>
      </c>
      <c r="Q760" t="str">
        <f t="shared" si="103"/>
        <v>Home Appliances</v>
      </c>
      <c r="R760" t="str">
        <f t="shared" si="104"/>
        <v>West</v>
      </c>
      <c r="S760" t="str">
        <f t="shared" si="105"/>
        <v>Pune</v>
      </c>
      <c r="T760">
        <f t="shared" si="106"/>
        <v>1836</v>
      </c>
      <c r="U760" t="str">
        <f t="shared" si="107"/>
        <v>OK</v>
      </c>
    </row>
    <row r="761" spans="1:21" x14ac:dyDescent="0.3">
      <c r="A761" t="s">
        <v>997</v>
      </c>
      <c r="B761" s="3">
        <v>46010</v>
      </c>
      <c r="C761" t="s">
        <v>180</v>
      </c>
      <c r="D761" t="s">
        <v>47</v>
      </c>
      <c r="E761" t="s">
        <v>26</v>
      </c>
      <c r="F761" t="s">
        <v>27</v>
      </c>
      <c r="G761" t="s">
        <v>40</v>
      </c>
      <c r="H761">
        <v>2</v>
      </c>
      <c r="I761">
        <v>11190</v>
      </c>
      <c r="J761">
        <v>0.05</v>
      </c>
      <c r="K761">
        <v>21261</v>
      </c>
      <c r="L761">
        <v>2379.2800000000002</v>
      </c>
      <c r="M761" t="str">
        <f t="shared" si="99"/>
        <v>Air Purifier</v>
      </c>
      <c r="N761" t="str">
        <f t="shared" si="100"/>
        <v>Chennai</v>
      </c>
      <c r="O761" t="str">
        <f t="shared" si="101"/>
        <v>South</v>
      </c>
      <c r="P761" t="str">
        <f t="shared" si="102"/>
        <v>Home Appliances</v>
      </c>
      <c r="Q761" t="str">
        <f t="shared" si="103"/>
        <v>Home Appliances</v>
      </c>
      <c r="R761" t="str">
        <f t="shared" si="104"/>
        <v>South</v>
      </c>
      <c r="S761" t="str">
        <f t="shared" si="105"/>
        <v>Chennai</v>
      </c>
      <c r="T761">
        <f t="shared" si="106"/>
        <v>21261</v>
      </c>
      <c r="U761" t="str">
        <f t="shared" si="107"/>
        <v>OK</v>
      </c>
    </row>
    <row r="762" spans="1:21" x14ac:dyDescent="0.3">
      <c r="A762" t="s">
        <v>998</v>
      </c>
      <c r="B762" s="3">
        <v>45979</v>
      </c>
      <c r="C762" t="s">
        <v>456</v>
      </c>
      <c r="D762" t="s">
        <v>153</v>
      </c>
      <c r="E762" t="s">
        <v>26</v>
      </c>
      <c r="F762" t="s">
        <v>21</v>
      </c>
      <c r="G762" t="s">
        <v>35</v>
      </c>
      <c r="H762">
        <v>1</v>
      </c>
      <c r="I762">
        <v>6951</v>
      </c>
      <c r="J762">
        <v>0</v>
      </c>
      <c r="K762">
        <v>6951</v>
      </c>
      <c r="L762">
        <v>717.8</v>
      </c>
      <c r="M762" t="str">
        <f t="shared" si="99"/>
        <v>Coffee Maker</v>
      </c>
      <c r="N762" t="str">
        <f t="shared" si="100"/>
        <v>Mumbai</v>
      </c>
      <c r="O762" t="str">
        <f t="shared" si="101"/>
        <v>West</v>
      </c>
      <c r="P762" t="str">
        <f t="shared" si="102"/>
        <v>Home Appliances</v>
      </c>
      <c r="Q762" t="str">
        <f t="shared" si="103"/>
        <v>Home Appliances</v>
      </c>
      <c r="R762" t="str">
        <f t="shared" si="104"/>
        <v>West</v>
      </c>
      <c r="S762" t="str">
        <f t="shared" si="105"/>
        <v>Mumbai</v>
      </c>
      <c r="T762">
        <f t="shared" si="106"/>
        <v>6951</v>
      </c>
      <c r="U762" t="str">
        <f t="shared" si="107"/>
        <v>OK</v>
      </c>
    </row>
    <row r="763" spans="1:21" x14ac:dyDescent="0.3">
      <c r="A763" t="s">
        <v>999</v>
      </c>
      <c r="B763" s="3">
        <v>45983</v>
      </c>
      <c r="C763" t="s">
        <v>570</v>
      </c>
      <c r="D763" t="s">
        <v>34</v>
      </c>
      <c r="E763" t="s">
        <v>15</v>
      </c>
      <c r="F763" t="s">
        <v>58</v>
      </c>
      <c r="G763" t="s">
        <v>69</v>
      </c>
      <c r="H763">
        <v>1</v>
      </c>
      <c r="I763">
        <v>9441</v>
      </c>
      <c r="J763">
        <v>0</v>
      </c>
      <c r="K763">
        <v>9441</v>
      </c>
      <c r="L763">
        <v>2072.17</v>
      </c>
      <c r="M763" t="str">
        <f t="shared" si="99"/>
        <v>Desk</v>
      </c>
      <c r="N763" t="str">
        <f t="shared" si="100"/>
        <v>Jaipur</v>
      </c>
      <c r="O763" t="str">
        <f t="shared" si="101"/>
        <v>North</v>
      </c>
      <c r="P763" t="str">
        <f t="shared" si="102"/>
        <v>Furniture</v>
      </c>
      <c r="Q763" t="str">
        <f t="shared" si="103"/>
        <v>Furniture</v>
      </c>
      <c r="R763" t="str">
        <f t="shared" si="104"/>
        <v>North</v>
      </c>
      <c r="S763" t="str">
        <f t="shared" si="105"/>
        <v>Jaipur</v>
      </c>
      <c r="T763">
        <f t="shared" si="106"/>
        <v>9441</v>
      </c>
      <c r="U763" t="str">
        <f t="shared" si="107"/>
        <v>OK</v>
      </c>
    </row>
    <row r="764" spans="1:21" x14ac:dyDescent="0.3">
      <c r="A764" t="s">
        <v>1000</v>
      </c>
      <c r="B764" s="3">
        <v>45681</v>
      </c>
      <c r="C764" t="s">
        <v>106</v>
      </c>
      <c r="D764" t="s">
        <v>50</v>
      </c>
      <c r="E764" t="s">
        <v>51</v>
      </c>
      <c r="F764" t="s">
        <v>27</v>
      </c>
      <c r="G764" t="s">
        <v>40</v>
      </c>
      <c r="H764">
        <v>1</v>
      </c>
      <c r="I764">
        <v>3074</v>
      </c>
      <c r="J764">
        <v>0</v>
      </c>
      <c r="K764">
        <v>3074</v>
      </c>
      <c r="L764">
        <v>290.51</v>
      </c>
      <c r="M764" t="str">
        <f t="shared" si="99"/>
        <v>Keyboard</v>
      </c>
      <c r="N764" t="str">
        <f t="shared" si="100"/>
        <v>Chennai</v>
      </c>
      <c r="O764" t="str">
        <f t="shared" si="101"/>
        <v>South</v>
      </c>
      <c r="P764" t="str">
        <f t="shared" si="102"/>
        <v>Electronics</v>
      </c>
      <c r="Q764" t="str">
        <f t="shared" si="103"/>
        <v>Electronics</v>
      </c>
      <c r="R764" t="str">
        <f t="shared" si="104"/>
        <v>South</v>
      </c>
      <c r="S764" t="str">
        <f t="shared" si="105"/>
        <v>Chennai</v>
      </c>
      <c r="T764">
        <f t="shared" si="106"/>
        <v>3074</v>
      </c>
      <c r="U764" t="str">
        <f t="shared" si="107"/>
        <v>OK</v>
      </c>
    </row>
    <row r="765" spans="1:21" x14ac:dyDescent="0.3">
      <c r="A765" t="s">
        <v>1001</v>
      </c>
      <c r="B765" s="3">
        <v>45891</v>
      </c>
      <c r="C765" t="s">
        <v>570</v>
      </c>
      <c r="D765" t="s">
        <v>103</v>
      </c>
      <c r="E765" t="s">
        <v>51</v>
      </c>
      <c r="F765" t="s">
        <v>27</v>
      </c>
      <c r="G765" t="s">
        <v>31</v>
      </c>
      <c r="H765">
        <v>1</v>
      </c>
      <c r="I765">
        <v>8593</v>
      </c>
      <c r="J765">
        <v>0.05</v>
      </c>
      <c r="K765">
        <v>8163.35</v>
      </c>
      <c r="L765">
        <v>1203.6199999999999</v>
      </c>
      <c r="M765" t="str">
        <f t="shared" si="99"/>
        <v>Headphones</v>
      </c>
      <c r="N765" t="str">
        <f t="shared" si="100"/>
        <v>Hyderabad</v>
      </c>
      <c r="O765" t="str">
        <f t="shared" si="101"/>
        <v>South</v>
      </c>
      <c r="P765" t="str">
        <f t="shared" si="102"/>
        <v>Electronics</v>
      </c>
      <c r="Q765" t="str">
        <f t="shared" si="103"/>
        <v>Electronics</v>
      </c>
      <c r="R765" t="str">
        <f t="shared" si="104"/>
        <v>South</v>
      </c>
      <c r="S765" t="str">
        <f t="shared" si="105"/>
        <v>Hyderabad</v>
      </c>
      <c r="T765">
        <f t="shared" si="106"/>
        <v>8163.3499999999995</v>
      </c>
      <c r="U765" t="str">
        <f t="shared" si="107"/>
        <v>OK</v>
      </c>
    </row>
    <row r="766" spans="1:21" x14ac:dyDescent="0.3">
      <c r="A766" t="s">
        <v>1002</v>
      </c>
      <c r="B766" s="3">
        <v>45757</v>
      </c>
      <c r="C766" t="s">
        <v>305</v>
      </c>
      <c r="D766" t="s">
        <v>307</v>
      </c>
      <c r="E766" t="s">
        <v>73</v>
      </c>
      <c r="F766" t="s">
        <v>58</v>
      </c>
      <c r="G766" t="s">
        <v>126</v>
      </c>
      <c r="H766">
        <v>3</v>
      </c>
      <c r="I766">
        <v>377</v>
      </c>
      <c r="J766">
        <v>0</v>
      </c>
      <c r="K766">
        <v>1131</v>
      </c>
      <c r="L766">
        <v>173.39</v>
      </c>
      <c r="M766" t="str">
        <f t="shared" si="99"/>
        <v>Notebook</v>
      </c>
      <c r="N766" t="str">
        <f t="shared" si="100"/>
        <v>Delhi</v>
      </c>
      <c r="O766" t="str">
        <f t="shared" si="101"/>
        <v>North</v>
      </c>
      <c r="P766" t="str">
        <f t="shared" si="102"/>
        <v>Office Supplies</v>
      </c>
      <c r="Q766" t="str">
        <f t="shared" si="103"/>
        <v>Office Supplies</v>
      </c>
      <c r="R766" t="str">
        <f t="shared" si="104"/>
        <v>North</v>
      </c>
      <c r="S766" t="str">
        <f t="shared" si="105"/>
        <v>Delhi</v>
      </c>
      <c r="T766">
        <f t="shared" si="106"/>
        <v>1131</v>
      </c>
      <c r="U766" t="str">
        <f t="shared" si="107"/>
        <v>OK</v>
      </c>
    </row>
    <row r="767" spans="1:21" x14ac:dyDescent="0.3">
      <c r="A767" t="s">
        <v>1003</v>
      </c>
      <c r="B767" s="3">
        <v>45784</v>
      </c>
      <c r="C767" t="s">
        <v>42</v>
      </c>
      <c r="D767" t="s">
        <v>103</v>
      </c>
      <c r="E767" t="s">
        <v>51</v>
      </c>
      <c r="F767" t="s">
        <v>27</v>
      </c>
      <c r="G767" t="s">
        <v>31</v>
      </c>
      <c r="H767">
        <v>1</v>
      </c>
      <c r="I767">
        <v>7513</v>
      </c>
      <c r="J767">
        <v>0.05</v>
      </c>
      <c r="K767">
        <v>7137.35</v>
      </c>
      <c r="L767">
        <v>638.4</v>
      </c>
      <c r="M767" t="str">
        <f t="shared" si="99"/>
        <v>Headphones</v>
      </c>
      <c r="N767" t="str">
        <f t="shared" si="100"/>
        <v>Hyderabad</v>
      </c>
      <c r="O767" t="str">
        <f t="shared" si="101"/>
        <v>South</v>
      </c>
      <c r="P767" t="str">
        <f t="shared" si="102"/>
        <v>Electronics</v>
      </c>
      <c r="Q767" t="str">
        <f t="shared" si="103"/>
        <v>Electronics</v>
      </c>
      <c r="R767" t="str">
        <f t="shared" si="104"/>
        <v>South</v>
      </c>
      <c r="S767" t="str">
        <f t="shared" si="105"/>
        <v>Hyderabad</v>
      </c>
      <c r="T767">
        <f t="shared" si="106"/>
        <v>7137.3499999999995</v>
      </c>
      <c r="U767" t="str">
        <f t="shared" si="107"/>
        <v>OK</v>
      </c>
    </row>
    <row r="768" spans="1:21" x14ac:dyDescent="0.3">
      <c r="A768" t="s">
        <v>1004</v>
      </c>
      <c r="B768" s="3">
        <v>46021</v>
      </c>
      <c r="C768" t="s">
        <v>145</v>
      </c>
      <c r="D768" t="s">
        <v>120</v>
      </c>
      <c r="E768" t="s">
        <v>51</v>
      </c>
      <c r="F768" t="s">
        <v>27</v>
      </c>
      <c r="G768" t="s">
        <v>40</v>
      </c>
      <c r="H768">
        <v>1</v>
      </c>
      <c r="I768">
        <v>1441</v>
      </c>
      <c r="J768">
        <v>0.2</v>
      </c>
      <c r="K768">
        <v>1152.8</v>
      </c>
      <c r="L768">
        <v>219.98</v>
      </c>
      <c r="M768" t="str">
        <f t="shared" si="99"/>
        <v>Mouse</v>
      </c>
      <c r="N768" t="str">
        <f t="shared" si="100"/>
        <v>Chennai</v>
      </c>
      <c r="O768" t="str">
        <f t="shared" si="101"/>
        <v>South</v>
      </c>
      <c r="P768" t="str">
        <f t="shared" si="102"/>
        <v>Electronics</v>
      </c>
      <c r="Q768" t="str">
        <f t="shared" si="103"/>
        <v>Electronics</v>
      </c>
      <c r="R768" t="str">
        <f t="shared" si="104"/>
        <v>South</v>
      </c>
      <c r="S768" t="str">
        <f t="shared" si="105"/>
        <v>Chennai</v>
      </c>
      <c r="T768">
        <f t="shared" si="106"/>
        <v>1152.8</v>
      </c>
      <c r="U768" t="str">
        <f t="shared" si="107"/>
        <v>OK</v>
      </c>
    </row>
    <row r="769" spans="1:21" x14ac:dyDescent="0.3">
      <c r="A769" t="s">
        <v>1005</v>
      </c>
      <c r="B769" s="3">
        <v>46017</v>
      </c>
      <c r="C769" t="s">
        <v>178</v>
      </c>
      <c r="D769" t="s">
        <v>20</v>
      </c>
      <c r="E769" t="s">
        <v>15</v>
      </c>
      <c r="F769" t="s">
        <v>16</v>
      </c>
      <c r="G769" t="s">
        <v>17</v>
      </c>
      <c r="H769">
        <v>4</v>
      </c>
      <c r="I769">
        <v>14834</v>
      </c>
      <c r="J769">
        <v>0.2</v>
      </c>
      <c r="K769">
        <v>47468.800000000003</v>
      </c>
      <c r="L769">
        <v>4697.9799999999996</v>
      </c>
      <c r="M769" t="str">
        <f t="shared" si="99"/>
        <v>Filing Cabinet</v>
      </c>
      <c r="N769" t="str">
        <f t="shared" si="100"/>
        <v>Guwahati</v>
      </c>
      <c r="O769" t="str">
        <f t="shared" si="101"/>
        <v>East</v>
      </c>
      <c r="P769" t="str">
        <f t="shared" si="102"/>
        <v>Furniture</v>
      </c>
      <c r="Q769" t="str">
        <f t="shared" si="103"/>
        <v>Furniture</v>
      </c>
      <c r="R769" t="str">
        <f t="shared" si="104"/>
        <v>East</v>
      </c>
      <c r="S769" t="str">
        <f t="shared" si="105"/>
        <v>Guwahati</v>
      </c>
      <c r="T769">
        <f t="shared" si="106"/>
        <v>47468.800000000003</v>
      </c>
      <c r="U769" t="str">
        <f t="shared" si="107"/>
        <v>OK</v>
      </c>
    </row>
    <row r="770" spans="1:21" x14ac:dyDescent="0.3">
      <c r="A770" t="s">
        <v>1006</v>
      </c>
      <c r="B770" s="3">
        <v>45867</v>
      </c>
      <c r="C770" t="s">
        <v>194</v>
      </c>
      <c r="D770" t="s">
        <v>83</v>
      </c>
      <c r="E770" t="s">
        <v>73</v>
      </c>
      <c r="F770" t="s">
        <v>21</v>
      </c>
      <c r="G770" t="s">
        <v>22</v>
      </c>
      <c r="H770">
        <v>1</v>
      </c>
      <c r="I770">
        <v>372</v>
      </c>
      <c r="J770">
        <v>0</v>
      </c>
      <c r="K770">
        <v>372</v>
      </c>
      <c r="L770">
        <v>36.56</v>
      </c>
      <c r="M770" t="str">
        <f t="shared" si="99"/>
        <v>Printer Paper</v>
      </c>
      <c r="N770" t="str">
        <f t="shared" si="100"/>
        <v>Ahmedabad</v>
      </c>
      <c r="O770" t="str">
        <f t="shared" si="101"/>
        <v>West</v>
      </c>
      <c r="P770" t="str">
        <f t="shared" si="102"/>
        <v>Office Supplies</v>
      </c>
      <c r="Q770" t="str">
        <f t="shared" si="103"/>
        <v>Office Supplies</v>
      </c>
      <c r="R770" t="str">
        <f t="shared" si="104"/>
        <v>West</v>
      </c>
      <c r="S770" t="str">
        <f t="shared" si="105"/>
        <v>Ahmedabad</v>
      </c>
      <c r="T770">
        <f t="shared" si="106"/>
        <v>372</v>
      </c>
      <c r="U770" t="str">
        <f t="shared" si="107"/>
        <v>OK</v>
      </c>
    </row>
    <row r="771" spans="1:21" x14ac:dyDescent="0.3">
      <c r="A771" t="s">
        <v>1007</v>
      </c>
      <c r="B771" s="3">
        <v>45761</v>
      </c>
      <c r="C771" t="s">
        <v>805</v>
      </c>
      <c r="D771" t="s">
        <v>153</v>
      </c>
      <c r="E771" t="s">
        <v>26</v>
      </c>
      <c r="F771" t="s">
        <v>16</v>
      </c>
      <c r="G771" t="s">
        <v>17</v>
      </c>
      <c r="H771">
        <v>1</v>
      </c>
      <c r="I771">
        <v>5415</v>
      </c>
      <c r="J771">
        <v>0</v>
      </c>
      <c r="K771">
        <v>5415</v>
      </c>
      <c r="L771">
        <v>1426.96</v>
      </c>
      <c r="M771" t="str">
        <f t="shared" ref="M771:M834" si="108">TRIM(D771)</f>
        <v>Coffee Maker</v>
      </c>
      <c r="N771" t="str">
        <f t="shared" ref="N771:N834" si="109">TRIM(G771)</f>
        <v>Guwahati</v>
      </c>
      <c r="O771" t="str">
        <f t="shared" ref="O771:O834" si="110">TRIM(F:F)</f>
        <v>East</v>
      </c>
      <c r="P771" t="str">
        <f t="shared" ref="P771:P834" si="111">TRIM(E771)</f>
        <v>Home Appliances</v>
      </c>
      <c r="Q771" t="str">
        <f t="shared" ref="Q771:Q834" si="112">PROPER(E771)</f>
        <v>Home Appliances</v>
      </c>
      <c r="R771" t="str">
        <f t="shared" ref="R771:R834" si="113">PROPER(F771)</f>
        <v>East</v>
      </c>
      <c r="S771" t="str">
        <f t="shared" ref="S771:S834" si="114">PROPER(G771)</f>
        <v>Guwahati</v>
      </c>
      <c r="T771">
        <f t="shared" ref="T771:T834" si="115">H771*I771*(1-J771)</f>
        <v>5415</v>
      </c>
      <c r="U771" t="str">
        <f t="shared" ref="U771:U834" si="116">IF(ROUND(K771,2)=ROUND(T771,2),"OK","CHECK")</f>
        <v>OK</v>
      </c>
    </row>
    <row r="772" spans="1:21" x14ac:dyDescent="0.3">
      <c r="A772" t="s">
        <v>1008</v>
      </c>
      <c r="B772" s="3">
        <v>45996</v>
      </c>
      <c r="C772" t="s">
        <v>37</v>
      </c>
      <c r="D772" t="s">
        <v>97</v>
      </c>
      <c r="E772" t="s">
        <v>44</v>
      </c>
      <c r="F772" t="s">
        <v>21</v>
      </c>
      <c r="G772" t="s">
        <v>55</v>
      </c>
      <c r="H772">
        <v>3</v>
      </c>
      <c r="I772">
        <v>399</v>
      </c>
      <c r="J772">
        <v>0.25</v>
      </c>
      <c r="K772">
        <v>897.75</v>
      </c>
      <c r="L772">
        <v>223.1</v>
      </c>
      <c r="M772" t="str">
        <f t="shared" si="108"/>
        <v>USB Cable</v>
      </c>
      <c r="N772" t="str">
        <f t="shared" si="109"/>
        <v>Pune</v>
      </c>
      <c r="O772" t="str">
        <f t="shared" si="110"/>
        <v>West</v>
      </c>
      <c r="P772" t="str">
        <f t="shared" si="111"/>
        <v>Accessories</v>
      </c>
      <c r="Q772" t="str">
        <f t="shared" si="112"/>
        <v>Accessories</v>
      </c>
      <c r="R772" t="str">
        <f t="shared" si="113"/>
        <v>West</v>
      </c>
      <c r="S772" t="str">
        <f t="shared" si="114"/>
        <v>Pune</v>
      </c>
      <c r="T772">
        <f t="shared" si="115"/>
        <v>897.75</v>
      </c>
      <c r="U772" t="str">
        <f t="shared" si="116"/>
        <v>OK</v>
      </c>
    </row>
    <row r="773" spans="1:21" x14ac:dyDescent="0.3">
      <c r="A773" t="s">
        <v>1009</v>
      </c>
      <c r="B773" s="3">
        <v>45879</v>
      </c>
      <c r="C773" t="s">
        <v>163</v>
      </c>
      <c r="D773" t="s">
        <v>50</v>
      </c>
      <c r="E773" t="s">
        <v>51</v>
      </c>
      <c r="F773" t="s">
        <v>16</v>
      </c>
      <c r="G773" t="s">
        <v>52</v>
      </c>
      <c r="H773">
        <v>2</v>
      </c>
      <c r="I773">
        <v>2594</v>
      </c>
      <c r="J773">
        <v>0.05</v>
      </c>
      <c r="K773">
        <v>4928.6000000000004</v>
      </c>
      <c r="L773">
        <v>1217.9000000000001</v>
      </c>
      <c r="M773" t="str">
        <f t="shared" si="108"/>
        <v>Keyboard</v>
      </c>
      <c r="N773" t="str">
        <f t="shared" si="109"/>
        <v>Kolkata</v>
      </c>
      <c r="O773" t="str">
        <f t="shared" si="110"/>
        <v>East</v>
      </c>
      <c r="P773" t="str">
        <f t="shared" si="111"/>
        <v>Electronics</v>
      </c>
      <c r="Q773" t="str">
        <f t="shared" si="112"/>
        <v>Electronics</v>
      </c>
      <c r="R773" t="str">
        <f t="shared" si="113"/>
        <v>East</v>
      </c>
      <c r="S773" t="str">
        <f t="shared" si="114"/>
        <v>Kolkata</v>
      </c>
      <c r="T773">
        <f t="shared" si="115"/>
        <v>4928.5999999999995</v>
      </c>
      <c r="U773" t="str">
        <f t="shared" si="116"/>
        <v>OK</v>
      </c>
    </row>
    <row r="774" spans="1:21" x14ac:dyDescent="0.3">
      <c r="A774" t="s">
        <v>1010</v>
      </c>
      <c r="B774" s="3">
        <v>45893</v>
      </c>
      <c r="C774" t="s">
        <v>263</v>
      </c>
      <c r="D774" t="s">
        <v>47</v>
      </c>
      <c r="E774" t="s">
        <v>26</v>
      </c>
      <c r="F774" t="s">
        <v>16</v>
      </c>
      <c r="G774" t="s">
        <v>104</v>
      </c>
      <c r="H774">
        <v>2</v>
      </c>
      <c r="I774">
        <v>19058</v>
      </c>
      <c r="J774">
        <v>0.1</v>
      </c>
      <c r="K774">
        <v>34304.400000000001</v>
      </c>
      <c r="L774">
        <v>3172.77</v>
      </c>
      <c r="M774" t="str">
        <f t="shared" si="108"/>
        <v>Air Purifier</v>
      </c>
      <c r="N774" t="str">
        <f t="shared" si="109"/>
        <v>Bhubaneswar</v>
      </c>
      <c r="O774" t="str">
        <f t="shared" si="110"/>
        <v>East</v>
      </c>
      <c r="P774" t="str">
        <f t="shared" si="111"/>
        <v>Home Appliances</v>
      </c>
      <c r="Q774" t="str">
        <f t="shared" si="112"/>
        <v>Home Appliances</v>
      </c>
      <c r="R774" t="str">
        <f t="shared" si="113"/>
        <v>East</v>
      </c>
      <c r="S774" t="str">
        <f t="shared" si="114"/>
        <v>Bhubaneswar</v>
      </c>
      <c r="T774">
        <f t="shared" si="115"/>
        <v>34304.400000000001</v>
      </c>
      <c r="U774" t="str">
        <f t="shared" si="116"/>
        <v>OK</v>
      </c>
    </row>
    <row r="775" spans="1:21" x14ac:dyDescent="0.3">
      <c r="A775" t="s">
        <v>1011</v>
      </c>
      <c r="B775" s="3">
        <v>45921</v>
      </c>
      <c r="C775" t="s">
        <v>354</v>
      </c>
      <c r="D775" t="s">
        <v>20</v>
      </c>
      <c r="E775" t="s">
        <v>15</v>
      </c>
      <c r="F775" t="s">
        <v>58</v>
      </c>
      <c r="G775" t="s">
        <v>126</v>
      </c>
      <c r="H775">
        <v>5</v>
      </c>
      <c r="I775">
        <v>9974</v>
      </c>
      <c r="J775">
        <v>0</v>
      </c>
      <c r="K775">
        <v>49870</v>
      </c>
      <c r="L775">
        <v>7873.82</v>
      </c>
      <c r="M775" t="str">
        <f t="shared" si="108"/>
        <v>Filing Cabinet</v>
      </c>
      <c r="N775" t="str">
        <f t="shared" si="109"/>
        <v>Delhi</v>
      </c>
      <c r="O775" t="str">
        <f t="shared" si="110"/>
        <v>North</v>
      </c>
      <c r="P775" t="str">
        <f t="shared" si="111"/>
        <v>Furniture</v>
      </c>
      <c r="Q775" t="str">
        <f t="shared" si="112"/>
        <v>Furniture</v>
      </c>
      <c r="R775" t="str">
        <f t="shared" si="113"/>
        <v>North</v>
      </c>
      <c r="S775" t="str">
        <f t="shared" si="114"/>
        <v>Delhi</v>
      </c>
      <c r="T775">
        <f t="shared" si="115"/>
        <v>49870</v>
      </c>
      <c r="U775" t="str">
        <f t="shared" si="116"/>
        <v>OK</v>
      </c>
    </row>
    <row r="776" spans="1:21" x14ac:dyDescent="0.3">
      <c r="A776" t="s">
        <v>1012</v>
      </c>
      <c r="B776" s="3">
        <v>45809</v>
      </c>
      <c r="C776" t="s">
        <v>382</v>
      </c>
      <c r="D776" t="s">
        <v>97</v>
      </c>
      <c r="E776" t="s">
        <v>44</v>
      </c>
      <c r="F776" t="s">
        <v>16</v>
      </c>
      <c r="G776" t="s">
        <v>104</v>
      </c>
      <c r="H776">
        <v>1</v>
      </c>
      <c r="I776">
        <v>267</v>
      </c>
      <c r="J776">
        <v>0.1</v>
      </c>
      <c r="K776">
        <v>240.3</v>
      </c>
      <c r="L776">
        <v>20.27</v>
      </c>
      <c r="M776" t="str">
        <f t="shared" si="108"/>
        <v>USB Cable</v>
      </c>
      <c r="N776" t="str">
        <f t="shared" si="109"/>
        <v>Bhubaneswar</v>
      </c>
      <c r="O776" t="str">
        <f t="shared" si="110"/>
        <v>East</v>
      </c>
      <c r="P776" t="str">
        <f t="shared" si="111"/>
        <v>Accessories</v>
      </c>
      <c r="Q776" t="str">
        <f t="shared" si="112"/>
        <v>Accessories</v>
      </c>
      <c r="R776" t="str">
        <f t="shared" si="113"/>
        <v>East</v>
      </c>
      <c r="S776" t="str">
        <f t="shared" si="114"/>
        <v>Bhubaneswar</v>
      </c>
      <c r="T776">
        <f t="shared" si="115"/>
        <v>240.3</v>
      </c>
      <c r="U776" t="str">
        <f t="shared" si="116"/>
        <v>OK</v>
      </c>
    </row>
    <row r="777" spans="1:21" x14ac:dyDescent="0.3">
      <c r="A777" t="s">
        <v>1013</v>
      </c>
      <c r="B777" s="3">
        <v>45876</v>
      </c>
      <c r="C777" t="s">
        <v>87</v>
      </c>
      <c r="D777" t="s">
        <v>307</v>
      </c>
      <c r="E777" t="s">
        <v>73</v>
      </c>
      <c r="F777" t="s">
        <v>21</v>
      </c>
      <c r="G777" t="s">
        <v>55</v>
      </c>
      <c r="H777">
        <v>1</v>
      </c>
      <c r="I777">
        <v>214</v>
      </c>
      <c r="J777">
        <v>0.1</v>
      </c>
      <c r="K777">
        <v>192.6</v>
      </c>
      <c r="L777">
        <v>48.1</v>
      </c>
      <c r="M777" t="str">
        <f t="shared" si="108"/>
        <v>Notebook</v>
      </c>
      <c r="N777" t="str">
        <f t="shared" si="109"/>
        <v>Pune</v>
      </c>
      <c r="O777" t="str">
        <f t="shared" si="110"/>
        <v>West</v>
      </c>
      <c r="P777" t="str">
        <f t="shared" si="111"/>
        <v>Office Supplies</v>
      </c>
      <c r="Q777" t="str">
        <f t="shared" si="112"/>
        <v>Office Supplies</v>
      </c>
      <c r="R777" t="str">
        <f t="shared" si="113"/>
        <v>West</v>
      </c>
      <c r="S777" t="str">
        <f t="shared" si="114"/>
        <v>Pune</v>
      </c>
      <c r="T777">
        <f t="shared" si="115"/>
        <v>192.6</v>
      </c>
      <c r="U777" t="str">
        <f t="shared" si="116"/>
        <v>OK</v>
      </c>
    </row>
    <row r="778" spans="1:21" x14ac:dyDescent="0.3">
      <c r="A778" t="s">
        <v>1014</v>
      </c>
      <c r="B778" s="3">
        <v>45666</v>
      </c>
      <c r="C778" t="s">
        <v>731</v>
      </c>
      <c r="D778" t="s">
        <v>65</v>
      </c>
      <c r="E778" t="s">
        <v>26</v>
      </c>
      <c r="F778" t="s">
        <v>27</v>
      </c>
      <c r="G778" t="s">
        <v>28</v>
      </c>
      <c r="H778">
        <v>1</v>
      </c>
      <c r="I778">
        <v>1842</v>
      </c>
      <c r="J778">
        <v>0.1</v>
      </c>
      <c r="K778">
        <v>1657.8</v>
      </c>
      <c r="L778">
        <v>236.92</v>
      </c>
      <c r="M778" t="str">
        <f t="shared" si="108"/>
        <v>Electric Kettle</v>
      </c>
      <c r="N778" t="str">
        <f t="shared" si="109"/>
        <v>Bengaluru</v>
      </c>
      <c r="O778" t="str">
        <f t="shared" si="110"/>
        <v>South</v>
      </c>
      <c r="P778" t="str">
        <f t="shared" si="111"/>
        <v>Home Appliances</v>
      </c>
      <c r="Q778" t="str">
        <f t="shared" si="112"/>
        <v>Home Appliances</v>
      </c>
      <c r="R778" t="str">
        <f t="shared" si="113"/>
        <v>South</v>
      </c>
      <c r="S778" t="str">
        <f t="shared" si="114"/>
        <v>Bengaluru</v>
      </c>
      <c r="T778">
        <f t="shared" si="115"/>
        <v>1657.8</v>
      </c>
      <c r="U778" t="str">
        <f t="shared" si="116"/>
        <v>OK</v>
      </c>
    </row>
    <row r="779" spans="1:21" x14ac:dyDescent="0.3">
      <c r="A779" t="s">
        <v>1015</v>
      </c>
      <c r="B779" s="3">
        <v>45722</v>
      </c>
      <c r="C779" t="s">
        <v>398</v>
      </c>
      <c r="D779" t="s">
        <v>88</v>
      </c>
      <c r="E779" t="s">
        <v>73</v>
      </c>
      <c r="F779" t="s">
        <v>58</v>
      </c>
      <c r="G779" t="s">
        <v>126</v>
      </c>
      <c r="H779">
        <v>1</v>
      </c>
      <c r="I779">
        <v>313</v>
      </c>
      <c r="J779">
        <v>0.05</v>
      </c>
      <c r="K779">
        <v>297.35000000000002</v>
      </c>
      <c r="L779">
        <v>63.55</v>
      </c>
      <c r="M779" t="str">
        <f t="shared" si="108"/>
        <v>Stapler</v>
      </c>
      <c r="N779" t="str">
        <f t="shared" si="109"/>
        <v>Delhi</v>
      </c>
      <c r="O779" t="str">
        <f t="shared" si="110"/>
        <v>North</v>
      </c>
      <c r="P779" t="str">
        <f t="shared" si="111"/>
        <v>Office Supplies</v>
      </c>
      <c r="Q779" t="str">
        <f t="shared" si="112"/>
        <v>Office Supplies</v>
      </c>
      <c r="R779" t="str">
        <f t="shared" si="113"/>
        <v>North</v>
      </c>
      <c r="S779" t="str">
        <f t="shared" si="114"/>
        <v>Delhi</v>
      </c>
      <c r="T779">
        <f t="shared" si="115"/>
        <v>297.34999999999997</v>
      </c>
      <c r="U779" t="str">
        <f t="shared" si="116"/>
        <v>OK</v>
      </c>
    </row>
    <row r="780" spans="1:21" x14ac:dyDescent="0.3">
      <c r="A780" t="s">
        <v>1016</v>
      </c>
      <c r="B780" s="3">
        <v>45874</v>
      </c>
      <c r="C780" t="s">
        <v>640</v>
      </c>
      <c r="D780" t="s">
        <v>47</v>
      </c>
      <c r="E780" t="s">
        <v>26</v>
      </c>
      <c r="F780" t="s">
        <v>58</v>
      </c>
      <c r="G780" t="s">
        <v>126</v>
      </c>
      <c r="H780">
        <v>3</v>
      </c>
      <c r="I780">
        <v>15071</v>
      </c>
      <c r="J780">
        <v>0.1</v>
      </c>
      <c r="K780">
        <v>40691.699999999997</v>
      </c>
      <c r="L780">
        <v>5233.97</v>
      </c>
      <c r="M780" t="str">
        <f t="shared" si="108"/>
        <v>Air Purifier</v>
      </c>
      <c r="N780" t="str">
        <f t="shared" si="109"/>
        <v>Delhi</v>
      </c>
      <c r="O780" t="str">
        <f t="shared" si="110"/>
        <v>North</v>
      </c>
      <c r="P780" t="str">
        <f t="shared" si="111"/>
        <v>Home Appliances</v>
      </c>
      <c r="Q780" t="str">
        <f t="shared" si="112"/>
        <v>Home Appliances</v>
      </c>
      <c r="R780" t="str">
        <f t="shared" si="113"/>
        <v>North</v>
      </c>
      <c r="S780" t="str">
        <f t="shared" si="114"/>
        <v>Delhi</v>
      </c>
      <c r="T780">
        <f t="shared" si="115"/>
        <v>40691.700000000004</v>
      </c>
      <c r="U780" t="str">
        <f t="shared" si="116"/>
        <v>OK</v>
      </c>
    </row>
    <row r="781" spans="1:21" x14ac:dyDescent="0.3">
      <c r="A781" t="s">
        <v>1017</v>
      </c>
      <c r="B781" s="3">
        <v>45925</v>
      </c>
      <c r="C781" t="s">
        <v>61</v>
      </c>
      <c r="D781" t="s">
        <v>120</v>
      </c>
      <c r="E781" t="s">
        <v>51</v>
      </c>
      <c r="F781" t="s">
        <v>58</v>
      </c>
      <c r="G781" t="s">
        <v>69</v>
      </c>
      <c r="H781">
        <v>1</v>
      </c>
      <c r="I781">
        <v>1561</v>
      </c>
      <c r="J781">
        <v>0.1</v>
      </c>
      <c r="K781">
        <v>1404.9</v>
      </c>
      <c r="L781">
        <v>344.06</v>
      </c>
      <c r="M781" t="str">
        <f t="shared" si="108"/>
        <v>Mouse</v>
      </c>
      <c r="N781" t="str">
        <f t="shared" si="109"/>
        <v>Jaipur</v>
      </c>
      <c r="O781" t="str">
        <f t="shared" si="110"/>
        <v>North</v>
      </c>
      <c r="P781" t="str">
        <f t="shared" si="111"/>
        <v>Electronics</v>
      </c>
      <c r="Q781" t="str">
        <f t="shared" si="112"/>
        <v>Electronics</v>
      </c>
      <c r="R781" t="str">
        <f t="shared" si="113"/>
        <v>North</v>
      </c>
      <c r="S781" t="str">
        <f t="shared" si="114"/>
        <v>Jaipur</v>
      </c>
      <c r="T781">
        <f t="shared" si="115"/>
        <v>1404.9</v>
      </c>
      <c r="U781" t="str">
        <f t="shared" si="116"/>
        <v>OK</v>
      </c>
    </row>
    <row r="782" spans="1:21" x14ac:dyDescent="0.3">
      <c r="A782" t="s">
        <v>1018</v>
      </c>
      <c r="B782" s="3">
        <v>45715</v>
      </c>
      <c r="C782" t="s">
        <v>199</v>
      </c>
      <c r="D782" t="s">
        <v>103</v>
      </c>
      <c r="E782" t="s">
        <v>51</v>
      </c>
      <c r="F782" t="s">
        <v>16</v>
      </c>
      <c r="G782" t="s">
        <v>52</v>
      </c>
      <c r="H782">
        <v>3</v>
      </c>
      <c r="I782">
        <v>1257</v>
      </c>
      <c r="J782">
        <v>0.1</v>
      </c>
      <c r="K782">
        <v>3393.9</v>
      </c>
      <c r="L782">
        <v>296.99</v>
      </c>
      <c r="M782" t="str">
        <f t="shared" si="108"/>
        <v>Headphones</v>
      </c>
      <c r="N782" t="str">
        <f t="shared" si="109"/>
        <v>Kolkata</v>
      </c>
      <c r="O782" t="str">
        <f t="shared" si="110"/>
        <v>East</v>
      </c>
      <c r="P782" t="str">
        <f t="shared" si="111"/>
        <v>Electronics</v>
      </c>
      <c r="Q782" t="str">
        <f t="shared" si="112"/>
        <v>Electronics</v>
      </c>
      <c r="R782" t="str">
        <f t="shared" si="113"/>
        <v>East</v>
      </c>
      <c r="S782" t="str">
        <f t="shared" si="114"/>
        <v>Kolkata</v>
      </c>
      <c r="T782">
        <f t="shared" si="115"/>
        <v>3393.9</v>
      </c>
      <c r="U782" t="str">
        <f t="shared" si="116"/>
        <v>OK</v>
      </c>
    </row>
    <row r="783" spans="1:21" x14ac:dyDescent="0.3">
      <c r="A783" t="s">
        <v>1019</v>
      </c>
      <c r="B783" s="3">
        <v>45889</v>
      </c>
      <c r="C783" t="s">
        <v>125</v>
      </c>
      <c r="D783" t="s">
        <v>307</v>
      </c>
      <c r="E783" t="s">
        <v>73</v>
      </c>
      <c r="F783" t="s">
        <v>21</v>
      </c>
      <c r="G783" t="s">
        <v>55</v>
      </c>
      <c r="H783">
        <v>5</v>
      </c>
      <c r="I783">
        <v>420</v>
      </c>
      <c r="J783">
        <v>0.05</v>
      </c>
      <c r="K783">
        <v>1995</v>
      </c>
      <c r="L783">
        <v>243.01</v>
      </c>
      <c r="M783" t="str">
        <f t="shared" si="108"/>
        <v>Notebook</v>
      </c>
      <c r="N783" t="str">
        <f t="shared" si="109"/>
        <v>Pune</v>
      </c>
      <c r="O783" t="str">
        <f t="shared" si="110"/>
        <v>West</v>
      </c>
      <c r="P783" t="str">
        <f t="shared" si="111"/>
        <v>Office Supplies</v>
      </c>
      <c r="Q783" t="str">
        <f t="shared" si="112"/>
        <v>Office Supplies</v>
      </c>
      <c r="R783" t="str">
        <f t="shared" si="113"/>
        <v>West</v>
      </c>
      <c r="S783" t="str">
        <f t="shared" si="114"/>
        <v>Pune</v>
      </c>
      <c r="T783">
        <f t="shared" si="115"/>
        <v>1995</v>
      </c>
      <c r="U783" t="str">
        <f t="shared" si="116"/>
        <v>OK</v>
      </c>
    </row>
    <row r="784" spans="1:21" x14ac:dyDescent="0.3">
      <c r="A784" t="s">
        <v>1020</v>
      </c>
      <c r="B784" s="3">
        <v>45750</v>
      </c>
      <c r="C784" t="s">
        <v>263</v>
      </c>
      <c r="D784" t="s">
        <v>47</v>
      </c>
      <c r="E784" t="s">
        <v>26</v>
      </c>
      <c r="F784" t="s">
        <v>27</v>
      </c>
      <c r="G784" t="s">
        <v>28</v>
      </c>
      <c r="H784">
        <v>1</v>
      </c>
      <c r="I784">
        <v>19012</v>
      </c>
      <c r="J784">
        <v>0.1</v>
      </c>
      <c r="K784">
        <v>17110.8</v>
      </c>
      <c r="L784">
        <v>3091.97</v>
      </c>
      <c r="M784" t="str">
        <f t="shared" si="108"/>
        <v>Air Purifier</v>
      </c>
      <c r="N784" t="str">
        <f t="shared" si="109"/>
        <v>Bengaluru</v>
      </c>
      <c r="O784" t="str">
        <f t="shared" si="110"/>
        <v>South</v>
      </c>
      <c r="P784" t="str">
        <f t="shared" si="111"/>
        <v>Home Appliances</v>
      </c>
      <c r="Q784" t="str">
        <f t="shared" si="112"/>
        <v>Home Appliances</v>
      </c>
      <c r="R784" t="str">
        <f t="shared" si="113"/>
        <v>South</v>
      </c>
      <c r="S784" t="str">
        <f t="shared" si="114"/>
        <v>Bengaluru</v>
      </c>
      <c r="T784">
        <f t="shared" si="115"/>
        <v>17110.8</v>
      </c>
      <c r="U784" t="str">
        <f t="shared" si="116"/>
        <v>OK</v>
      </c>
    </row>
    <row r="785" spans="1:21" x14ac:dyDescent="0.3">
      <c r="A785" t="s">
        <v>1021</v>
      </c>
      <c r="B785" s="3">
        <v>45680</v>
      </c>
      <c r="C785" t="s">
        <v>713</v>
      </c>
      <c r="D785" t="s">
        <v>43</v>
      </c>
      <c r="E785" t="s">
        <v>44</v>
      </c>
      <c r="F785" t="s">
        <v>58</v>
      </c>
      <c r="G785" t="s">
        <v>126</v>
      </c>
      <c r="H785">
        <v>4</v>
      </c>
      <c r="I785">
        <v>1395</v>
      </c>
      <c r="J785">
        <v>0</v>
      </c>
      <c r="K785">
        <v>5580</v>
      </c>
      <c r="L785">
        <v>490.39</v>
      </c>
      <c r="M785" t="str">
        <f t="shared" si="108"/>
        <v>Phone Holder</v>
      </c>
      <c r="N785" t="str">
        <f t="shared" si="109"/>
        <v>Delhi</v>
      </c>
      <c r="O785" t="str">
        <f t="shared" si="110"/>
        <v>North</v>
      </c>
      <c r="P785" t="str">
        <f t="shared" si="111"/>
        <v>Accessories</v>
      </c>
      <c r="Q785" t="str">
        <f t="shared" si="112"/>
        <v>Accessories</v>
      </c>
      <c r="R785" t="str">
        <f t="shared" si="113"/>
        <v>North</v>
      </c>
      <c r="S785" t="str">
        <f t="shared" si="114"/>
        <v>Delhi</v>
      </c>
      <c r="T785">
        <f t="shared" si="115"/>
        <v>5580</v>
      </c>
      <c r="U785" t="str">
        <f t="shared" si="116"/>
        <v>OK</v>
      </c>
    </row>
    <row r="786" spans="1:21" x14ac:dyDescent="0.3">
      <c r="A786" t="s">
        <v>1022</v>
      </c>
      <c r="B786" s="3">
        <v>46020</v>
      </c>
      <c r="C786" t="s">
        <v>174</v>
      </c>
      <c r="D786" t="s">
        <v>47</v>
      </c>
      <c r="E786" t="s">
        <v>26</v>
      </c>
      <c r="F786" t="s">
        <v>21</v>
      </c>
      <c r="G786" t="s">
        <v>55</v>
      </c>
      <c r="H786">
        <v>1</v>
      </c>
      <c r="I786">
        <v>9605</v>
      </c>
      <c r="J786">
        <v>0.1</v>
      </c>
      <c r="K786">
        <v>8644.5</v>
      </c>
      <c r="L786">
        <v>1807.73</v>
      </c>
      <c r="M786" t="str">
        <f t="shared" si="108"/>
        <v>Air Purifier</v>
      </c>
      <c r="N786" t="str">
        <f t="shared" si="109"/>
        <v>Pune</v>
      </c>
      <c r="O786" t="str">
        <f t="shared" si="110"/>
        <v>West</v>
      </c>
      <c r="P786" t="str">
        <f t="shared" si="111"/>
        <v>Home Appliances</v>
      </c>
      <c r="Q786" t="str">
        <f t="shared" si="112"/>
        <v>Home Appliances</v>
      </c>
      <c r="R786" t="str">
        <f t="shared" si="113"/>
        <v>West</v>
      </c>
      <c r="S786" t="str">
        <f t="shared" si="114"/>
        <v>Pune</v>
      </c>
      <c r="T786">
        <f t="shared" si="115"/>
        <v>8644.5</v>
      </c>
      <c r="U786" t="str">
        <f t="shared" si="116"/>
        <v>OK</v>
      </c>
    </row>
    <row r="787" spans="1:21" x14ac:dyDescent="0.3">
      <c r="A787" t="s">
        <v>1023</v>
      </c>
      <c r="B787" s="3">
        <v>45719</v>
      </c>
      <c r="C787" t="s">
        <v>61</v>
      </c>
      <c r="D787" t="s">
        <v>34</v>
      </c>
      <c r="E787" t="s">
        <v>15</v>
      </c>
      <c r="F787" t="s">
        <v>21</v>
      </c>
      <c r="G787" t="s">
        <v>22</v>
      </c>
      <c r="H787">
        <v>3</v>
      </c>
      <c r="I787">
        <v>12036</v>
      </c>
      <c r="J787">
        <v>0.1</v>
      </c>
      <c r="K787">
        <v>32497.200000000001</v>
      </c>
      <c r="L787">
        <v>3172.65</v>
      </c>
      <c r="M787" t="str">
        <f t="shared" si="108"/>
        <v>Desk</v>
      </c>
      <c r="N787" t="str">
        <f t="shared" si="109"/>
        <v>Ahmedabad</v>
      </c>
      <c r="O787" t="str">
        <f t="shared" si="110"/>
        <v>West</v>
      </c>
      <c r="P787" t="str">
        <f t="shared" si="111"/>
        <v>Furniture</v>
      </c>
      <c r="Q787" t="str">
        <f t="shared" si="112"/>
        <v>Furniture</v>
      </c>
      <c r="R787" t="str">
        <f t="shared" si="113"/>
        <v>West</v>
      </c>
      <c r="S787" t="str">
        <f t="shared" si="114"/>
        <v>Ahmedabad</v>
      </c>
      <c r="T787">
        <f t="shared" si="115"/>
        <v>32497.200000000001</v>
      </c>
      <c r="U787" t="str">
        <f t="shared" si="116"/>
        <v>OK</v>
      </c>
    </row>
    <row r="788" spans="1:21" x14ac:dyDescent="0.3">
      <c r="A788" t="s">
        <v>1024</v>
      </c>
      <c r="B788" s="3">
        <v>45861</v>
      </c>
      <c r="C788" t="s">
        <v>178</v>
      </c>
      <c r="D788" t="s">
        <v>307</v>
      </c>
      <c r="E788" t="s">
        <v>73</v>
      </c>
      <c r="F788" t="s">
        <v>58</v>
      </c>
      <c r="G788" t="s">
        <v>69</v>
      </c>
      <c r="H788">
        <v>1</v>
      </c>
      <c r="I788">
        <v>264</v>
      </c>
      <c r="J788">
        <v>0.05</v>
      </c>
      <c r="K788">
        <v>250.8</v>
      </c>
      <c r="L788">
        <v>42.16</v>
      </c>
      <c r="M788" t="str">
        <f t="shared" si="108"/>
        <v>Notebook</v>
      </c>
      <c r="N788" t="str">
        <f t="shared" si="109"/>
        <v>Jaipur</v>
      </c>
      <c r="O788" t="str">
        <f t="shared" si="110"/>
        <v>North</v>
      </c>
      <c r="P788" t="str">
        <f t="shared" si="111"/>
        <v>Office Supplies</v>
      </c>
      <c r="Q788" t="str">
        <f t="shared" si="112"/>
        <v>Office Supplies</v>
      </c>
      <c r="R788" t="str">
        <f t="shared" si="113"/>
        <v>North</v>
      </c>
      <c r="S788" t="str">
        <f t="shared" si="114"/>
        <v>Jaipur</v>
      </c>
      <c r="T788">
        <f t="shared" si="115"/>
        <v>250.79999999999998</v>
      </c>
      <c r="U788" t="str">
        <f t="shared" si="116"/>
        <v>OK</v>
      </c>
    </row>
    <row r="789" spans="1:21" x14ac:dyDescent="0.3">
      <c r="A789" t="s">
        <v>1025</v>
      </c>
      <c r="B789" s="3">
        <v>45771</v>
      </c>
      <c r="C789" t="s">
        <v>551</v>
      </c>
      <c r="D789" t="s">
        <v>20</v>
      </c>
      <c r="E789" t="s">
        <v>15</v>
      </c>
      <c r="F789" t="s">
        <v>16</v>
      </c>
      <c r="G789" t="s">
        <v>104</v>
      </c>
      <c r="H789">
        <v>4</v>
      </c>
      <c r="I789">
        <v>5657</v>
      </c>
      <c r="J789">
        <v>0.2</v>
      </c>
      <c r="K789">
        <v>18102.400000000001</v>
      </c>
      <c r="L789">
        <v>2639.6</v>
      </c>
      <c r="M789" t="str">
        <f t="shared" si="108"/>
        <v>Filing Cabinet</v>
      </c>
      <c r="N789" t="str">
        <f t="shared" si="109"/>
        <v>Bhubaneswar</v>
      </c>
      <c r="O789" t="str">
        <f t="shared" si="110"/>
        <v>East</v>
      </c>
      <c r="P789" t="str">
        <f t="shared" si="111"/>
        <v>Furniture</v>
      </c>
      <c r="Q789" t="str">
        <f t="shared" si="112"/>
        <v>Furniture</v>
      </c>
      <c r="R789" t="str">
        <f t="shared" si="113"/>
        <v>East</v>
      </c>
      <c r="S789" t="str">
        <f t="shared" si="114"/>
        <v>Bhubaneswar</v>
      </c>
      <c r="T789">
        <f t="shared" si="115"/>
        <v>18102.400000000001</v>
      </c>
      <c r="U789" t="str">
        <f t="shared" si="116"/>
        <v>OK</v>
      </c>
    </row>
    <row r="790" spans="1:21" x14ac:dyDescent="0.3">
      <c r="A790" t="s">
        <v>1026</v>
      </c>
      <c r="B790" s="3">
        <v>45957</v>
      </c>
      <c r="C790" t="s">
        <v>429</v>
      </c>
      <c r="D790" t="s">
        <v>14</v>
      </c>
      <c r="E790" t="s">
        <v>15</v>
      </c>
      <c r="F790" t="s">
        <v>58</v>
      </c>
      <c r="G790" t="s">
        <v>69</v>
      </c>
      <c r="H790">
        <v>1</v>
      </c>
      <c r="I790">
        <v>8274</v>
      </c>
      <c r="J790">
        <v>0</v>
      </c>
      <c r="K790">
        <v>8274</v>
      </c>
      <c r="L790">
        <v>1176.57</v>
      </c>
      <c r="M790" t="str">
        <f t="shared" si="108"/>
        <v>Office Chair</v>
      </c>
      <c r="N790" t="str">
        <f t="shared" si="109"/>
        <v>Jaipur</v>
      </c>
      <c r="O790" t="str">
        <f t="shared" si="110"/>
        <v>North</v>
      </c>
      <c r="P790" t="str">
        <f t="shared" si="111"/>
        <v>Furniture</v>
      </c>
      <c r="Q790" t="str">
        <f t="shared" si="112"/>
        <v>Furniture</v>
      </c>
      <c r="R790" t="str">
        <f t="shared" si="113"/>
        <v>North</v>
      </c>
      <c r="S790" t="str">
        <f t="shared" si="114"/>
        <v>Jaipur</v>
      </c>
      <c r="T790">
        <f t="shared" si="115"/>
        <v>8274</v>
      </c>
      <c r="U790" t="str">
        <f t="shared" si="116"/>
        <v>OK</v>
      </c>
    </row>
    <row r="791" spans="1:21" x14ac:dyDescent="0.3">
      <c r="A791" t="s">
        <v>1027</v>
      </c>
      <c r="B791" s="3">
        <v>45881</v>
      </c>
      <c r="C791" t="s">
        <v>394</v>
      </c>
      <c r="D791" t="s">
        <v>14</v>
      </c>
      <c r="E791" t="s">
        <v>15</v>
      </c>
      <c r="F791" t="s">
        <v>16</v>
      </c>
      <c r="G791" t="s">
        <v>104</v>
      </c>
      <c r="H791">
        <v>1</v>
      </c>
      <c r="I791">
        <v>16649</v>
      </c>
      <c r="J791">
        <v>0</v>
      </c>
      <c r="K791">
        <v>16649</v>
      </c>
      <c r="L791">
        <v>2451.88</v>
      </c>
      <c r="M791" t="str">
        <f t="shared" si="108"/>
        <v>Office Chair</v>
      </c>
      <c r="N791" t="str">
        <f t="shared" si="109"/>
        <v>Bhubaneswar</v>
      </c>
      <c r="O791" t="str">
        <f t="shared" si="110"/>
        <v>East</v>
      </c>
      <c r="P791" t="str">
        <f t="shared" si="111"/>
        <v>Furniture</v>
      </c>
      <c r="Q791" t="str">
        <f t="shared" si="112"/>
        <v>Furniture</v>
      </c>
      <c r="R791" t="str">
        <f t="shared" si="113"/>
        <v>East</v>
      </c>
      <c r="S791" t="str">
        <f t="shared" si="114"/>
        <v>Bhubaneswar</v>
      </c>
      <c r="T791">
        <f t="shared" si="115"/>
        <v>16649</v>
      </c>
      <c r="U791" t="str">
        <f t="shared" si="116"/>
        <v>OK</v>
      </c>
    </row>
    <row r="792" spans="1:21" x14ac:dyDescent="0.3">
      <c r="A792" t="s">
        <v>1028</v>
      </c>
      <c r="B792" s="3">
        <v>45753</v>
      </c>
      <c r="C792" t="s">
        <v>197</v>
      </c>
      <c r="D792" t="s">
        <v>72</v>
      </c>
      <c r="E792" t="s">
        <v>73</v>
      </c>
      <c r="F792" t="s">
        <v>21</v>
      </c>
      <c r="G792" t="s">
        <v>35</v>
      </c>
      <c r="H792">
        <v>2</v>
      </c>
      <c r="I792">
        <v>422</v>
      </c>
      <c r="J792">
        <v>0.15</v>
      </c>
      <c r="K792">
        <v>717.4</v>
      </c>
      <c r="L792">
        <v>93.57</v>
      </c>
      <c r="M792" t="str">
        <f t="shared" si="108"/>
        <v>Desk Organizer</v>
      </c>
      <c r="N792" t="str">
        <f t="shared" si="109"/>
        <v>Mumbai</v>
      </c>
      <c r="O792" t="str">
        <f t="shared" si="110"/>
        <v>West</v>
      </c>
      <c r="P792" t="str">
        <f t="shared" si="111"/>
        <v>Office Supplies</v>
      </c>
      <c r="Q792" t="str">
        <f t="shared" si="112"/>
        <v>Office Supplies</v>
      </c>
      <c r="R792" t="str">
        <f t="shared" si="113"/>
        <v>West</v>
      </c>
      <c r="S792" t="str">
        <f t="shared" si="114"/>
        <v>Mumbai</v>
      </c>
      <c r="T792">
        <f t="shared" si="115"/>
        <v>717.4</v>
      </c>
      <c r="U792" t="str">
        <f t="shared" si="116"/>
        <v>OK</v>
      </c>
    </row>
    <row r="793" spans="1:21" x14ac:dyDescent="0.3">
      <c r="A793" t="s">
        <v>1029</v>
      </c>
      <c r="B793" s="3">
        <v>45790</v>
      </c>
      <c r="C793" t="s">
        <v>300</v>
      </c>
      <c r="D793" t="s">
        <v>65</v>
      </c>
      <c r="E793" t="s">
        <v>26</v>
      </c>
      <c r="F793" t="s">
        <v>27</v>
      </c>
      <c r="G793" t="s">
        <v>31</v>
      </c>
      <c r="H793">
        <v>1</v>
      </c>
      <c r="I793">
        <v>4350</v>
      </c>
      <c r="J793">
        <v>0.15</v>
      </c>
      <c r="K793">
        <v>3697.5</v>
      </c>
      <c r="L793">
        <v>819.32</v>
      </c>
      <c r="M793" t="str">
        <f t="shared" si="108"/>
        <v>Electric Kettle</v>
      </c>
      <c r="N793" t="str">
        <f t="shared" si="109"/>
        <v>Hyderabad</v>
      </c>
      <c r="O793" t="str">
        <f t="shared" si="110"/>
        <v>South</v>
      </c>
      <c r="P793" t="str">
        <f t="shared" si="111"/>
        <v>Home Appliances</v>
      </c>
      <c r="Q793" t="str">
        <f t="shared" si="112"/>
        <v>Home Appliances</v>
      </c>
      <c r="R793" t="str">
        <f t="shared" si="113"/>
        <v>South</v>
      </c>
      <c r="S793" t="str">
        <f t="shared" si="114"/>
        <v>Hyderabad</v>
      </c>
      <c r="T793">
        <f t="shared" si="115"/>
        <v>3697.5</v>
      </c>
      <c r="U793" t="str">
        <f t="shared" si="116"/>
        <v>OK</v>
      </c>
    </row>
    <row r="794" spans="1:21" x14ac:dyDescent="0.3">
      <c r="A794" t="s">
        <v>1030</v>
      </c>
      <c r="B794" s="3">
        <v>45991</v>
      </c>
      <c r="C794" t="s">
        <v>436</v>
      </c>
      <c r="D794" t="s">
        <v>50</v>
      </c>
      <c r="E794" t="s">
        <v>51</v>
      </c>
      <c r="F794" t="s">
        <v>21</v>
      </c>
      <c r="G794" t="s">
        <v>22</v>
      </c>
      <c r="H794">
        <v>2</v>
      </c>
      <c r="I794">
        <v>2256</v>
      </c>
      <c r="J794">
        <v>0.2</v>
      </c>
      <c r="K794">
        <v>3609.6</v>
      </c>
      <c r="L794">
        <v>638.33000000000004</v>
      </c>
      <c r="M794" t="str">
        <f t="shared" si="108"/>
        <v>Keyboard</v>
      </c>
      <c r="N794" t="str">
        <f t="shared" si="109"/>
        <v>Ahmedabad</v>
      </c>
      <c r="O794" t="str">
        <f t="shared" si="110"/>
        <v>West</v>
      </c>
      <c r="P794" t="str">
        <f t="shared" si="111"/>
        <v>Electronics</v>
      </c>
      <c r="Q794" t="str">
        <f t="shared" si="112"/>
        <v>Electronics</v>
      </c>
      <c r="R794" t="str">
        <f t="shared" si="113"/>
        <v>West</v>
      </c>
      <c r="S794" t="str">
        <f t="shared" si="114"/>
        <v>Ahmedabad</v>
      </c>
      <c r="T794">
        <f t="shared" si="115"/>
        <v>3609.6000000000004</v>
      </c>
      <c r="U794" t="str">
        <f t="shared" si="116"/>
        <v>OK</v>
      </c>
    </row>
    <row r="795" spans="1:21" x14ac:dyDescent="0.3">
      <c r="A795" t="s">
        <v>1031</v>
      </c>
      <c r="B795" s="3">
        <v>45770</v>
      </c>
      <c r="C795" t="s">
        <v>266</v>
      </c>
      <c r="D795" t="s">
        <v>20</v>
      </c>
      <c r="E795" t="s">
        <v>15</v>
      </c>
      <c r="F795" t="s">
        <v>27</v>
      </c>
      <c r="G795" t="s">
        <v>40</v>
      </c>
      <c r="H795">
        <v>1</v>
      </c>
      <c r="I795">
        <v>10491</v>
      </c>
      <c r="J795">
        <v>0.1</v>
      </c>
      <c r="K795">
        <v>9441.9</v>
      </c>
      <c r="L795">
        <v>873.34</v>
      </c>
      <c r="M795" t="str">
        <f t="shared" si="108"/>
        <v>Filing Cabinet</v>
      </c>
      <c r="N795" t="str">
        <f t="shared" si="109"/>
        <v>Chennai</v>
      </c>
      <c r="O795" t="str">
        <f t="shared" si="110"/>
        <v>South</v>
      </c>
      <c r="P795" t="str">
        <f t="shared" si="111"/>
        <v>Furniture</v>
      </c>
      <c r="Q795" t="str">
        <f t="shared" si="112"/>
        <v>Furniture</v>
      </c>
      <c r="R795" t="str">
        <f t="shared" si="113"/>
        <v>South</v>
      </c>
      <c r="S795" t="str">
        <f t="shared" si="114"/>
        <v>Chennai</v>
      </c>
      <c r="T795">
        <f t="shared" si="115"/>
        <v>9441.9</v>
      </c>
      <c r="U795" t="str">
        <f t="shared" si="116"/>
        <v>OK</v>
      </c>
    </row>
    <row r="796" spans="1:21" x14ac:dyDescent="0.3">
      <c r="A796" t="s">
        <v>1032</v>
      </c>
      <c r="B796" s="3">
        <v>45701</v>
      </c>
      <c r="C796" t="s">
        <v>705</v>
      </c>
      <c r="D796" t="s">
        <v>120</v>
      </c>
      <c r="E796" t="s">
        <v>51</v>
      </c>
      <c r="F796" t="s">
        <v>27</v>
      </c>
      <c r="G796" t="s">
        <v>28</v>
      </c>
      <c r="H796">
        <v>2</v>
      </c>
      <c r="I796">
        <v>1990</v>
      </c>
      <c r="J796">
        <v>0.2</v>
      </c>
      <c r="K796">
        <v>3184</v>
      </c>
      <c r="L796">
        <v>564.67999999999995</v>
      </c>
      <c r="M796" t="str">
        <f t="shared" si="108"/>
        <v>Mouse</v>
      </c>
      <c r="N796" t="str">
        <f t="shared" si="109"/>
        <v>Bengaluru</v>
      </c>
      <c r="O796" t="str">
        <f t="shared" si="110"/>
        <v>South</v>
      </c>
      <c r="P796" t="str">
        <f t="shared" si="111"/>
        <v>Electronics</v>
      </c>
      <c r="Q796" t="str">
        <f t="shared" si="112"/>
        <v>Electronics</v>
      </c>
      <c r="R796" t="str">
        <f t="shared" si="113"/>
        <v>South</v>
      </c>
      <c r="S796" t="str">
        <f t="shared" si="114"/>
        <v>Bengaluru</v>
      </c>
      <c r="T796">
        <f t="shared" si="115"/>
        <v>3184</v>
      </c>
      <c r="U796" t="str">
        <f t="shared" si="116"/>
        <v>OK</v>
      </c>
    </row>
    <row r="797" spans="1:21" x14ac:dyDescent="0.3">
      <c r="A797" t="s">
        <v>1033</v>
      </c>
      <c r="B797" s="3">
        <v>45972</v>
      </c>
      <c r="C797" t="s">
        <v>85</v>
      </c>
      <c r="D797" t="s">
        <v>202</v>
      </c>
      <c r="E797" t="s">
        <v>44</v>
      </c>
      <c r="F797" t="s">
        <v>16</v>
      </c>
      <c r="G797" t="s">
        <v>104</v>
      </c>
      <c r="H797">
        <v>4</v>
      </c>
      <c r="I797">
        <v>2788</v>
      </c>
      <c r="J797">
        <v>0</v>
      </c>
      <c r="K797">
        <v>11152</v>
      </c>
      <c r="L797">
        <v>1893.8</v>
      </c>
      <c r="M797" t="str">
        <f t="shared" si="108"/>
        <v>Laptop Stand</v>
      </c>
      <c r="N797" t="str">
        <f t="shared" si="109"/>
        <v>Bhubaneswar</v>
      </c>
      <c r="O797" t="str">
        <f t="shared" si="110"/>
        <v>East</v>
      </c>
      <c r="P797" t="str">
        <f t="shared" si="111"/>
        <v>Accessories</v>
      </c>
      <c r="Q797" t="str">
        <f t="shared" si="112"/>
        <v>Accessories</v>
      </c>
      <c r="R797" t="str">
        <f t="shared" si="113"/>
        <v>East</v>
      </c>
      <c r="S797" t="str">
        <f t="shared" si="114"/>
        <v>Bhubaneswar</v>
      </c>
      <c r="T797">
        <f t="shared" si="115"/>
        <v>11152</v>
      </c>
      <c r="U797" t="str">
        <f t="shared" si="116"/>
        <v>OK</v>
      </c>
    </row>
    <row r="798" spans="1:21" x14ac:dyDescent="0.3">
      <c r="A798" t="s">
        <v>1034</v>
      </c>
      <c r="B798" s="3">
        <v>46014</v>
      </c>
      <c r="C798" t="s">
        <v>134</v>
      </c>
      <c r="D798" t="s">
        <v>68</v>
      </c>
      <c r="E798" t="s">
        <v>44</v>
      </c>
      <c r="F798" t="s">
        <v>16</v>
      </c>
      <c r="G798" t="s">
        <v>104</v>
      </c>
      <c r="H798">
        <v>2</v>
      </c>
      <c r="I798">
        <v>5148</v>
      </c>
      <c r="J798">
        <v>0.15</v>
      </c>
      <c r="K798">
        <v>8751.6</v>
      </c>
      <c r="L798">
        <v>1973.6</v>
      </c>
      <c r="M798" t="str">
        <f t="shared" si="108"/>
        <v>Webcam</v>
      </c>
      <c r="N798" t="str">
        <f t="shared" si="109"/>
        <v>Bhubaneswar</v>
      </c>
      <c r="O798" t="str">
        <f t="shared" si="110"/>
        <v>East</v>
      </c>
      <c r="P798" t="str">
        <f t="shared" si="111"/>
        <v>Accessories</v>
      </c>
      <c r="Q798" t="str">
        <f t="shared" si="112"/>
        <v>Accessories</v>
      </c>
      <c r="R798" t="str">
        <f t="shared" si="113"/>
        <v>East</v>
      </c>
      <c r="S798" t="str">
        <f t="shared" si="114"/>
        <v>Bhubaneswar</v>
      </c>
      <c r="T798">
        <f t="shared" si="115"/>
        <v>8751.6</v>
      </c>
      <c r="U798" t="str">
        <f t="shared" si="116"/>
        <v>OK</v>
      </c>
    </row>
    <row r="799" spans="1:21" x14ac:dyDescent="0.3">
      <c r="A799" t="s">
        <v>1035</v>
      </c>
      <c r="B799" s="3">
        <v>45960</v>
      </c>
      <c r="C799" t="s">
        <v>276</v>
      </c>
      <c r="D799" t="s">
        <v>153</v>
      </c>
      <c r="E799" t="s">
        <v>26</v>
      </c>
      <c r="F799" t="s">
        <v>21</v>
      </c>
      <c r="G799" t="s">
        <v>22</v>
      </c>
      <c r="H799">
        <v>1</v>
      </c>
      <c r="I799">
        <v>6185</v>
      </c>
      <c r="J799">
        <v>0.2</v>
      </c>
      <c r="K799">
        <v>4948</v>
      </c>
      <c r="L799">
        <v>775.46</v>
      </c>
      <c r="M799" t="str">
        <f t="shared" si="108"/>
        <v>Coffee Maker</v>
      </c>
      <c r="N799" t="str">
        <f t="shared" si="109"/>
        <v>Ahmedabad</v>
      </c>
      <c r="O799" t="str">
        <f t="shared" si="110"/>
        <v>West</v>
      </c>
      <c r="P799" t="str">
        <f t="shared" si="111"/>
        <v>Home Appliances</v>
      </c>
      <c r="Q799" t="str">
        <f t="shared" si="112"/>
        <v>Home Appliances</v>
      </c>
      <c r="R799" t="str">
        <f t="shared" si="113"/>
        <v>West</v>
      </c>
      <c r="S799" t="str">
        <f t="shared" si="114"/>
        <v>Ahmedabad</v>
      </c>
      <c r="T799">
        <f t="shared" si="115"/>
        <v>4948</v>
      </c>
      <c r="U799" t="str">
        <f t="shared" si="116"/>
        <v>OK</v>
      </c>
    </row>
    <row r="800" spans="1:21" x14ac:dyDescent="0.3">
      <c r="A800" t="s">
        <v>1036</v>
      </c>
      <c r="B800" s="3">
        <v>45795</v>
      </c>
      <c r="C800" t="s">
        <v>321</v>
      </c>
      <c r="D800" t="s">
        <v>80</v>
      </c>
      <c r="E800" t="s">
        <v>51</v>
      </c>
      <c r="F800" t="s">
        <v>21</v>
      </c>
      <c r="G800" t="s">
        <v>35</v>
      </c>
      <c r="H800">
        <v>3</v>
      </c>
      <c r="I800">
        <v>54528</v>
      </c>
      <c r="J800">
        <v>0.05</v>
      </c>
      <c r="K800">
        <v>155404.79999999999</v>
      </c>
      <c r="L800">
        <v>26223.05</v>
      </c>
      <c r="M800" t="str">
        <f t="shared" si="108"/>
        <v>Laptop</v>
      </c>
      <c r="N800" t="str">
        <f t="shared" si="109"/>
        <v>Mumbai</v>
      </c>
      <c r="O800" t="str">
        <f t="shared" si="110"/>
        <v>West</v>
      </c>
      <c r="P800" t="str">
        <f t="shared" si="111"/>
        <v>Electronics</v>
      </c>
      <c r="Q800" t="str">
        <f t="shared" si="112"/>
        <v>Electronics</v>
      </c>
      <c r="R800" t="str">
        <f t="shared" si="113"/>
        <v>West</v>
      </c>
      <c r="S800" t="str">
        <f t="shared" si="114"/>
        <v>Mumbai</v>
      </c>
      <c r="T800">
        <f t="shared" si="115"/>
        <v>155404.79999999999</v>
      </c>
      <c r="U800" t="str">
        <f t="shared" si="116"/>
        <v>OK</v>
      </c>
    </row>
    <row r="801" spans="1:21" x14ac:dyDescent="0.3">
      <c r="A801" t="s">
        <v>1037</v>
      </c>
      <c r="B801" s="3">
        <v>45891</v>
      </c>
      <c r="C801" t="s">
        <v>317</v>
      </c>
      <c r="D801" t="s">
        <v>14</v>
      </c>
      <c r="E801" t="s">
        <v>15</v>
      </c>
      <c r="F801" t="s">
        <v>16</v>
      </c>
      <c r="G801" t="s">
        <v>17</v>
      </c>
      <c r="H801">
        <v>3</v>
      </c>
      <c r="I801">
        <v>8414</v>
      </c>
      <c r="J801">
        <v>0</v>
      </c>
      <c r="K801">
        <v>25242</v>
      </c>
      <c r="L801">
        <v>4414.59</v>
      </c>
      <c r="M801" t="str">
        <f t="shared" si="108"/>
        <v>Office Chair</v>
      </c>
      <c r="N801" t="str">
        <f t="shared" si="109"/>
        <v>Guwahati</v>
      </c>
      <c r="O801" t="str">
        <f t="shared" si="110"/>
        <v>East</v>
      </c>
      <c r="P801" t="str">
        <f t="shared" si="111"/>
        <v>Furniture</v>
      </c>
      <c r="Q801" t="str">
        <f t="shared" si="112"/>
        <v>Furniture</v>
      </c>
      <c r="R801" t="str">
        <f t="shared" si="113"/>
        <v>East</v>
      </c>
      <c r="S801" t="str">
        <f t="shared" si="114"/>
        <v>Guwahati</v>
      </c>
      <c r="T801">
        <f t="shared" si="115"/>
        <v>25242</v>
      </c>
      <c r="U801" t="str">
        <f t="shared" si="116"/>
        <v>OK</v>
      </c>
    </row>
    <row r="802" spans="1:21" x14ac:dyDescent="0.3">
      <c r="A802" t="s">
        <v>1038</v>
      </c>
      <c r="B802" s="3">
        <v>45798</v>
      </c>
      <c r="C802" t="s">
        <v>206</v>
      </c>
      <c r="D802" t="s">
        <v>50</v>
      </c>
      <c r="E802" t="s">
        <v>51</v>
      </c>
      <c r="F802" t="s">
        <v>16</v>
      </c>
      <c r="G802" t="s">
        <v>52</v>
      </c>
      <c r="H802">
        <v>3</v>
      </c>
      <c r="I802">
        <v>2645</v>
      </c>
      <c r="J802">
        <v>0</v>
      </c>
      <c r="K802">
        <v>7935</v>
      </c>
      <c r="L802">
        <v>1877.18</v>
      </c>
      <c r="M802" t="str">
        <f t="shared" si="108"/>
        <v>Keyboard</v>
      </c>
      <c r="N802" t="str">
        <f t="shared" si="109"/>
        <v>Kolkata</v>
      </c>
      <c r="O802" t="str">
        <f t="shared" si="110"/>
        <v>East</v>
      </c>
      <c r="P802" t="str">
        <f t="shared" si="111"/>
        <v>Electronics</v>
      </c>
      <c r="Q802" t="str">
        <f t="shared" si="112"/>
        <v>Electronics</v>
      </c>
      <c r="R802" t="str">
        <f t="shared" si="113"/>
        <v>East</v>
      </c>
      <c r="S802" t="str">
        <f t="shared" si="114"/>
        <v>Kolkata</v>
      </c>
      <c r="T802">
        <f t="shared" si="115"/>
        <v>7935</v>
      </c>
      <c r="U802" t="str">
        <f t="shared" si="116"/>
        <v>OK</v>
      </c>
    </row>
    <row r="803" spans="1:21" x14ac:dyDescent="0.3">
      <c r="A803" t="s">
        <v>1039</v>
      </c>
      <c r="B803" s="3">
        <v>45785</v>
      </c>
      <c r="C803" t="s">
        <v>131</v>
      </c>
      <c r="D803" t="s">
        <v>50</v>
      </c>
      <c r="E803" t="s">
        <v>51</v>
      </c>
      <c r="F803" t="s">
        <v>16</v>
      </c>
      <c r="G803" t="s">
        <v>52</v>
      </c>
      <c r="H803">
        <v>2</v>
      </c>
      <c r="I803">
        <v>2818</v>
      </c>
      <c r="J803">
        <v>0</v>
      </c>
      <c r="K803">
        <v>5636</v>
      </c>
      <c r="L803">
        <v>1056.28</v>
      </c>
      <c r="M803" t="str">
        <f t="shared" si="108"/>
        <v>Keyboard</v>
      </c>
      <c r="N803" t="str">
        <f t="shared" si="109"/>
        <v>Kolkata</v>
      </c>
      <c r="O803" t="str">
        <f t="shared" si="110"/>
        <v>East</v>
      </c>
      <c r="P803" t="str">
        <f t="shared" si="111"/>
        <v>Electronics</v>
      </c>
      <c r="Q803" t="str">
        <f t="shared" si="112"/>
        <v>Electronics</v>
      </c>
      <c r="R803" t="str">
        <f t="shared" si="113"/>
        <v>East</v>
      </c>
      <c r="S803" t="str">
        <f t="shared" si="114"/>
        <v>Kolkata</v>
      </c>
      <c r="T803">
        <f t="shared" si="115"/>
        <v>5636</v>
      </c>
      <c r="U803" t="str">
        <f t="shared" si="116"/>
        <v>OK</v>
      </c>
    </row>
    <row r="804" spans="1:21" x14ac:dyDescent="0.3">
      <c r="A804" t="s">
        <v>1040</v>
      </c>
      <c r="B804" s="3">
        <v>45673</v>
      </c>
      <c r="C804" t="s">
        <v>161</v>
      </c>
      <c r="D804" t="s">
        <v>50</v>
      </c>
      <c r="E804" t="s">
        <v>51</v>
      </c>
      <c r="F804" t="s">
        <v>58</v>
      </c>
      <c r="G804" t="s">
        <v>69</v>
      </c>
      <c r="H804">
        <v>2</v>
      </c>
      <c r="I804">
        <v>3251</v>
      </c>
      <c r="J804">
        <v>0.15</v>
      </c>
      <c r="K804">
        <v>5526.7</v>
      </c>
      <c r="L804">
        <v>1255.07</v>
      </c>
      <c r="M804" t="str">
        <f t="shared" si="108"/>
        <v>Keyboard</v>
      </c>
      <c r="N804" t="str">
        <f t="shared" si="109"/>
        <v>Jaipur</v>
      </c>
      <c r="O804" t="str">
        <f t="shared" si="110"/>
        <v>North</v>
      </c>
      <c r="P804" t="str">
        <f t="shared" si="111"/>
        <v>Electronics</v>
      </c>
      <c r="Q804" t="str">
        <f t="shared" si="112"/>
        <v>Electronics</v>
      </c>
      <c r="R804" t="str">
        <f t="shared" si="113"/>
        <v>North</v>
      </c>
      <c r="S804" t="str">
        <f t="shared" si="114"/>
        <v>Jaipur</v>
      </c>
      <c r="T804">
        <f t="shared" si="115"/>
        <v>5526.7</v>
      </c>
      <c r="U804" t="str">
        <f t="shared" si="116"/>
        <v>OK</v>
      </c>
    </row>
    <row r="805" spans="1:21" x14ac:dyDescent="0.3">
      <c r="A805" t="s">
        <v>1041</v>
      </c>
      <c r="B805" s="3">
        <v>45860</v>
      </c>
      <c r="C805" t="s">
        <v>85</v>
      </c>
      <c r="D805" t="s">
        <v>14</v>
      </c>
      <c r="E805" t="s">
        <v>15</v>
      </c>
      <c r="F805" t="s">
        <v>27</v>
      </c>
      <c r="G805" t="s">
        <v>28</v>
      </c>
      <c r="H805">
        <v>4</v>
      </c>
      <c r="I805">
        <v>6109</v>
      </c>
      <c r="J805">
        <v>0</v>
      </c>
      <c r="K805">
        <v>24436</v>
      </c>
      <c r="L805">
        <v>3178.43</v>
      </c>
      <c r="M805" t="str">
        <f t="shared" si="108"/>
        <v>Office Chair</v>
      </c>
      <c r="N805" t="str">
        <f t="shared" si="109"/>
        <v>Bengaluru</v>
      </c>
      <c r="O805" t="str">
        <f t="shared" si="110"/>
        <v>South</v>
      </c>
      <c r="P805" t="str">
        <f t="shared" si="111"/>
        <v>Furniture</v>
      </c>
      <c r="Q805" t="str">
        <f t="shared" si="112"/>
        <v>Furniture</v>
      </c>
      <c r="R805" t="str">
        <f t="shared" si="113"/>
        <v>South</v>
      </c>
      <c r="S805" t="str">
        <f t="shared" si="114"/>
        <v>Bengaluru</v>
      </c>
      <c r="T805">
        <f t="shared" si="115"/>
        <v>24436</v>
      </c>
      <c r="U805" t="str">
        <f t="shared" si="116"/>
        <v>OK</v>
      </c>
    </row>
    <row r="806" spans="1:21" x14ac:dyDescent="0.3">
      <c r="A806" t="s">
        <v>1042</v>
      </c>
      <c r="B806" s="3">
        <v>45932</v>
      </c>
      <c r="C806" t="s">
        <v>376</v>
      </c>
      <c r="D806" t="s">
        <v>153</v>
      </c>
      <c r="E806" t="s">
        <v>26</v>
      </c>
      <c r="F806" t="s">
        <v>16</v>
      </c>
      <c r="G806" t="s">
        <v>104</v>
      </c>
      <c r="H806">
        <v>2</v>
      </c>
      <c r="I806">
        <v>9779</v>
      </c>
      <c r="J806">
        <v>0.1</v>
      </c>
      <c r="K806">
        <v>17602.2</v>
      </c>
      <c r="L806">
        <v>2592.4299999999998</v>
      </c>
      <c r="M806" t="str">
        <f t="shared" si="108"/>
        <v>Coffee Maker</v>
      </c>
      <c r="N806" t="str">
        <f t="shared" si="109"/>
        <v>Bhubaneswar</v>
      </c>
      <c r="O806" t="str">
        <f t="shared" si="110"/>
        <v>East</v>
      </c>
      <c r="P806" t="str">
        <f t="shared" si="111"/>
        <v>Home Appliances</v>
      </c>
      <c r="Q806" t="str">
        <f t="shared" si="112"/>
        <v>Home Appliances</v>
      </c>
      <c r="R806" t="str">
        <f t="shared" si="113"/>
        <v>East</v>
      </c>
      <c r="S806" t="str">
        <f t="shared" si="114"/>
        <v>Bhubaneswar</v>
      </c>
      <c r="T806">
        <f t="shared" si="115"/>
        <v>17602.2</v>
      </c>
      <c r="U806" t="str">
        <f t="shared" si="116"/>
        <v>OK</v>
      </c>
    </row>
    <row r="807" spans="1:21" x14ac:dyDescent="0.3">
      <c r="A807" t="s">
        <v>1043</v>
      </c>
      <c r="B807" s="3">
        <v>45850</v>
      </c>
      <c r="C807" t="s">
        <v>485</v>
      </c>
      <c r="D807" t="s">
        <v>47</v>
      </c>
      <c r="E807" t="s">
        <v>26</v>
      </c>
      <c r="F807" t="s">
        <v>58</v>
      </c>
      <c r="G807" t="s">
        <v>59</v>
      </c>
      <c r="H807">
        <v>2</v>
      </c>
      <c r="I807">
        <v>9167</v>
      </c>
      <c r="J807">
        <v>0.05</v>
      </c>
      <c r="K807">
        <v>17417.3</v>
      </c>
      <c r="L807">
        <v>2557.2199999999998</v>
      </c>
      <c r="M807" t="str">
        <f t="shared" si="108"/>
        <v>Air Purifier</v>
      </c>
      <c r="N807" t="str">
        <f t="shared" si="109"/>
        <v>Chandigarh</v>
      </c>
      <c r="O807" t="str">
        <f t="shared" si="110"/>
        <v>North</v>
      </c>
      <c r="P807" t="str">
        <f t="shared" si="111"/>
        <v>Home Appliances</v>
      </c>
      <c r="Q807" t="str">
        <f t="shared" si="112"/>
        <v>Home Appliances</v>
      </c>
      <c r="R807" t="str">
        <f t="shared" si="113"/>
        <v>North</v>
      </c>
      <c r="S807" t="str">
        <f t="shared" si="114"/>
        <v>Chandigarh</v>
      </c>
      <c r="T807">
        <f t="shared" si="115"/>
        <v>17417.3</v>
      </c>
      <c r="U807" t="str">
        <f t="shared" si="116"/>
        <v>OK</v>
      </c>
    </row>
    <row r="808" spans="1:21" x14ac:dyDescent="0.3">
      <c r="A808" t="s">
        <v>1044</v>
      </c>
      <c r="B808" s="3">
        <v>45863</v>
      </c>
      <c r="C808" t="s">
        <v>215</v>
      </c>
      <c r="D808" t="s">
        <v>47</v>
      </c>
      <c r="E808" t="s">
        <v>26</v>
      </c>
      <c r="F808" t="s">
        <v>21</v>
      </c>
      <c r="G808" t="s">
        <v>22</v>
      </c>
      <c r="H808">
        <v>1</v>
      </c>
      <c r="I808">
        <v>15310</v>
      </c>
      <c r="J808">
        <v>0</v>
      </c>
      <c r="K808">
        <v>15310</v>
      </c>
      <c r="L808">
        <v>2092.02</v>
      </c>
      <c r="M808" t="str">
        <f t="shared" si="108"/>
        <v>Air Purifier</v>
      </c>
      <c r="N808" t="str">
        <f t="shared" si="109"/>
        <v>Ahmedabad</v>
      </c>
      <c r="O808" t="str">
        <f t="shared" si="110"/>
        <v>West</v>
      </c>
      <c r="P808" t="str">
        <f t="shared" si="111"/>
        <v>Home Appliances</v>
      </c>
      <c r="Q808" t="str">
        <f t="shared" si="112"/>
        <v>Home Appliances</v>
      </c>
      <c r="R808" t="str">
        <f t="shared" si="113"/>
        <v>West</v>
      </c>
      <c r="S808" t="str">
        <f t="shared" si="114"/>
        <v>Ahmedabad</v>
      </c>
      <c r="T808">
        <f t="shared" si="115"/>
        <v>15310</v>
      </c>
      <c r="U808" t="str">
        <f t="shared" si="116"/>
        <v>OK</v>
      </c>
    </row>
    <row r="809" spans="1:21" x14ac:dyDescent="0.3">
      <c r="A809" t="s">
        <v>1045</v>
      </c>
      <c r="B809" s="3">
        <v>45999</v>
      </c>
      <c r="C809" t="s">
        <v>125</v>
      </c>
      <c r="D809" t="s">
        <v>103</v>
      </c>
      <c r="E809" t="s">
        <v>51</v>
      </c>
      <c r="F809" t="s">
        <v>58</v>
      </c>
      <c r="G809" t="s">
        <v>69</v>
      </c>
      <c r="H809">
        <v>1</v>
      </c>
      <c r="I809">
        <v>3978</v>
      </c>
      <c r="J809">
        <v>0.1</v>
      </c>
      <c r="K809">
        <v>3580.2</v>
      </c>
      <c r="L809">
        <v>687.48</v>
      </c>
      <c r="M809" t="str">
        <f t="shared" si="108"/>
        <v>Headphones</v>
      </c>
      <c r="N809" t="str">
        <f t="shared" si="109"/>
        <v>Jaipur</v>
      </c>
      <c r="O809" t="str">
        <f t="shared" si="110"/>
        <v>North</v>
      </c>
      <c r="P809" t="str">
        <f t="shared" si="111"/>
        <v>Electronics</v>
      </c>
      <c r="Q809" t="str">
        <f t="shared" si="112"/>
        <v>Electronics</v>
      </c>
      <c r="R809" t="str">
        <f t="shared" si="113"/>
        <v>North</v>
      </c>
      <c r="S809" t="str">
        <f t="shared" si="114"/>
        <v>Jaipur</v>
      </c>
      <c r="T809">
        <f t="shared" si="115"/>
        <v>3580.2000000000003</v>
      </c>
      <c r="U809" t="str">
        <f t="shared" si="116"/>
        <v>OK</v>
      </c>
    </row>
    <row r="810" spans="1:21" x14ac:dyDescent="0.3">
      <c r="A810" t="s">
        <v>1046</v>
      </c>
      <c r="B810" s="3">
        <v>45927</v>
      </c>
      <c r="C810" t="s">
        <v>965</v>
      </c>
      <c r="D810" t="s">
        <v>88</v>
      </c>
      <c r="E810" t="s">
        <v>73</v>
      </c>
      <c r="F810" t="s">
        <v>21</v>
      </c>
      <c r="G810" t="s">
        <v>35</v>
      </c>
      <c r="H810">
        <v>1</v>
      </c>
      <c r="I810">
        <v>418</v>
      </c>
      <c r="J810">
        <v>0.25</v>
      </c>
      <c r="K810">
        <v>313.5</v>
      </c>
      <c r="L810">
        <v>76.849999999999994</v>
      </c>
      <c r="M810" t="str">
        <f t="shared" si="108"/>
        <v>Stapler</v>
      </c>
      <c r="N810" t="str">
        <f t="shared" si="109"/>
        <v>Mumbai</v>
      </c>
      <c r="O810" t="str">
        <f t="shared" si="110"/>
        <v>West</v>
      </c>
      <c r="P810" t="str">
        <f t="shared" si="111"/>
        <v>Office Supplies</v>
      </c>
      <c r="Q810" t="str">
        <f t="shared" si="112"/>
        <v>Office Supplies</v>
      </c>
      <c r="R810" t="str">
        <f t="shared" si="113"/>
        <v>West</v>
      </c>
      <c r="S810" t="str">
        <f t="shared" si="114"/>
        <v>Mumbai</v>
      </c>
      <c r="T810">
        <f t="shared" si="115"/>
        <v>313.5</v>
      </c>
      <c r="U810" t="str">
        <f t="shared" si="116"/>
        <v>OK</v>
      </c>
    </row>
    <row r="811" spans="1:21" x14ac:dyDescent="0.3">
      <c r="A811" t="s">
        <v>1047</v>
      </c>
      <c r="B811" s="3">
        <v>45932</v>
      </c>
      <c r="C811" t="s">
        <v>185</v>
      </c>
      <c r="D811" t="s">
        <v>120</v>
      </c>
      <c r="E811" t="s">
        <v>51</v>
      </c>
      <c r="F811" t="s">
        <v>21</v>
      </c>
      <c r="G811" t="s">
        <v>22</v>
      </c>
      <c r="H811">
        <v>4</v>
      </c>
      <c r="I811">
        <v>1731</v>
      </c>
      <c r="J811">
        <v>0</v>
      </c>
      <c r="K811">
        <v>6924</v>
      </c>
      <c r="L811">
        <v>1480.56</v>
      </c>
      <c r="M811" t="str">
        <f t="shared" si="108"/>
        <v>Mouse</v>
      </c>
      <c r="N811" t="str">
        <f t="shared" si="109"/>
        <v>Ahmedabad</v>
      </c>
      <c r="O811" t="str">
        <f t="shared" si="110"/>
        <v>West</v>
      </c>
      <c r="P811" t="str">
        <f t="shared" si="111"/>
        <v>Electronics</v>
      </c>
      <c r="Q811" t="str">
        <f t="shared" si="112"/>
        <v>Electronics</v>
      </c>
      <c r="R811" t="str">
        <f t="shared" si="113"/>
        <v>West</v>
      </c>
      <c r="S811" t="str">
        <f t="shared" si="114"/>
        <v>Ahmedabad</v>
      </c>
      <c r="T811">
        <f t="shared" si="115"/>
        <v>6924</v>
      </c>
      <c r="U811" t="str">
        <f t="shared" si="116"/>
        <v>OK</v>
      </c>
    </row>
    <row r="812" spans="1:21" x14ac:dyDescent="0.3">
      <c r="A812" t="s">
        <v>1048</v>
      </c>
      <c r="B812" s="3">
        <v>45875</v>
      </c>
      <c r="C812" t="s">
        <v>617</v>
      </c>
      <c r="D812" t="s">
        <v>14</v>
      </c>
      <c r="E812" t="s">
        <v>15</v>
      </c>
      <c r="F812" t="s">
        <v>58</v>
      </c>
      <c r="G812" t="s">
        <v>126</v>
      </c>
      <c r="H812">
        <v>1</v>
      </c>
      <c r="I812">
        <v>10275</v>
      </c>
      <c r="J812">
        <v>0</v>
      </c>
      <c r="K812">
        <v>10275</v>
      </c>
      <c r="L812">
        <v>2250.4699999999998</v>
      </c>
      <c r="M812" t="str">
        <f t="shared" si="108"/>
        <v>Office Chair</v>
      </c>
      <c r="N812" t="str">
        <f t="shared" si="109"/>
        <v>Delhi</v>
      </c>
      <c r="O812" t="str">
        <f t="shared" si="110"/>
        <v>North</v>
      </c>
      <c r="P812" t="str">
        <f t="shared" si="111"/>
        <v>Furniture</v>
      </c>
      <c r="Q812" t="str">
        <f t="shared" si="112"/>
        <v>Furniture</v>
      </c>
      <c r="R812" t="str">
        <f t="shared" si="113"/>
        <v>North</v>
      </c>
      <c r="S812" t="str">
        <f t="shared" si="114"/>
        <v>Delhi</v>
      </c>
      <c r="T812">
        <f t="shared" si="115"/>
        <v>10275</v>
      </c>
      <c r="U812" t="str">
        <f t="shared" si="116"/>
        <v>OK</v>
      </c>
    </row>
    <row r="813" spans="1:21" x14ac:dyDescent="0.3">
      <c r="A813" t="s">
        <v>1049</v>
      </c>
      <c r="B813" s="3">
        <v>45669</v>
      </c>
      <c r="C813" t="s">
        <v>231</v>
      </c>
      <c r="D813" t="s">
        <v>68</v>
      </c>
      <c r="E813" t="s">
        <v>44</v>
      </c>
      <c r="F813" t="s">
        <v>16</v>
      </c>
      <c r="G813" t="s">
        <v>17</v>
      </c>
      <c r="H813">
        <v>1</v>
      </c>
      <c r="I813">
        <v>7509</v>
      </c>
      <c r="J813">
        <v>0.1</v>
      </c>
      <c r="K813">
        <v>6758.1</v>
      </c>
      <c r="L813">
        <v>1261.71</v>
      </c>
      <c r="M813" t="str">
        <f t="shared" si="108"/>
        <v>Webcam</v>
      </c>
      <c r="N813" t="str">
        <f t="shared" si="109"/>
        <v>Guwahati</v>
      </c>
      <c r="O813" t="str">
        <f t="shared" si="110"/>
        <v>East</v>
      </c>
      <c r="P813" t="str">
        <f t="shared" si="111"/>
        <v>Accessories</v>
      </c>
      <c r="Q813" t="str">
        <f t="shared" si="112"/>
        <v>Accessories</v>
      </c>
      <c r="R813" t="str">
        <f t="shared" si="113"/>
        <v>East</v>
      </c>
      <c r="S813" t="str">
        <f t="shared" si="114"/>
        <v>Guwahati</v>
      </c>
      <c r="T813">
        <f t="shared" si="115"/>
        <v>6758.1</v>
      </c>
      <c r="U813" t="str">
        <f t="shared" si="116"/>
        <v>OK</v>
      </c>
    </row>
    <row r="814" spans="1:21" x14ac:dyDescent="0.3">
      <c r="A814" t="s">
        <v>1050</v>
      </c>
      <c r="B814" s="3">
        <v>45778</v>
      </c>
      <c r="C814" t="s">
        <v>111</v>
      </c>
      <c r="D814" t="s">
        <v>43</v>
      </c>
      <c r="E814" t="s">
        <v>44</v>
      </c>
      <c r="F814" t="s">
        <v>16</v>
      </c>
      <c r="G814" t="s">
        <v>52</v>
      </c>
      <c r="H814">
        <v>2</v>
      </c>
      <c r="I814">
        <v>610</v>
      </c>
      <c r="J814">
        <v>0.15</v>
      </c>
      <c r="K814">
        <v>1037</v>
      </c>
      <c r="L814">
        <v>269.54000000000002</v>
      </c>
      <c r="M814" t="str">
        <f t="shared" si="108"/>
        <v>Phone Holder</v>
      </c>
      <c r="N814" t="str">
        <f t="shared" si="109"/>
        <v>Kolkata</v>
      </c>
      <c r="O814" t="str">
        <f t="shared" si="110"/>
        <v>East</v>
      </c>
      <c r="P814" t="str">
        <f t="shared" si="111"/>
        <v>Accessories</v>
      </c>
      <c r="Q814" t="str">
        <f t="shared" si="112"/>
        <v>Accessories</v>
      </c>
      <c r="R814" t="str">
        <f t="shared" si="113"/>
        <v>East</v>
      </c>
      <c r="S814" t="str">
        <f t="shared" si="114"/>
        <v>Kolkata</v>
      </c>
      <c r="T814">
        <f t="shared" si="115"/>
        <v>1037</v>
      </c>
      <c r="U814" t="str">
        <f t="shared" si="116"/>
        <v>OK</v>
      </c>
    </row>
    <row r="815" spans="1:21" x14ac:dyDescent="0.3">
      <c r="A815" t="s">
        <v>1051</v>
      </c>
      <c r="B815" s="3">
        <v>45894</v>
      </c>
      <c r="C815" t="s">
        <v>257</v>
      </c>
      <c r="D815" t="s">
        <v>50</v>
      </c>
      <c r="E815" t="s">
        <v>51</v>
      </c>
      <c r="F815" t="s">
        <v>27</v>
      </c>
      <c r="G815" t="s">
        <v>28</v>
      </c>
      <c r="H815">
        <v>1</v>
      </c>
      <c r="I815">
        <v>2617</v>
      </c>
      <c r="J815">
        <v>0.1</v>
      </c>
      <c r="K815">
        <v>2355.3000000000002</v>
      </c>
      <c r="L815">
        <v>500.64</v>
      </c>
      <c r="M815" t="str">
        <f t="shared" si="108"/>
        <v>Keyboard</v>
      </c>
      <c r="N815" t="str">
        <f t="shared" si="109"/>
        <v>Bengaluru</v>
      </c>
      <c r="O815" t="str">
        <f t="shared" si="110"/>
        <v>South</v>
      </c>
      <c r="P815" t="str">
        <f t="shared" si="111"/>
        <v>Electronics</v>
      </c>
      <c r="Q815" t="str">
        <f t="shared" si="112"/>
        <v>Electronics</v>
      </c>
      <c r="R815" t="str">
        <f t="shared" si="113"/>
        <v>South</v>
      </c>
      <c r="S815" t="str">
        <f t="shared" si="114"/>
        <v>Bengaluru</v>
      </c>
      <c r="T815">
        <f t="shared" si="115"/>
        <v>2355.3000000000002</v>
      </c>
      <c r="U815" t="str">
        <f t="shared" si="116"/>
        <v>OK</v>
      </c>
    </row>
    <row r="816" spans="1:21" x14ac:dyDescent="0.3">
      <c r="A816" t="s">
        <v>1052</v>
      </c>
      <c r="B816" s="3">
        <v>45873</v>
      </c>
      <c r="C816" t="s">
        <v>401</v>
      </c>
      <c r="D816" t="s">
        <v>34</v>
      </c>
      <c r="E816" t="s">
        <v>15</v>
      </c>
      <c r="F816" t="s">
        <v>21</v>
      </c>
      <c r="G816" t="s">
        <v>22</v>
      </c>
      <c r="H816">
        <v>1</v>
      </c>
      <c r="I816">
        <v>14315</v>
      </c>
      <c r="J816">
        <v>0.1</v>
      </c>
      <c r="K816">
        <v>12883.5</v>
      </c>
      <c r="L816">
        <v>2424.23</v>
      </c>
      <c r="M816" t="str">
        <f t="shared" si="108"/>
        <v>Desk</v>
      </c>
      <c r="N816" t="str">
        <f t="shared" si="109"/>
        <v>Ahmedabad</v>
      </c>
      <c r="O816" t="str">
        <f t="shared" si="110"/>
        <v>West</v>
      </c>
      <c r="P816" t="str">
        <f t="shared" si="111"/>
        <v>Furniture</v>
      </c>
      <c r="Q816" t="str">
        <f t="shared" si="112"/>
        <v>Furniture</v>
      </c>
      <c r="R816" t="str">
        <f t="shared" si="113"/>
        <v>West</v>
      </c>
      <c r="S816" t="str">
        <f t="shared" si="114"/>
        <v>Ahmedabad</v>
      </c>
      <c r="T816">
        <f t="shared" si="115"/>
        <v>12883.5</v>
      </c>
      <c r="U816" t="str">
        <f t="shared" si="116"/>
        <v>OK</v>
      </c>
    </row>
    <row r="817" spans="1:21" x14ac:dyDescent="0.3">
      <c r="A817" t="s">
        <v>1053</v>
      </c>
      <c r="B817" s="3">
        <v>45924</v>
      </c>
      <c r="C817" t="s">
        <v>436</v>
      </c>
      <c r="D817" t="s">
        <v>68</v>
      </c>
      <c r="E817" t="s">
        <v>44</v>
      </c>
      <c r="F817" t="s">
        <v>21</v>
      </c>
      <c r="G817" t="s">
        <v>55</v>
      </c>
      <c r="H817">
        <v>1</v>
      </c>
      <c r="I817">
        <v>6408</v>
      </c>
      <c r="J817">
        <v>0.05</v>
      </c>
      <c r="K817">
        <v>6087.6</v>
      </c>
      <c r="L817">
        <v>1482.68</v>
      </c>
      <c r="M817" t="str">
        <f t="shared" si="108"/>
        <v>Webcam</v>
      </c>
      <c r="N817" t="str">
        <f t="shared" si="109"/>
        <v>Pune</v>
      </c>
      <c r="O817" t="str">
        <f t="shared" si="110"/>
        <v>West</v>
      </c>
      <c r="P817" t="str">
        <f t="shared" si="111"/>
        <v>Accessories</v>
      </c>
      <c r="Q817" t="str">
        <f t="shared" si="112"/>
        <v>Accessories</v>
      </c>
      <c r="R817" t="str">
        <f t="shared" si="113"/>
        <v>West</v>
      </c>
      <c r="S817" t="str">
        <f t="shared" si="114"/>
        <v>Pune</v>
      </c>
      <c r="T817">
        <f t="shared" si="115"/>
        <v>6087.5999999999995</v>
      </c>
      <c r="U817" t="str">
        <f t="shared" si="116"/>
        <v>OK</v>
      </c>
    </row>
    <row r="818" spans="1:21" x14ac:dyDescent="0.3">
      <c r="A818" t="s">
        <v>1054</v>
      </c>
      <c r="B818" s="3">
        <v>45841</v>
      </c>
      <c r="C818" t="s">
        <v>260</v>
      </c>
      <c r="D818" t="s">
        <v>307</v>
      </c>
      <c r="E818" t="s">
        <v>73</v>
      </c>
      <c r="F818" t="s">
        <v>58</v>
      </c>
      <c r="G818" t="s">
        <v>69</v>
      </c>
      <c r="H818">
        <v>1</v>
      </c>
      <c r="I818">
        <v>416</v>
      </c>
      <c r="J818">
        <v>0.1</v>
      </c>
      <c r="K818">
        <v>374.4</v>
      </c>
      <c r="L818">
        <v>36.35</v>
      </c>
      <c r="M818" t="str">
        <f t="shared" si="108"/>
        <v>Notebook</v>
      </c>
      <c r="N818" t="str">
        <f t="shared" si="109"/>
        <v>Jaipur</v>
      </c>
      <c r="O818" t="str">
        <f t="shared" si="110"/>
        <v>North</v>
      </c>
      <c r="P818" t="str">
        <f t="shared" si="111"/>
        <v>Office Supplies</v>
      </c>
      <c r="Q818" t="str">
        <f t="shared" si="112"/>
        <v>Office Supplies</v>
      </c>
      <c r="R818" t="str">
        <f t="shared" si="113"/>
        <v>North</v>
      </c>
      <c r="S818" t="str">
        <f t="shared" si="114"/>
        <v>Jaipur</v>
      </c>
      <c r="T818">
        <f t="shared" si="115"/>
        <v>374.40000000000003</v>
      </c>
      <c r="U818" t="str">
        <f t="shared" si="116"/>
        <v>OK</v>
      </c>
    </row>
    <row r="819" spans="1:21" x14ac:dyDescent="0.3">
      <c r="A819" t="s">
        <v>1055</v>
      </c>
      <c r="B819" s="3">
        <v>45855</v>
      </c>
      <c r="C819" t="s">
        <v>295</v>
      </c>
      <c r="D819" t="s">
        <v>88</v>
      </c>
      <c r="E819" t="s">
        <v>73</v>
      </c>
      <c r="F819" t="s">
        <v>16</v>
      </c>
      <c r="G819" t="s">
        <v>17</v>
      </c>
      <c r="H819">
        <v>4</v>
      </c>
      <c r="I819">
        <v>234</v>
      </c>
      <c r="J819">
        <v>0.05</v>
      </c>
      <c r="K819">
        <v>889.2</v>
      </c>
      <c r="L819">
        <v>230.94</v>
      </c>
      <c r="M819" t="str">
        <f t="shared" si="108"/>
        <v>Stapler</v>
      </c>
      <c r="N819" t="str">
        <f t="shared" si="109"/>
        <v>Guwahati</v>
      </c>
      <c r="O819" t="str">
        <f t="shared" si="110"/>
        <v>East</v>
      </c>
      <c r="P819" t="str">
        <f t="shared" si="111"/>
        <v>Office Supplies</v>
      </c>
      <c r="Q819" t="str">
        <f t="shared" si="112"/>
        <v>Office Supplies</v>
      </c>
      <c r="R819" t="str">
        <f t="shared" si="113"/>
        <v>East</v>
      </c>
      <c r="S819" t="str">
        <f t="shared" si="114"/>
        <v>Guwahati</v>
      </c>
      <c r="T819">
        <f t="shared" si="115"/>
        <v>889.19999999999993</v>
      </c>
      <c r="U819" t="str">
        <f t="shared" si="116"/>
        <v>OK</v>
      </c>
    </row>
    <row r="820" spans="1:21" x14ac:dyDescent="0.3">
      <c r="A820" t="s">
        <v>1056</v>
      </c>
      <c r="B820" s="3">
        <v>45728</v>
      </c>
      <c r="C820" t="s">
        <v>337</v>
      </c>
      <c r="D820" t="s">
        <v>80</v>
      </c>
      <c r="E820" t="s">
        <v>51</v>
      </c>
      <c r="F820" t="s">
        <v>27</v>
      </c>
      <c r="G820" t="s">
        <v>40</v>
      </c>
      <c r="H820">
        <v>1</v>
      </c>
      <c r="I820">
        <v>62521</v>
      </c>
      <c r="J820">
        <v>0.05</v>
      </c>
      <c r="K820">
        <v>59394.95</v>
      </c>
      <c r="L820">
        <v>9846.7199999999993</v>
      </c>
      <c r="M820" t="str">
        <f t="shared" si="108"/>
        <v>Laptop</v>
      </c>
      <c r="N820" t="str">
        <f t="shared" si="109"/>
        <v>Chennai</v>
      </c>
      <c r="O820" t="str">
        <f t="shared" si="110"/>
        <v>South</v>
      </c>
      <c r="P820" t="str">
        <f t="shared" si="111"/>
        <v>Electronics</v>
      </c>
      <c r="Q820" t="str">
        <f t="shared" si="112"/>
        <v>Electronics</v>
      </c>
      <c r="R820" t="str">
        <f t="shared" si="113"/>
        <v>South</v>
      </c>
      <c r="S820" t="str">
        <f t="shared" si="114"/>
        <v>Chennai</v>
      </c>
      <c r="T820">
        <f t="shared" si="115"/>
        <v>59394.95</v>
      </c>
      <c r="U820" t="str">
        <f t="shared" si="116"/>
        <v>OK</v>
      </c>
    </row>
    <row r="821" spans="1:21" x14ac:dyDescent="0.3">
      <c r="A821" t="s">
        <v>1057</v>
      </c>
      <c r="B821" s="3">
        <v>45751</v>
      </c>
      <c r="C821" t="s">
        <v>260</v>
      </c>
      <c r="D821" t="s">
        <v>34</v>
      </c>
      <c r="E821" t="s">
        <v>15</v>
      </c>
      <c r="F821" t="s">
        <v>16</v>
      </c>
      <c r="G821" t="s">
        <v>104</v>
      </c>
      <c r="H821">
        <v>1</v>
      </c>
      <c r="I821">
        <v>12331</v>
      </c>
      <c r="J821">
        <v>0.1</v>
      </c>
      <c r="K821">
        <v>11097.9</v>
      </c>
      <c r="L821">
        <v>1868.56</v>
      </c>
      <c r="M821" t="str">
        <f t="shared" si="108"/>
        <v>Desk</v>
      </c>
      <c r="N821" t="str">
        <f t="shared" si="109"/>
        <v>Bhubaneswar</v>
      </c>
      <c r="O821" t="str">
        <f t="shared" si="110"/>
        <v>East</v>
      </c>
      <c r="P821" t="str">
        <f t="shared" si="111"/>
        <v>Furniture</v>
      </c>
      <c r="Q821" t="str">
        <f t="shared" si="112"/>
        <v>Furniture</v>
      </c>
      <c r="R821" t="str">
        <f t="shared" si="113"/>
        <v>East</v>
      </c>
      <c r="S821" t="str">
        <f t="shared" si="114"/>
        <v>Bhubaneswar</v>
      </c>
      <c r="T821">
        <f t="shared" si="115"/>
        <v>11097.9</v>
      </c>
      <c r="U821" t="str">
        <f t="shared" si="116"/>
        <v>OK</v>
      </c>
    </row>
    <row r="822" spans="1:21" x14ac:dyDescent="0.3">
      <c r="A822" t="s">
        <v>1058</v>
      </c>
      <c r="B822" s="3">
        <v>45745</v>
      </c>
      <c r="C822" t="s">
        <v>542</v>
      </c>
      <c r="D822" t="s">
        <v>14</v>
      </c>
      <c r="E822" t="s">
        <v>15</v>
      </c>
      <c r="F822" t="s">
        <v>16</v>
      </c>
      <c r="G822" t="s">
        <v>52</v>
      </c>
      <c r="H822">
        <v>1</v>
      </c>
      <c r="I822">
        <v>17192</v>
      </c>
      <c r="J822">
        <v>0.05</v>
      </c>
      <c r="K822">
        <v>16332.4</v>
      </c>
      <c r="L822">
        <v>3895.91</v>
      </c>
      <c r="M822" t="str">
        <f t="shared" si="108"/>
        <v>Office Chair</v>
      </c>
      <c r="N822" t="str">
        <f t="shared" si="109"/>
        <v>Kolkata</v>
      </c>
      <c r="O822" t="str">
        <f t="shared" si="110"/>
        <v>East</v>
      </c>
      <c r="P822" t="str">
        <f t="shared" si="111"/>
        <v>Furniture</v>
      </c>
      <c r="Q822" t="str">
        <f t="shared" si="112"/>
        <v>Furniture</v>
      </c>
      <c r="R822" t="str">
        <f t="shared" si="113"/>
        <v>East</v>
      </c>
      <c r="S822" t="str">
        <f t="shared" si="114"/>
        <v>Kolkata</v>
      </c>
      <c r="T822">
        <f t="shared" si="115"/>
        <v>16332.4</v>
      </c>
      <c r="U822" t="str">
        <f t="shared" si="116"/>
        <v>OK</v>
      </c>
    </row>
    <row r="823" spans="1:21" x14ac:dyDescent="0.3">
      <c r="A823" t="s">
        <v>1059</v>
      </c>
      <c r="B823" s="3">
        <v>45860</v>
      </c>
      <c r="C823" t="s">
        <v>94</v>
      </c>
      <c r="D823" t="s">
        <v>34</v>
      </c>
      <c r="E823" t="s">
        <v>15</v>
      </c>
      <c r="F823" t="s">
        <v>21</v>
      </c>
      <c r="G823" t="s">
        <v>35</v>
      </c>
      <c r="H823">
        <v>1</v>
      </c>
      <c r="I823">
        <v>9371</v>
      </c>
      <c r="J823">
        <v>0.15</v>
      </c>
      <c r="K823">
        <v>7965.35</v>
      </c>
      <c r="L823">
        <v>1646.89</v>
      </c>
      <c r="M823" t="str">
        <f t="shared" si="108"/>
        <v>Desk</v>
      </c>
      <c r="N823" t="str">
        <f t="shared" si="109"/>
        <v>Mumbai</v>
      </c>
      <c r="O823" t="str">
        <f t="shared" si="110"/>
        <v>West</v>
      </c>
      <c r="P823" t="str">
        <f t="shared" si="111"/>
        <v>Furniture</v>
      </c>
      <c r="Q823" t="str">
        <f t="shared" si="112"/>
        <v>Furniture</v>
      </c>
      <c r="R823" t="str">
        <f t="shared" si="113"/>
        <v>West</v>
      </c>
      <c r="S823" t="str">
        <f t="shared" si="114"/>
        <v>Mumbai</v>
      </c>
      <c r="T823">
        <f t="shared" si="115"/>
        <v>7965.3499999999995</v>
      </c>
      <c r="U823" t="str">
        <f t="shared" si="116"/>
        <v>OK</v>
      </c>
    </row>
    <row r="824" spans="1:21" x14ac:dyDescent="0.3">
      <c r="A824" t="s">
        <v>1060</v>
      </c>
      <c r="B824" s="3">
        <v>45895</v>
      </c>
      <c r="C824" t="s">
        <v>251</v>
      </c>
      <c r="D824" t="s">
        <v>68</v>
      </c>
      <c r="E824" t="s">
        <v>44</v>
      </c>
      <c r="F824" t="s">
        <v>21</v>
      </c>
      <c r="G824" t="s">
        <v>55</v>
      </c>
      <c r="H824">
        <v>4</v>
      </c>
      <c r="I824">
        <v>6465</v>
      </c>
      <c r="J824">
        <v>0</v>
      </c>
      <c r="K824">
        <v>25860</v>
      </c>
      <c r="L824">
        <v>4742.76</v>
      </c>
      <c r="M824" t="str">
        <f t="shared" si="108"/>
        <v>Webcam</v>
      </c>
      <c r="N824" t="str">
        <f t="shared" si="109"/>
        <v>Pune</v>
      </c>
      <c r="O824" t="str">
        <f t="shared" si="110"/>
        <v>West</v>
      </c>
      <c r="P824" t="str">
        <f t="shared" si="111"/>
        <v>Accessories</v>
      </c>
      <c r="Q824" t="str">
        <f t="shared" si="112"/>
        <v>Accessories</v>
      </c>
      <c r="R824" t="str">
        <f t="shared" si="113"/>
        <v>West</v>
      </c>
      <c r="S824" t="str">
        <f t="shared" si="114"/>
        <v>Pune</v>
      </c>
      <c r="T824">
        <f t="shared" si="115"/>
        <v>25860</v>
      </c>
      <c r="U824" t="str">
        <f t="shared" si="116"/>
        <v>OK</v>
      </c>
    </row>
    <row r="825" spans="1:21" x14ac:dyDescent="0.3">
      <c r="A825" t="s">
        <v>1061</v>
      </c>
      <c r="B825" s="3">
        <v>45795</v>
      </c>
      <c r="C825" t="s">
        <v>270</v>
      </c>
      <c r="D825" t="s">
        <v>92</v>
      </c>
      <c r="E825" t="s">
        <v>51</v>
      </c>
      <c r="F825" t="s">
        <v>21</v>
      </c>
      <c r="G825" t="s">
        <v>35</v>
      </c>
      <c r="H825">
        <v>3</v>
      </c>
      <c r="I825">
        <v>12484</v>
      </c>
      <c r="J825">
        <v>0.1</v>
      </c>
      <c r="K825">
        <v>33706.800000000003</v>
      </c>
      <c r="L825">
        <v>8111.29</v>
      </c>
      <c r="M825" t="str">
        <f t="shared" si="108"/>
        <v>Monitor</v>
      </c>
      <c r="N825" t="str">
        <f t="shared" si="109"/>
        <v>Mumbai</v>
      </c>
      <c r="O825" t="str">
        <f t="shared" si="110"/>
        <v>West</v>
      </c>
      <c r="P825" t="str">
        <f t="shared" si="111"/>
        <v>Electronics</v>
      </c>
      <c r="Q825" t="str">
        <f t="shared" si="112"/>
        <v>Electronics</v>
      </c>
      <c r="R825" t="str">
        <f t="shared" si="113"/>
        <v>West</v>
      </c>
      <c r="S825" t="str">
        <f t="shared" si="114"/>
        <v>Mumbai</v>
      </c>
      <c r="T825">
        <f t="shared" si="115"/>
        <v>33706.800000000003</v>
      </c>
      <c r="U825" t="str">
        <f t="shared" si="116"/>
        <v>OK</v>
      </c>
    </row>
    <row r="826" spans="1:21" x14ac:dyDescent="0.3">
      <c r="A826" t="s">
        <v>1062</v>
      </c>
      <c r="B826" s="3">
        <v>45713</v>
      </c>
      <c r="C826" t="s">
        <v>61</v>
      </c>
      <c r="D826" t="s">
        <v>25</v>
      </c>
      <c r="E826" t="s">
        <v>26</v>
      </c>
      <c r="F826" t="s">
        <v>16</v>
      </c>
      <c r="G826" t="s">
        <v>52</v>
      </c>
      <c r="H826">
        <v>2</v>
      </c>
      <c r="I826">
        <v>10590</v>
      </c>
      <c r="J826">
        <v>0.05</v>
      </c>
      <c r="K826">
        <v>20121</v>
      </c>
      <c r="L826">
        <v>1709.72</v>
      </c>
      <c r="M826" t="str">
        <f t="shared" si="108"/>
        <v>Microwave</v>
      </c>
      <c r="N826" t="str">
        <f t="shared" si="109"/>
        <v>Kolkata</v>
      </c>
      <c r="O826" t="str">
        <f t="shared" si="110"/>
        <v>East</v>
      </c>
      <c r="P826" t="str">
        <f t="shared" si="111"/>
        <v>Home Appliances</v>
      </c>
      <c r="Q826" t="str">
        <f t="shared" si="112"/>
        <v>Home Appliances</v>
      </c>
      <c r="R826" t="str">
        <f t="shared" si="113"/>
        <v>East</v>
      </c>
      <c r="S826" t="str">
        <f t="shared" si="114"/>
        <v>Kolkata</v>
      </c>
      <c r="T826">
        <f t="shared" si="115"/>
        <v>20121</v>
      </c>
      <c r="U826" t="str">
        <f t="shared" si="116"/>
        <v>OK</v>
      </c>
    </row>
    <row r="827" spans="1:21" x14ac:dyDescent="0.3">
      <c r="A827" t="s">
        <v>1063</v>
      </c>
      <c r="B827" s="3">
        <v>45786</v>
      </c>
      <c r="C827" t="s">
        <v>272</v>
      </c>
      <c r="D827" t="s">
        <v>92</v>
      </c>
      <c r="E827" t="s">
        <v>51</v>
      </c>
      <c r="F827" t="s">
        <v>27</v>
      </c>
      <c r="G827" t="s">
        <v>28</v>
      </c>
      <c r="H827">
        <v>4</v>
      </c>
      <c r="I827">
        <v>17721</v>
      </c>
      <c r="J827">
        <v>0.1</v>
      </c>
      <c r="K827">
        <v>63795.6</v>
      </c>
      <c r="L827">
        <v>16628.62</v>
      </c>
      <c r="M827" t="str">
        <f t="shared" si="108"/>
        <v>Monitor</v>
      </c>
      <c r="N827" t="str">
        <f t="shared" si="109"/>
        <v>Bengaluru</v>
      </c>
      <c r="O827" t="str">
        <f t="shared" si="110"/>
        <v>South</v>
      </c>
      <c r="P827" t="str">
        <f t="shared" si="111"/>
        <v>Electronics</v>
      </c>
      <c r="Q827" t="str">
        <f t="shared" si="112"/>
        <v>Electronics</v>
      </c>
      <c r="R827" t="str">
        <f t="shared" si="113"/>
        <v>South</v>
      </c>
      <c r="S827" t="str">
        <f t="shared" si="114"/>
        <v>Bengaluru</v>
      </c>
      <c r="T827">
        <f t="shared" si="115"/>
        <v>63795.6</v>
      </c>
      <c r="U827" t="str">
        <f t="shared" si="116"/>
        <v>OK</v>
      </c>
    </row>
    <row r="828" spans="1:21" x14ac:dyDescent="0.3">
      <c r="A828" t="s">
        <v>1064</v>
      </c>
      <c r="B828" s="3">
        <v>45956</v>
      </c>
      <c r="C828" t="s">
        <v>463</v>
      </c>
      <c r="D828" t="s">
        <v>92</v>
      </c>
      <c r="E828" t="s">
        <v>51</v>
      </c>
      <c r="F828" t="s">
        <v>21</v>
      </c>
      <c r="G828" t="s">
        <v>55</v>
      </c>
      <c r="H828">
        <v>1</v>
      </c>
      <c r="I828">
        <v>11463</v>
      </c>
      <c r="J828">
        <v>0.1</v>
      </c>
      <c r="K828">
        <v>10316.700000000001</v>
      </c>
      <c r="L828">
        <v>1328.05</v>
      </c>
      <c r="M828" t="str">
        <f t="shared" si="108"/>
        <v>Monitor</v>
      </c>
      <c r="N828" t="str">
        <f t="shared" si="109"/>
        <v>Pune</v>
      </c>
      <c r="O828" t="str">
        <f t="shared" si="110"/>
        <v>West</v>
      </c>
      <c r="P828" t="str">
        <f t="shared" si="111"/>
        <v>Electronics</v>
      </c>
      <c r="Q828" t="str">
        <f t="shared" si="112"/>
        <v>Electronics</v>
      </c>
      <c r="R828" t="str">
        <f t="shared" si="113"/>
        <v>West</v>
      </c>
      <c r="S828" t="str">
        <f t="shared" si="114"/>
        <v>Pune</v>
      </c>
      <c r="T828">
        <f t="shared" si="115"/>
        <v>10316.700000000001</v>
      </c>
      <c r="U828" t="str">
        <f t="shared" si="116"/>
        <v>OK</v>
      </c>
    </row>
    <row r="829" spans="1:21" x14ac:dyDescent="0.3">
      <c r="A829" t="s">
        <v>1065</v>
      </c>
      <c r="B829" s="3">
        <v>45822</v>
      </c>
      <c r="C829" t="s">
        <v>217</v>
      </c>
      <c r="D829" t="s">
        <v>83</v>
      </c>
      <c r="E829" t="s">
        <v>73</v>
      </c>
      <c r="F829" t="s">
        <v>16</v>
      </c>
      <c r="G829" t="s">
        <v>17</v>
      </c>
      <c r="H829">
        <v>1</v>
      </c>
      <c r="I829">
        <v>624</v>
      </c>
      <c r="J829">
        <v>0.15</v>
      </c>
      <c r="K829">
        <v>530.4</v>
      </c>
      <c r="L829">
        <v>44.27</v>
      </c>
      <c r="M829" t="str">
        <f t="shared" si="108"/>
        <v>Printer Paper</v>
      </c>
      <c r="N829" t="str">
        <f t="shared" si="109"/>
        <v>Guwahati</v>
      </c>
      <c r="O829" t="str">
        <f t="shared" si="110"/>
        <v>East</v>
      </c>
      <c r="P829" t="str">
        <f t="shared" si="111"/>
        <v>Office Supplies</v>
      </c>
      <c r="Q829" t="str">
        <f t="shared" si="112"/>
        <v>Office Supplies</v>
      </c>
      <c r="R829" t="str">
        <f t="shared" si="113"/>
        <v>East</v>
      </c>
      <c r="S829" t="str">
        <f t="shared" si="114"/>
        <v>Guwahati</v>
      </c>
      <c r="T829">
        <f t="shared" si="115"/>
        <v>530.4</v>
      </c>
      <c r="U829" t="str">
        <f t="shared" si="116"/>
        <v>OK</v>
      </c>
    </row>
    <row r="830" spans="1:21" x14ac:dyDescent="0.3">
      <c r="A830" t="s">
        <v>1066</v>
      </c>
      <c r="B830" s="3">
        <v>46020</v>
      </c>
      <c r="C830" t="s">
        <v>125</v>
      </c>
      <c r="D830" t="s">
        <v>68</v>
      </c>
      <c r="E830" t="s">
        <v>44</v>
      </c>
      <c r="F830" t="s">
        <v>16</v>
      </c>
      <c r="G830" t="s">
        <v>104</v>
      </c>
      <c r="H830">
        <v>4</v>
      </c>
      <c r="I830">
        <v>3936</v>
      </c>
      <c r="J830">
        <v>0</v>
      </c>
      <c r="K830">
        <v>15744</v>
      </c>
      <c r="L830">
        <v>3032.81</v>
      </c>
      <c r="M830" t="str">
        <f t="shared" si="108"/>
        <v>Webcam</v>
      </c>
      <c r="N830" t="str">
        <f t="shared" si="109"/>
        <v>Bhubaneswar</v>
      </c>
      <c r="O830" t="str">
        <f t="shared" si="110"/>
        <v>East</v>
      </c>
      <c r="P830" t="str">
        <f t="shared" si="111"/>
        <v>Accessories</v>
      </c>
      <c r="Q830" t="str">
        <f t="shared" si="112"/>
        <v>Accessories</v>
      </c>
      <c r="R830" t="str">
        <f t="shared" si="113"/>
        <v>East</v>
      </c>
      <c r="S830" t="str">
        <f t="shared" si="114"/>
        <v>Bhubaneswar</v>
      </c>
      <c r="T830">
        <f t="shared" si="115"/>
        <v>15744</v>
      </c>
      <c r="U830" t="str">
        <f t="shared" si="116"/>
        <v>OK</v>
      </c>
    </row>
    <row r="831" spans="1:21" x14ac:dyDescent="0.3">
      <c r="A831" t="s">
        <v>1067</v>
      </c>
      <c r="B831" s="3">
        <v>45833</v>
      </c>
      <c r="C831" t="s">
        <v>217</v>
      </c>
      <c r="D831" t="s">
        <v>103</v>
      </c>
      <c r="E831" t="s">
        <v>51</v>
      </c>
      <c r="F831" t="s">
        <v>16</v>
      </c>
      <c r="G831" t="s">
        <v>104</v>
      </c>
      <c r="H831">
        <v>1</v>
      </c>
      <c r="I831">
        <v>2083</v>
      </c>
      <c r="J831">
        <v>0.1</v>
      </c>
      <c r="K831">
        <v>1874.7</v>
      </c>
      <c r="L831">
        <v>473.12</v>
      </c>
      <c r="M831" t="str">
        <f t="shared" si="108"/>
        <v>Headphones</v>
      </c>
      <c r="N831" t="str">
        <f t="shared" si="109"/>
        <v>Bhubaneswar</v>
      </c>
      <c r="O831" t="str">
        <f t="shared" si="110"/>
        <v>East</v>
      </c>
      <c r="P831" t="str">
        <f t="shared" si="111"/>
        <v>Electronics</v>
      </c>
      <c r="Q831" t="str">
        <f t="shared" si="112"/>
        <v>Electronics</v>
      </c>
      <c r="R831" t="str">
        <f t="shared" si="113"/>
        <v>East</v>
      </c>
      <c r="S831" t="str">
        <f t="shared" si="114"/>
        <v>Bhubaneswar</v>
      </c>
      <c r="T831">
        <f t="shared" si="115"/>
        <v>1874.7</v>
      </c>
      <c r="U831" t="str">
        <f t="shared" si="116"/>
        <v>OK</v>
      </c>
    </row>
    <row r="832" spans="1:21" x14ac:dyDescent="0.3">
      <c r="A832" t="s">
        <v>1068</v>
      </c>
      <c r="B832" s="3">
        <v>45845</v>
      </c>
      <c r="C832" t="s">
        <v>315</v>
      </c>
      <c r="D832" t="s">
        <v>307</v>
      </c>
      <c r="E832" t="s">
        <v>73</v>
      </c>
      <c r="F832" t="s">
        <v>58</v>
      </c>
      <c r="G832" t="s">
        <v>126</v>
      </c>
      <c r="H832">
        <v>3</v>
      </c>
      <c r="I832">
        <v>450</v>
      </c>
      <c r="J832">
        <v>0.15</v>
      </c>
      <c r="K832">
        <v>1147.5</v>
      </c>
      <c r="L832">
        <v>118.01</v>
      </c>
      <c r="M832" t="str">
        <f t="shared" si="108"/>
        <v>Notebook</v>
      </c>
      <c r="N832" t="str">
        <f t="shared" si="109"/>
        <v>Delhi</v>
      </c>
      <c r="O832" t="str">
        <f t="shared" si="110"/>
        <v>North</v>
      </c>
      <c r="P832" t="str">
        <f t="shared" si="111"/>
        <v>Office Supplies</v>
      </c>
      <c r="Q832" t="str">
        <f t="shared" si="112"/>
        <v>Office Supplies</v>
      </c>
      <c r="R832" t="str">
        <f t="shared" si="113"/>
        <v>North</v>
      </c>
      <c r="S832" t="str">
        <f t="shared" si="114"/>
        <v>Delhi</v>
      </c>
      <c r="T832">
        <f t="shared" si="115"/>
        <v>1147.5</v>
      </c>
      <c r="U832" t="str">
        <f t="shared" si="116"/>
        <v>OK</v>
      </c>
    </row>
    <row r="833" spans="1:21" x14ac:dyDescent="0.3">
      <c r="A833" t="s">
        <v>1069</v>
      </c>
      <c r="B833" s="3">
        <v>45893</v>
      </c>
      <c r="C833" t="s">
        <v>401</v>
      </c>
      <c r="D833" t="s">
        <v>30</v>
      </c>
      <c r="E833" t="s">
        <v>15</v>
      </c>
      <c r="F833" t="s">
        <v>21</v>
      </c>
      <c r="G833" t="s">
        <v>22</v>
      </c>
      <c r="H833">
        <v>2</v>
      </c>
      <c r="I833">
        <v>12450</v>
      </c>
      <c r="J833">
        <v>0.1</v>
      </c>
      <c r="K833">
        <v>22410</v>
      </c>
      <c r="L833">
        <v>6271.25</v>
      </c>
      <c r="M833" t="str">
        <f t="shared" si="108"/>
        <v>Bookshelf</v>
      </c>
      <c r="N833" t="str">
        <f t="shared" si="109"/>
        <v>Ahmedabad</v>
      </c>
      <c r="O833" t="str">
        <f t="shared" si="110"/>
        <v>West</v>
      </c>
      <c r="P833" t="str">
        <f t="shared" si="111"/>
        <v>Furniture</v>
      </c>
      <c r="Q833" t="str">
        <f t="shared" si="112"/>
        <v>Furniture</v>
      </c>
      <c r="R833" t="str">
        <f t="shared" si="113"/>
        <v>West</v>
      </c>
      <c r="S833" t="str">
        <f t="shared" si="114"/>
        <v>Ahmedabad</v>
      </c>
      <c r="T833">
        <f t="shared" si="115"/>
        <v>22410</v>
      </c>
      <c r="U833" t="str">
        <f t="shared" si="116"/>
        <v>OK</v>
      </c>
    </row>
    <row r="834" spans="1:21" x14ac:dyDescent="0.3">
      <c r="A834" t="s">
        <v>1070</v>
      </c>
      <c r="B834" s="3">
        <v>45950</v>
      </c>
      <c r="C834" t="s">
        <v>225</v>
      </c>
      <c r="D834" t="s">
        <v>80</v>
      </c>
      <c r="E834" t="s">
        <v>51</v>
      </c>
      <c r="F834" t="s">
        <v>16</v>
      </c>
      <c r="G834" t="s">
        <v>104</v>
      </c>
      <c r="H834">
        <v>1</v>
      </c>
      <c r="I834">
        <v>76714</v>
      </c>
      <c r="J834">
        <v>0.2</v>
      </c>
      <c r="K834">
        <v>61371.199999999997</v>
      </c>
      <c r="L834">
        <v>16878.150000000001</v>
      </c>
      <c r="M834" t="str">
        <f t="shared" si="108"/>
        <v>Laptop</v>
      </c>
      <c r="N834" t="str">
        <f t="shared" si="109"/>
        <v>Bhubaneswar</v>
      </c>
      <c r="O834" t="str">
        <f t="shared" si="110"/>
        <v>East</v>
      </c>
      <c r="P834" t="str">
        <f t="shared" si="111"/>
        <v>Electronics</v>
      </c>
      <c r="Q834" t="str">
        <f t="shared" si="112"/>
        <v>Electronics</v>
      </c>
      <c r="R834" t="str">
        <f t="shared" si="113"/>
        <v>East</v>
      </c>
      <c r="S834" t="str">
        <f t="shared" si="114"/>
        <v>Bhubaneswar</v>
      </c>
      <c r="T834">
        <f t="shared" si="115"/>
        <v>61371.200000000004</v>
      </c>
      <c r="U834" t="str">
        <f t="shared" si="116"/>
        <v>OK</v>
      </c>
    </row>
    <row r="835" spans="1:21" x14ac:dyDescent="0.3">
      <c r="A835" t="s">
        <v>1071</v>
      </c>
      <c r="B835" s="3">
        <v>45685</v>
      </c>
      <c r="C835" t="s">
        <v>278</v>
      </c>
      <c r="D835" t="s">
        <v>65</v>
      </c>
      <c r="E835" t="s">
        <v>26</v>
      </c>
      <c r="F835" t="s">
        <v>27</v>
      </c>
      <c r="G835" t="s">
        <v>28</v>
      </c>
      <c r="H835">
        <v>3</v>
      </c>
      <c r="I835">
        <v>1365</v>
      </c>
      <c r="J835">
        <v>0.1</v>
      </c>
      <c r="K835">
        <v>3685.5</v>
      </c>
      <c r="L835">
        <v>889.52</v>
      </c>
      <c r="M835" t="str">
        <f t="shared" ref="M835:M898" si="117">TRIM(D835)</f>
        <v>Electric Kettle</v>
      </c>
      <c r="N835" t="str">
        <f t="shared" ref="N835:N898" si="118">TRIM(G835)</f>
        <v>Bengaluru</v>
      </c>
      <c r="O835" t="str">
        <f t="shared" ref="O835:O898" si="119">TRIM(F:F)</f>
        <v>South</v>
      </c>
      <c r="P835" t="str">
        <f t="shared" ref="P835:P898" si="120">TRIM(E835)</f>
        <v>Home Appliances</v>
      </c>
      <c r="Q835" t="str">
        <f t="shared" ref="Q835:Q898" si="121">PROPER(E835)</f>
        <v>Home Appliances</v>
      </c>
      <c r="R835" t="str">
        <f t="shared" ref="R835:R898" si="122">PROPER(F835)</f>
        <v>South</v>
      </c>
      <c r="S835" t="str">
        <f t="shared" ref="S835:S898" si="123">PROPER(G835)</f>
        <v>Bengaluru</v>
      </c>
      <c r="T835">
        <f t="shared" ref="T835:T898" si="124">H835*I835*(1-J835)</f>
        <v>3685.5</v>
      </c>
      <c r="U835" t="str">
        <f t="shared" ref="U835:U898" si="125">IF(ROUND(K835,2)=ROUND(T835,2),"OK","CHECK")</f>
        <v>OK</v>
      </c>
    </row>
    <row r="836" spans="1:21" x14ac:dyDescent="0.3">
      <c r="A836" t="s">
        <v>1072</v>
      </c>
      <c r="B836" s="3">
        <v>45824</v>
      </c>
      <c r="C836" t="s">
        <v>102</v>
      </c>
      <c r="D836" t="s">
        <v>92</v>
      </c>
      <c r="E836" t="s">
        <v>51</v>
      </c>
      <c r="F836" t="s">
        <v>27</v>
      </c>
      <c r="G836" t="s">
        <v>40</v>
      </c>
      <c r="H836">
        <v>1</v>
      </c>
      <c r="I836">
        <v>16710</v>
      </c>
      <c r="J836">
        <v>0.1</v>
      </c>
      <c r="K836">
        <v>15039</v>
      </c>
      <c r="L836">
        <v>2153.39</v>
      </c>
      <c r="M836" t="str">
        <f t="shared" si="117"/>
        <v>Monitor</v>
      </c>
      <c r="N836" t="str">
        <f t="shared" si="118"/>
        <v>Chennai</v>
      </c>
      <c r="O836" t="str">
        <f t="shared" si="119"/>
        <v>South</v>
      </c>
      <c r="P836" t="str">
        <f t="shared" si="120"/>
        <v>Electronics</v>
      </c>
      <c r="Q836" t="str">
        <f t="shared" si="121"/>
        <v>Electronics</v>
      </c>
      <c r="R836" t="str">
        <f t="shared" si="122"/>
        <v>South</v>
      </c>
      <c r="S836" t="str">
        <f t="shared" si="123"/>
        <v>Chennai</v>
      </c>
      <c r="T836">
        <f t="shared" si="124"/>
        <v>15039</v>
      </c>
      <c r="U836" t="str">
        <f t="shared" si="125"/>
        <v>OK</v>
      </c>
    </row>
    <row r="837" spans="1:21" x14ac:dyDescent="0.3">
      <c r="A837" t="s">
        <v>1073</v>
      </c>
      <c r="B837" s="3">
        <v>45767</v>
      </c>
      <c r="C837" t="s">
        <v>492</v>
      </c>
      <c r="D837" t="s">
        <v>30</v>
      </c>
      <c r="E837" t="s">
        <v>15</v>
      </c>
      <c r="F837" t="s">
        <v>58</v>
      </c>
      <c r="G837" t="s">
        <v>69</v>
      </c>
      <c r="H837">
        <v>3</v>
      </c>
      <c r="I837">
        <v>9730</v>
      </c>
      <c r="J837">
        <v>0.15</v>
      </c>
      <c r="K837">
        <v>24811.5</v>
      </c>
      <c r="L837">
        <v>3491</v>
      </c>
      <c r="M837" t="str">
        <f t="shared" si="117"/>
        <v>Bookshelf</v>
      </c>
      <c r="N837" t="str">
        <f t="shared" si="118"/>
        <v>Jaipur</v>
      </c>
      <c r="O837" t="str">
        <f t="shared" si="119"/>
        <v>North</v>
      </c>
      <c r="P837" t="str">
        <f t="shared" si="120"/>
        <v>Furniture</v>
      </c>
      <c r="Q837" t="str">
        <f t="shared" si="121"/>
        <v>Furniture</v>
      </c>
      <c r="R837" t="str">
        <f t="shared" si="122"/>
        <v>North</v>
      </c>
      <c r="S837" t="str">
        <f t="shared" si="123"/>
        <v>Jaipur</v>
      </c>
      <c r="T837">
        <f t="shared" si="124"/>
        <v>24811.5</v>
      </c>
      <c r="U837" t="str">
        <f t="shared" si="125"/>
        <v>OK</v>
      </c>
    </row>
    <row r="838" spans="1:21" x14ac:dyDescent="0.3">
      <c r="A838" t="s">
        <v>1074</v>
      </c>
      <c r="B838" s="3">
        <v>45898</v>
      </c>
      <c r="C838" t="s">
        <v>255</v>
      </c>
      <c r="D838" t="s">
        <v>103</v>
      </c>
      <c r="E838" t="s">
        <v>51</v>
      </c>
      <c r="F838" t="s">
        <v>21</v>
      </c>
      <c r="G838" t="s">
        <v>22</v>
      </c>
      <c r="H838">
        <v>1</v>
      </c>
      <c r="I838">
        <v>8986</v>
      </c>
      <c r="J838">
        <v>0</v>
      </c>
      <c r="K838">
        <v>8986</v>
      </c>
      <c r="L838">
        <v>984.97</v>
      </c>
      <c r="M838" t="str">
        <f t="shared" si="117"/>
        <v>Headphones</v>
      </c>
      <c r="N838" t="str">
        <f t="shared" si="118"/>
        <v>Ahmedabad</v>
      </c>
      <c r="O838" t="str">
        <f t="shared" si="119"/>
        <v>West</v>
      </c>
      <c r="P838" t="str">
        <f t="shared" si="120"/>
        <v>Electronics</v>
      </c>
      <c r="Q838" t="str">
        <f t="shared" si="121"/>
        <v>Electronics</v>
      </c>
      <c r="R838" t="str">
        <f t="shared" si="122"/>
        <v>West</v>
      </c>
      <c r="S838" t="str">
        <f t="shared" si="123"/>
        <v>Ahmedabad</v>
      </c>
      <c r="T838">
        <f t="shared" si="124"/>
        <v>8986</v>
      </c>
      <c r="U838" t="str">
        <f t="shared" si="125"/>
        <v>OK</v>
      </c>
    </row>
    <row r="839" spans="1:21" x14ac:dyDescent="0.3">
      <c r="A839" t="s">
        <v>1075</v>
      </c>
      <c r="B839" s="3">
        <v>45756</v>
      </c>
      <c r="C839" t="s">
        <v>403</v>
      </c>
      <c r="D839" t="s">
        <v>50</v>
      </c>
      <c r="E839" t="s">
        <v>51</v>
      </c>
      <c r="F839" t="s">
        <v>21</v>
      </c>
      <c r="G839" t="s">
        <v>55</v>
      </c>
      <c r="H839">
        <v>2</v>
      </c>
      <c r="I839">
        <v>2929</v>
      </c>
      <c r="J839">
        <v>0.15</v>
      </c>
      <c r="K839">
        <v>4979.3</v>
      </c>
      <c r="L839">
        <v>1352.29</v>
      </c>
      <c r="M839" t="str">
        <f t="shared" si="117"/>
        <v>Keyboard</v>
      </c>
      <c r="N839" t="str">
        <f t="shared" si="118"/>
        <v>Pune</v>
      </c>
      <c r="O839" t="str">
        <f t="shared" si="119"/>
        <v>West</v>
      </c>
      <c r="P839" t="str">
        <f t="shared" si="120"/>
        <v>Electronics</v>
      </c>
      <c r="Q839" t="str">
        <f t="shared" si="121"/>
        <v>Electronics</v>
      </c>
      <c r="R839" t="str">
        <f t="shared" si="122"/>
        <v>West</v>
      </c>
      <c r="S839" t="str">
        <f t="shared" si="123"/>
        <v>Pune</v>
      </c>
      <c r="T839">
        <f t="shared" si="124"/>
        <v>4979.3</v>
      </c>
      <c r="U839" t="str">
        <f t="shared" si="125"/>
        <v>OK</v>
      </c>
    </row>
    <row r="840" spans="1:21" x14ac:dyDescent="0.3">
      <c r="A840" t="s">
        <v>1076</v>
      </c>
      <c r="B840" s="3">
        <v>45855</v>
      </c>
      <c r="C840" t="s">
        <v>282</v>
      </c>
      <c r="D840" t="s">
        <v>30</v>
      </c>
      <c r="E840" t="s">
        <v>15</v>
      </c>
      <c r="F840" t="s">
        <v>27</v>
      </c>
      <c r="G840" t="s">
        <v>28</v>
      </c>
      <c r="H840">
        <v>1</v>
      </c>
      <c r="I840">
        <v>4622</v>
      </c>
      <c r="J840">
        <v>0.15</v>
      </c>
      <c r="K840">
        <v>3928.7</v>
      </c>
      <c r="L840">
        <v>689.21</v>
      </c>
      <c r="M840" t="str">
        <f t="shared" si="117"/>
        <v>Bookshelf</v>
      </c>
      <c r="N840" t="str">
        <f t="shared" si="118"/>
        <v>Bengaluru</v>
      </c>
      <c r="O840" t="str">
        <f t="shared" si="119"/>
        <v>South</v>
      </c>
      <c r="P840" t="str">
        <f t="shared" si="120"/>
        <v>Furniture</v>
      </c>
      <c r="Q840" t="str">
        <f t="shared" si="121"/>
        <v>Furniture</v>
      </c>
      <c r="R840" t="str">
        <f t="shared" si="122"/>
        <v>South</v>
      </c>
      <c r="S840" t="str">
        <f t="shared" si="123"/>
        <v>Bengaluru</v>
      </c>
      <c r="T840">
        <f t="shared" si="124"/>
        <v>3928.7</v>
      </c>
      <c r="U840" t="str">
        <f t="shared" si="125"/>
        <v>OK</v>
      </c>
    </row>
    <row r="841" spans="1:21" x14ac:dyDescent="0.3">
      <c r="A841" t="s">
        <v>1077</v>
      </c>
      <c r="B841" s="3">
        <v>45938</v>
      </c>
      <c r="C841" t="s">
        <v>363</v>
      </c>
      <c r="D841" t="s">
        <v>120</v>
      </c>
      <c r="E841" t="s">
        <v>51</v>
      </c>
      <c r="F841" t="s">
        <v>27</v>
      </c>
      <c r="G841" t="s">
        <v>40</v>
      </c>
      <c r="H841">
        <v>2</v>
      </c>
      <c r="I841">
        <v>1857</v>
      </c>
      <c r="J841">
        <v>0.15</v>
      </c>
      <c r="K841">
        <v>3156.9</v>
      </c>
      <c r="L841">
        <v>841.08</v>
      </c>
      <c r="M841" t="str">
        <f t="shared" si="117"/>
        <v>Mouse</v>
      </c>
      <c r="N841" t="str">
        <f t="shared" si="118"/>
        <v>Chennai</v>
      </c>
      <c r="O841" t="str">
        <f t="shared" si="119"/>
        <v>South</v>
      </c>
      <c r="P841" t="str">
        <f t="shared" si="120"/>
        <v>Electronics</v>
      </c>
      <c r="Q841" t="str">
        <f t="shared" si="121"/>
        <v>Electronics</v>
      </c>
      <c r="R841" t="str">
        <f t="shared" si="122"/>
        <v>South</v>
      </c>
      <c r="S841" t="str">
        <f t="shared" si="123"/>
        <v>Chennai</v>
      </c>
      <c r="T841">
        <f t="shared" si="124"/>
        <v>3156.9</v>
      </c>
      <c r="U841" t="str">
        <f t="shared" si="125"/>
        <v>OK</v>
      </c>
    </row>
    <row r="842" spans="1:21" x14ac:dyDescent="0.3">
      <c r="A842" t="s">
        <v>1078</v>
      </c>
      <c r="B842" s="3">
        <v>46007</v>
      </c>
      <c r="C842" t="s">
        <v>429</v>
      </c>
      <c r="D842" t="s">
        <v>68</v>
      </c>
      <c r="E842" t="s">
        <v>44</v>
      </c>
      <c r="F842" t="s">
        <v>27</v>
      </c>
      <c r="G842" t="s">
        <v>40</v>
      </c>
      <c r="H842">
        <v>1</v>
      </c>
      <c r="I842">
        <v>3124</v>
      </c>
      <c r="J842">
        <v>0.1</v>
      </c>
      <c r="K842">
        <v>2811.6</v>
      </c>
      <c r="L842">
        <v>452.67</v>
      </c>
      <c r="M842" t="str">
        <f t="shared" si="117"/>
        <v>Webcam</v>
      </c>
      <c r="N842" t="str">
        <f t="shared" si="118"/>
        <v>Chennai</v>
      </c>
      <c r="O842" t="str">
        <f t="shared" si="119"/>
        <v>South</v>
      </c>
      <c r="P842" t="str">
        <f t="shared" si="120"/>
        <v>Accessories</v>
      </c>
      <c r="Q842" t="str">
        <f t="shared" si="121"/>
        <v>Accessories</v>
      </c>
      <c r="R842" t="str">
        <f t="shared" si="122"/>
        <v>South</v>
      </c>
      <c r="S842" t="str">
        <f t="shared" si="123"/>
        <v>Chennai</v>
      </c>
      <c r="T842">
        <f t="shared" si="124"/>
        <v>2811.6</v>
      </c>
      <c r="U842" t="str">
        <f t="shared" si="125"/>
        <v>OK</v>
      </c>
    </row>
    <row r="843" spans="1:21" x14ac:dyDescent="0.3">
      <c r="A843" t="s">
        <v>1079</v>
      </c>
      <c r="B843" s="3">
        <v>45703</v>
      </c>
      <c r="C843" t="s">
        <v>111</v>
      </c>
      <c r="D843" t="s">
        <v>202</v>
      </c>
      <c r="E843" t="s">
        <v>44</v>
      </c>
      <c r="F843" t="s">
        <v>58</v>
      </c>
      <c r="G843" t="s">
        <v>69</v>
      </c>
      <c r="H843">
        <v>1</v>
      </c>
      <c r="I843">
        <v>1915</v>
      </c>
      <c r="J843">
        <v>0</v>
      </c>
      <c r="K843">
        <v>1915</v>
      </c>
      <c r="L843">
        <v>409.98</v>
      </c>
      <c r="M843" t="str">
        <f t="shared" si="117"/>
        <v>Laptop Stand</v>
      </c>
      <c r="N843" t="str">
        <f t="shared" si="118"/>
        <v>Jaipur</v>
      </c>
      <c r="O843" t="str">
        <f t="shared" si="119"/>
        <v>North</v>
      </c>
      <c r="P843" t="str">
        <f t="shared" si="120"/>
        <v>Accessories</v>
      </c>
      <c r="Q843" t="str">
        <f t="shared" si="121"/>
        <v>Accessories</v>
      </c>
      <c r="R843" t="str">
        <f t="shared" si="122"/>
        <v>North</v>
      </c>
      <c r="S843" t="str">
        <f t="shared" si="123"/>
        <v>Jaipur</v>
      </c>
      <c r="T843">
        <f t="shared" si="124"/>
        <v>1915</v>
      </c>
      <c r="U843" t="str">
        <f t="shared" si="125"/>
        <v>OK</v>
      </c>
    </row>
    <row r="844" spans="1:21" x14ac:dyDescent="0.3">
      <c r="A844" t="s">
        <v>1080</v>
      </c>
      <c r="B844" s="3">
        <v>45835</v>
      </c>
      <c r="C844" t="s">
        <v>371</v>
      </c>
      <c r="D844" t="s">
        <v>97</v>
      </c>
      <c r="E844" t="s">
        <v>44</v>
      </c>
      <c r="F844" t="s">
        <v>27</v>
      </c>
      <c r="G844" t="s">
        <v>28</v>
      </c>
      <c r="H844">
        <v>1</v>
      </c>
      <c r="I844">
        <v>331</v>
      </c>
      <c r="J844">
        <v>0.2</v>
      </c>
      <c r="K844">
        <v>264.8</v>
      </c>
      <c r="L844">
        <v>31.44</v>
      </c>
      <c r="M844" t="str">
        <f t="shared" si="117"/>
        <v>USB Cable</v>
      </c>
      <c r="N844" t="str">
        <f t="shared" si="118"/>
        <v>Bengaluru</v>
      </c>
      <c r="O844" t="str">
        <f t="shared" si="119"/>
        <v>South</v>
      </c>
      <c r="P844" t="str">
        <f t="shared" si="120"/>
        <v>Accessories</v>
      </c>
      <c r="Q844" t="str">
        <f t="shared" si="121"/>
        <v>Accessories</v>
      </c>
      <c r="R844" t="str">
        <f t="shared" si="122"/>
        <v>South</v>
      </c>
      <c r="S844" t="str">
        <f t="shared" si="123"/>
        <v>Bengaluru</v>
      </c>
      <c r="T844">
        <f t="shared" si="124"/>
        <v>264.8</v>
      </c>
      <c r="U844" t="str">
        <f t="shared" si="125"/>
        <v>OK</v>
      </c>
    </row>
    <row r="845" spans="1:21" x14ac:dyDescent="0.3">
      <c r="A845" t="s">
        <v>1081</v>
      </c>
      <c r="B845" s="3">
        <v>45991</v>
      </c>
      <c r="C845" t="s">
        <v>238</v>
      </c>
      <c r="D845" t="s">
        <v>14</v>
      </c>
      <c r="E845" t="s">
        <v>15</v>
      </c>
      <c r="F845" t="s">
        <v>58</v>
      </c>
      <c r="G845" t="s">
        <v>69</v>
      </c>
      <c r="H845">
        <v>3</v>
      </c>
      <c r="I845">
        <v>11183</v>
      </c>
      <c r="J845">
        <v>0.05</v>
      </c>
      <c r="K845">
        <v>31871.55</v>
      </c>
      <c r="L845">
        <v>6946.87</v>
      </c>
      <c r="M845" t="str">
        <f t="shared" si="117"/>
        <v>Office Chair</v>
      </c>
      <c r="N845" t="str">
        <f t="shared" si="118"/>
        <v>Jaipur</v>
      </c>
      <c r="O845" t="str">
        <f t="shared" si="119"/>
        <v>North</v>
      </c>
      <c r="P845" t="str">
        <f t="shared" si="120"/>
        <v>Furniture</v>
      </c>
      <c r="Q845" t="str">
        <f t="shared" si="121"/>
        <v>Furniture</v>
      </c>
      <c r="R845" t="str">
        <f t="shared" si="122"/>
        <v>North</v>
      </c>
      <c r="S845" t="str">
        <f t="shared" si="123"/>
        <v>Jaipur</v>
      </c>
      <c r="T845">
        <f t="shared" si="124"/>
        <v>31871.55</v>
      </c>
      <c r="U845" t="str">
        <f t="shared" si="125"/>
        <v>OK</v>
      </c>
    </row>
    <row r="846" spans="1:21" x14ac:dyDescent="0.3">
      <c r="A846" t="s">
        <v>1082</v>
      </c>
      <c r="B846" s="3">
        <v>45810</v>
      </c>
      <c r="C846" t="s">
        <v>143</v>
      </c>
      <c r="D846" t="s">
        <v>103</v>
      </c>
      <c r="E846" t="s">
        <v>51</v>
      </c>
      <c r="F846" t="s">
        <v>16</v>
      </c>
      <c r="G846" t="s">
        <v>104</v>
      </c>
      <c r="H846">
        <v>4</v>
      </c>
      <c r="I846">
        <v>6144</v>
      </c>
      <c r="J846">
        <v>0</v>
      </c>
      <c r="K846">
        <v>24576</v>
      </c>
      <c r="L846">
        <v>6434.02</v>
      </c>
      <c r="M846" t="str">
        <f t="shared" si="117"/>
        <v>Headphones</v>
      </c>
      <c r="N846" t="str">
        <f t="shared" si="118"/>
        <v>Bhubaneswar</v>
      </c>
      <c r="O846" t="str">
        <f t="shared" si="119"/>
        <v>East</v>
      </c>
      <c r="P846" t="str">
        <f t="shared" si="120"/>
        <v>Electronics</v>
      </c>
      <c r="Q846" t="str">
        <f t="shared" si="121"/>
        <v>Electronics</v>
      </c>
      <c r="R846" t="str">
        <f t="shared" si="122"/>
        <v>East</v>
      </c>
      <c r="S846" t="str">
        <f t="shared" si="123"/>
        <v>Bhubaneswar</v>
      </c>
      <c r="T846">
        <f t="shared" si="124"/>
        <v>24576</v>
      </c>
      <c r="U846" t="str">
        <f t="shared" si="125"/>
        <v>OK</v>
      </c>
    </row>
    <row r="847" spans="1:21" x14ac:dyDescent="0.3">
      <c r="A847" t="s">
        <v>1083</v>
      </c>
      <c r="B847" s="3">
        <v>45704</v>
      </c>
      <c r="C847" t="s">
        <v>382</v>
      </c>
      <c r="D847" t="s">
        <v>307</v>
      </c>
      <c r="E847" t="s">
        <v>73</v>
      </c>
      <c r="F847" t="s">
        <v>58</v>
      </c>
      <c r="G847" t="s">
        <v>59</v>
      </c>
      <c r="H847">
        <v>1</v>
      </c>
      <c r="I847">
        <v>146</v>
      </c>
      <c r="J847">
        <v>0.1</v>
      </c>
      <c r="K847">
        <v>131.4</v>
      </c>
      <c r="L847">
        <v>35.69</v>
      </c>
      <c r="M847" t="str">
        <f t="shared" si="117"/>
        <v>Notebook</v>
      </c>
      <c r="N847" t="str">
        <f t="shared" si="118"/>
        <v>Chandigarh</v>
      </c>
      <c r="O847" t="str">
        <f t="shared" si="119"/>
        <v>North</v>
      </c>
      <c r="P847" t="str">
        <f t="shared" si="120"/>
        <v>Office Supplies</v>
      </c>
      <c r="Q847" t="str">
        <f t="shared" si="121"/>
        <v>Office Supplies</v>
      </c>
      <c r="R847" t="str">
        <f t="shared" si="122"/>
        <v>North</v>
      </c>
      <c r="S847" t="str">
        <f t="shared" si="123"/>
        <v>Chandigarh</v>
      </c>
      <c r="T847">
        <f t="shared" si="124"/>
        <v>131.4</v>
      </c>
      <c r="U847" t="str">
        <f t="shared" si="125"/>
        <v>OK</v>
      </c>
    </row>
    <row r="848" spans="1:21" x14ac:dyDescent="0.3">
      <c r="A848" t="s">
        <v>1084</v>
      </c>
      <c r="B848" s="3">
        <v>45972</v>
      </c>
      <c r="C848" t="s">
        <v>456</v>
      </c>
      <c r="D848" t="s">
        <v>30</v>
      </c>
      <c r="E848" t="s">
        <v>15</v>
      </c>
      <c r="F848" t="s">
        <v>58</v>
      </c>
      <c r="G848" t="s">
        <v>69</v>
      </c>
      <c r="H848">
        <v>2</v>
      </c>
      <c r="I848">
        <v>6332</v>
      </c>
      <c r="J848">
        <v>0</v>
      </c>
      <c r="K848">
        <v>12664</v>
      </c>
      <c r="L848">
        <v>2960.25</v>
      </c>
      <c r="M848" t="str">
        <f t="shared" si="117"/>
        <v>Bookshelf</v>
      </c>
      <c r="N848" t="str">
        <f t="shared" si="118"/>
        <v>Jaipur</v>
      </c>
      <c r="O848" t="str">
        <f t="shared" si="119"/>
        <v>North</v>
      </c>
      <c r="P848" t="str">
        <f t="shared" si="120"/>
        <v>Furniture</v>
      </c>
      <c r="Q848" t="str">
        <f t="shared" si="121"/>
        <v>Furniture</v>
      </c>
      <c r="R848" t="str">
        <f t="shared" si="122"/>
        <v>North</v>
      </c>
      <c r="S848" t="str">
        <f t="shared" si="123"/>
        <v>Jaipur</v>
      </c>
      <c r="T848">
        <f t="shared" si="124"/>
        <v>12664</v>
      </c>
      <c r="U848" t="str">
        <f t="shared" si="125"/>
        <v>OK</v>
      </c>
    </row>
    <row r="849" spans="1:21" x14ac:dyDescent="0.3">
      <c r="A849" t="s">
        <v>1085</v>
      </c>
      <c r="B849" s="3">
        <v>45789</v>
      </c>
      <c r="C849" t="s">
        <v>544</v>
      </c>
      <c r="D849" t="s">
        <v>80</v>
      </c>
      <c r="E849" t="s">
        <v>51</v>
      </c>
      <c r="F849" t="s">
        <v>58</v>
      </c>
      <c r="G849" t="s">
        <v>69</v>
      </c>
      <c r="H849">
        <v>2</v>
      </c>
      <c r="I849">
        <v>82728</v>
      </c>
      <c r="J849">
        <v>0.2</v>
      </c>
      <c r="K849">
        <v>132364.79999999999</v>
      </c>
      <c r="L849">
        <v>16065.69</v>
      </c>
      <c r="M849" t="str">
        <f t="shared" si="117"/>
        <v>Laptop</v>
      </c>
      <c r="N849" t="str">
        <f t="shared" si="118"/>
        <v>Jaipur</v>
      </c>
      <c r="O849" t="str">
        <f t="shared" si="119"/>
        <v>North</v>
      </c>
      <c r="P849" t="str">
        <f t="shared" si="120"/>
        <v>Electronics</v>
      </c>
      <c r="Q849" t="str">
        <f t="shared" si="121"/>
        <v>Electronics</v>
      </c>
      <c r="R849" t="str">
        <f t="shared" si="122"/>
        <v>North</v>
      </c>
      <c r="S849" t="str">
        <f t="shared" si="123"/>
        <v>Jaipur</v>
      </c>
      <c r="T849">
        <f t="shared" si="124"/>
        <v>132364.80000000002</v>
      </c>
      <c r="U849" t="str">
        <f t="shared" si="125"/>
        <v>OK</v>
      </c>
    </row>
    <row r="850" spans="1:21" x14ac:dyDescent="0.3">
      <c r="A850" t="s">
        <v>1086</v>
      </c>
      <c r="B850" s="3">
        <v>45910</v>
      </c>
      <c r="C850" t="s">
        <v>139</v>
      </c>
      <c r="D850" t="s">
        <v>202</v>
      </c>
      <c r="E850" t="s">
        <v>44</v>
      </c>
      <c r="F850" t="s">
        <v>27</v>
      </c>
      <c r="G850" t="s">
        <v>31</v>
      </c>
      <c r="H850">
        <v>2</v>
      </c>
      <c r="I850">
        <v>2140</v>
      </c>
      <c r="J850">
        <v>0.15</v>
      </c>
      <c r="K850">
        <v>3638</v>
      </c>
      <c r="L850">
        <v>841.02</v>
      </c>
      <c r="M850" t="str">
        <f t="shared" si="117"/>
        <v>Laptop Stand</v>
      </c>
      <c r="N850" t="str">
        <f t="shared" si="118"/>
        <v>Hyderabad</v>
      </c>
      <c r="O850" t="str">
        <f t="shared" si="119"/>
        <v>South</v>
      </c>
      <c r="P850" t="str">
        <f t="shared" si="120"/>
        <v>Accessories</v>
      </c>
      <c r="Q850" t="str">
        <f t="shared" si="121"/>
        <v>Accessories</v>
      </c>
      <c r="R850" t="str">
        <f t="shared" si="122"/>
        <v>South</v>
      </c>
      <c r="S850" t="str">
        <f t="shared" si="123"/>
        <v>Hyderabad</v>
      </c>
      <c r="T850">
        <f t="shared" si="124"/>
        <v>3638</v>
      </c>
      <c r="U850" t="str">
        <f t="shared" si="125"/>
        <v>OK</v>
      </c>
    </row>
    <row r="851" spans="1:21" x14ac:dyDescent="0.3">
      <c r="A851" t="s">
        <v>1087</v>
      </c>
      <c r="B851" s="3">
        <v>45843</v>
      </c>
      <c r="C851" t="s">
        <v>204</v>
      </c>
      <c r="D851" t="s">
        <v>68</v>
      </c>
      <c r="E851" t="s">
        <v>44</v>
      </c>
      <c r="F851" t="s">
        <v>21</v>
      </c>
      <c r="G851" t="s">
        <v>55</v>
      </c>
      <c r="H851">
        <v>1</v>
      </c>
      <c r="I851">
        <v>4415</v>
      </c>
      <c r="J851">
        <v>0.05</v>
      </c>
      <c r="K851">
        <v>4194.25</v>
      </c>
      <c r="L851">
        <v>502.95</v>
      </c>
      <c r="M851" t="str">
        <f t="shared" si="117"/>
        <v>Webcam</v>
      </c>
      <c r="N851" t="str">
        <f t="shared" si="118"/>
        <v>Pune</v>
      </c>
      <c r="O851" t="str">
        <f t="shared" si="119"/>
        <v>West</v>
      </c>
      <c r="P851" t="str">
        <f t="shared" si="120"/>
        <v>Accessories</v>
      </c>
      <c r="Q851" t="str">
        <f t="shared" si="121"/>
        <v>Accessories</v>
      </c>
      <c r="R851" t="str">
        <f t="shared" si="122"/>
        <v>West</v>
      </c>
      <c r="S851" t="str">
        <f t="shared" si="123"/>
        <v>Pune</v>
      </c>
      <c r="T851">
        <f t="shared" si="124"/>
        <v>4194.25</v>
      </c>
      <c r="U851" t="str">
        <f t="shared" si="125"/>
        <v>OK</v>
      </c>
    </row>
    <row r="852" spans="1:21" x14ac:dyDescent="0.3">
      <c r="A852" t="s">
        <v>1088</v>
      </c>
      <c r="B852" s="3">
        <v>45999</v>
      </c>
      <c r="C852" t="s">
        <v>415</v>
      </c>
      <c r="D852" t="s">
        <v>153</v>
      </c>
      <c r="E852" t="s">
        <v>26</v>
      </c>
      <c r="F852" t="s">
        <v>21</v>
      </c>
      <c r="G852" t="s">
        <v>22</v>
      </c>
      <c r="H852">
        <v>1</v>
      </c>
      <c r="I852">
        <v>8514</v>
      </c>
      <c r="J852">
        <v>0.15</v>
      </c>
      <c r="K852">
        <v>7236.9</v>
      </c>
      <c r="L852">
        <v>1278.1300000000001</v>
      </c>
      <c r="M852" t="str">
        <f t="shared" si="117"/>
        <v>Coffee Maker</v>
      </c>
      <c r="N852" t="str">
        <f t="shared" si="118"/>
        <v>Ahmedabad</v>
      </c>
      <c r="O852" t="str">
        <f t="shared" si="119"/>
        <v>West</v>
      </c>
      <c r="P852" t="str">
        <f t="shared" si="120"/>
        <v>Home Appliances</v>
      </c>
      <c r="Q852" t="str">
        <f t="shared" si="121"/>
        <v>Home Appliances</v>
      </c>
      <c r="R852" t="str">
        <f t="shared" si="122"/>
        <v>West</v>
      </c>
      <c r="S852" t="str">
        <f t="shared" si="123"/>
        <v>Ahmedabad</v>
      </c>
      <c r="T852">
        <f t="shared" si="124"/>
        <v>7236.9</v>
      </c>
      <c r="U852" t="str">
        <f t="shared" si="125"/>
        <v>OK</v>
      </c>
    </row>
    <row r="853" spans="1:21" x14ac:dyDescent="0.3">
      <c r="A853" t="s">
        <v>1089</v>
      </c>
      <c r="B853" s="3">
        <v>45710</v>
      </c>
      <c r="C853" t="s">
        <v>339</v>
      </c>
      <c r="D853" t="s">
        <v>50</v>
      </c>
      <c r="E853" t="s">
        <v>51</v>
      </c>
      <c r="F853" t="s">
        <v>21</v>
      </c>
      <c r="G853" t="s">
        <v>22</v>
      </c>
      <c r="H853">
        <v>1</v>
      </c>
      <c r="I853">
        <v>1266</v>
      </c>
      <c r="J853">
        <v>0.05</v>
      </c>
      <c r="K853">
        <v>1202.7</v>
      </c>
      <c r="L853">
        <v>315.31</v>
      </c>
      <c r="M853" t="str">
        <f t="shared" si="117"/>
        <v>Keyboard</v>
      </c>
      <c r="N853" t="str">
        <f t="shared" si="118"/>
        <v>Ahmedabad</v>
      </c>
      <c r="O853" t="str">
        <f t="shared" si="119"/>
        <v>West</v>
      </c>
      <c r="P853" t="str">
        <f t="shared" si="120"/>
        <v>Electronics</v>
      </c>
      <c r="Q853" t="str">
        <f t="shared" si="121"/>
        <v>Electronics</v>
      </c>
      <c r="R853" t="str">
        <f t="shared" si="122"/>
        <v>West</v>
      </c>
      <c r="S853" t="str">
        <f t="shared" si="123"/>
        <v>Ahmedabad</v>
      </c>
      <c r="T853">
        <f t="shared" si="124"/>
        <v>1202.7</v>
      </c>
      <c r="U853" t="str">
        <f t="shared" si="125"/>
        <v>OK</v>
      </c>
    </row>
    <row r="854" spans="1:21" x14ac:dyDescent="0.3">
      <c r="A854" t="s">
        <v>1090</v>
      </c>
      <c r="B854" s="3">
        <v>45870</v>
      </c>
      <c r="C854" t="s">
        <v>546</v>
      </c>
      <c r="D854" t="s">
        <v>120</v>
      </c>
      <c r="E854" t="s">
        <v>51</v>
      </c>
      <c r="F854" t="s">
        <v>21</v>
      </c>
      <c r="G854" t="s">
        <v>22</v>
      </c>
      <c r="H854">
        <v>3</v>
      </c>
      <c r="I854">
        <v>1980</v>
      </c>
      <c r="J854">
        <v>0.1</v>
      </c>
      <c r="K854">
        <v>5346</v>
      </c>
      <c r="L854">
        <v>1129.27</v>
      </c>
      <c r="M854" t="str">
        <f t="shared" si="117"/>
        <v>Mouse</v>
      </c>
      <c r="N854" t="str">
        <f t="shared" si="118"/>
        <v>Ahmedabad</v>
      </c>
      <c r="O854" t="str">
        <f t="shared" si="119"/>
        <v>West</v>
      </c>
      <c r="P854" t="str">
        <f t="shared" si="120"/>
        <v>Electronics</v>
      </c>
      <c r="Q854" t="str">
        <f t="shared" si="121"/>
        <v>Electronics</v>
      </c>
      <c r="R854" t="str">
        <f t="shared" si="122"/>
        <v>West</v>
      </c>
      <c r="S854" t="str">
        <f t="shared" si="123"/>
        <v>Ahmedabad</v>
      </c>
      <c r="T854">
        <f t="shared" si="124"/>
        <v>5346</v>
      </c>
      <c r="U854" t="str">
        <f t="shared" si="125"/>
        <v>OK</v>
      </c>
    </row>
    <row r="855" spans="1:21" x14ac:dyDescent="0.3">
      <c r="A855" t="s">
        <v>1091</v>
      </c>
      <c r="B855" s="3">
        <v>45759</v>
      </c>
      <c r="C855" t="s">
        <v>77</v>
      </c>
      <c r="D855" t="s">
        <v>47</v>
      </c>
      <c r="E855" t="s">
        <v>26</v>
      </c>
      <c r="F855" t="s">
        <v>21</v>
      </c>
      <c r="G855" t="s">
        <v>55</v>
      </c>
      <c r="H855">
        <v>2</v>
      </c>
      <c r="I855">
        <v>14674</v>
      </c>
      <c r="J855">
        <v>0</v>
      </c>
      <c r="K855">
        <v>29348</v>
      </c>
      <c r="L855">
        <v>2661.62</v>
      </c>
      <c r="M855" t="str">
        <f t="shared" si="117"/>
        <v>Air Purifier</v>
      </c>
      <c r="N855" t="str">
        <f t="shared" si="118"/>
        <v>Pune</v>
      </c>
      <c r="O855" t="str">
        <f t="shared" si="119"/>
        <v>West</v>
      </c>
      <c r="P855" t="str">
        <f t="shared" si="120"/>
        <v>Home Appliances</v>
      </c>
      <c r="Q855" t="str">
        <f t="shared" si="121"/>
        <v>Home Appliances</v>
      </c>
      <c r="R855" t="str">
        <f t="shared" si="122"/>
        <v>West</v>
      </c>
      <c r="S855" t="str">
        <f t="shared" si="123"/>
        <v>Pune</v>
      </c>
      <c r="T855">
        <f t="shared" si="124"/>
        <v>29348</v>
      </c>
      <c r="U855" t="str">
        <f t="shared" si="125"/>
        <v>OK</v>
      </c>
    </row>
    <row r="856" spans="1:21" x14ac:dyDescent="0.3">
      <c r="A856" t="s">
        <v>1092</v>
      </c>
      <c r="B856" s="3">
        <v>45723</v>
      </c>
      <c r="C856" t="s">
        <v>217</v>
      </c>
      <c r="D856" t="s">
        <v>25</v>
      </c>
      <c r="E856" t="s">
        <v>26</v>
      </c>
      <c r="F856" t="s">
        <v>21</v>
      </c>
      <c r="G856" t="s">
        <v>35</v>
      </c>
      <c r="H856">
        <v>2</v>
      </c>
      <c r="I856">
        <v>9720</v>
      </c>
      <c r="J856">
        <v>0.15</v>
      </c>
      <c r="K856">
        <v>16524</v>
      </c>
      <c r="L856">
        <v>4187.68</v>
      </c>
      <c r="M856" t="str">
        <f t="shared" si="117"/>
        <v>Microwave</v>
      </c>
      <c r="N856" t="str">
        <f t="shared" si="118"/>
        <v>Mumbai</v>
      </c>
      <c r="O856" t="str">
        <f t="shared" si="119"/>
        <v>West</v>
      </c>
      <c r="P856" t="str">
        <f t="shared" si="120"/>
        <v>Home Appliances</v>
      </c>
      <c r="Q856" t="str">
        <f t="shared" si="121"/>
        <v>Home Appliances</v>
      </c>
      <c r="R856" t="str">
        <f t="shared" si="122"/>
        <v>West</v>
      </c>
      <c r="S856" t="str">
        <f t="shared" si="123"/>
        <v>Mumbai</v>
      </c>
      <c r="T856">
        <f t="shared" si="124"/>
        <v>16524</v>
      </c>
      <c r="U856" t="str">
        <f t="shared" si="125"/>
        <v>OK</v>
      </c>
    </row>
    <row r="857" spans="1:21" x14ac:dyDescent="0.3">
      <c r="A857" t="s">
        <v>1093</v>
      </c>
      <c r="B857" s="3">
        <v>45798</v>
      </c>
      <c r="C857" t="s">
        <v>111</v>
      </c>
      <c r="D857" t="s">
        <v>80</v>
      </c>
      <c r="E857" t="s">
        <v>51</v>
      </c>
      <c r="F857" t="s">
        <v>58</v>
      </c>
      <c r="G857" t="s">
        <v>69</v>
      </c>
      <c r="H857">
        <v>3</v>
      </c>
      <c r="I857">
        <v>83935</v>
      </c>
      <c r="J857">
        <v>0.15</v>
      </c>
      <c r="K857">
        <v>214034.25</v>
      </c>
      <c r="L857">
        <v>27522.47</v>
      </c>
      <c r="M857" t="str">
        <f t="shared" si="117"/>
        <v>Laptop</v>
      </c>
      <c r="N857" t="str">
        <f t="shared" si="118"/>
        <v>Jaipur</v>
      </c>
      <c r="O857" t="str">
        <f t="shared" si="119"/>
        <v>North</v>
      </c>
      <c r="P857" t="str">
        <f t="shared" si="120"/>
        <v>Electronics</v>
      </c>
      <c r="Q857" t="str">
        <f t="shared" si="121"/>
        <v>Electronics</v>
      </c>
      <c r="R857" t="str">
        <f t="shared" si="122"/>
        <v>North</v>
      </c>
      <c r="S857" t="str">
        <f t="shared" si="123"/>
        <v>Jaipur</v>
      </c>
      <c r="T857">
        <f t="shared" si="124"/>
        <v>214034.25</v>
      </c>
      <c r="U857" t="str">
        <f t="shared" si="125"/>
        <v>OK</v>
      </c>
    </row>
    <row r="858" spans="1:21" x14ac:dyDescent="0.3">
      <c r="A858" t="s">
        <v>1094</v>
      </c>
      <c r="B858" s="3">
        <v>45716</v>
      </c>
      <c r="C858" t="s">
        <v>263</v>
      </c>
      <c r="D858" t="s">
        <v>30</v>
      </c>
      <c r="E858" t="s">
        <v>15</v>
      </c>
      <c r="F858" t="s">
        <v>58</v>
      </c>
      <c r="G858" t="s">
        <v>69</v>
      </c>
      <c r="H858">
        <v>2</v>
      </c>
      <c r="I858">
        <v>11175</v>
      </c>
      <c r="J858">
        <v>0.2</v>
      </c>
      <c r="K858">
        <v>17880</v>
      </c>
      <c r="L858">
        <v>3330.47</v>
      </c>
      <c r="M858" t="str">
        <f t="shared" si="117"/>
        <v>Bookshelf</v>
      </c>
      <c r="N858" t="str">
        <f t="shared" si="118"/>
        <v>Jaipur</v>
      </c>
      <c r="O858" t="str">
        <f t="shared" si="119"/>
        <v>North</v>
      </c>
      <c r="P858" t="str">
        <f t="shared" si="120"/>
        <v>Furniture</v>
      </c>
      <c r="Q858" t="str">
        <f t="shared" si="121"/>
        <v>Furniture</v>
      </c>
      <c r="R858" t="str">
        <f t="shared" si="122"/>
        <v>North</v>
      </c>
      <c r="S858" t="str">
        <f t="shared" si="123"/>
        <v>Jaipur</v>
      </c>
      <c r="T858">
        <f t="shared" si="124"/>
        <v>17880</v>
      </c>
      <c r="U858" t="str">
        <f t="shared" si="125"/>
        <v>OK</v>
      </c>
    </row>
    <row r="859" spans="1:21" x14ac:dyDescent="0.3">
      <c r="A859" t="s">
        <v>1095</v>
      </c>
      <c r="B859" s="3">
        <v>45912</v>
      </c>
      <c r="C859" t="s">
        <v>24</v>
      </c>
      <c r="D859" t="s">
        <v>43</v>
      </c>
      <c r="E859" t="s">
        <v>44</v>
      </c>
      <c r="F859" t="s">
        <v>16</v>
      </c>
      <c r="G859" t="s">
        <v>104</v>
      </c>
      <c r="H859">
        <v>2</v>
      </c>
      <c r="I859">
        <v>1130</v>
      </c>
      <c r="J859">
        <v>0.2</v>
      </c>
      <c r="K859">
        <v>1808</v>
      </c>
      <c r="L859">
        <v>452.16</v>
      </c>
      <c r="M859" t="str">
        <f t="shared" si="117"/>
        <v>Phone Holder</v>
      </c>
      <c r="N859" t="str">
        <f t="shared" si="118"/>
        <v>Bhubaneswar</v>
      </c>
      <c r="O859" t="str">
        <f t="shared" si="119"/>
        <v>East</v>
      </c>
      <c r="P859" t="str">
        <f t="shared" si="120"/>
        <v>Accessories</v>
      </c>
      <c r="Q859" t="str">
        <f t="shared" si="121"/>
        <v>Accessories</v>
      </c>
      <c r="R859" t="str">
        <f t="shared" si="122"/>
        <v>East</v>
      </c>
      <c r="S859" t="str">
        <f t="shared" si="123"/>
        <v>Bhubaneswar</v>
      </c>
      <c r="T859">
        <f t="shared" si="124"/>
        <v>1808</v>
      </c>
      <c r="U859" t="str">
        <f t="shared" si="125"/>
        <v>OK</v>
      </c>
    </row>
    <row r="860" spans="1:21" x14ac:dyDescent="0.3">
      <c r="A860" t="s">
        <v>1096</v>
      </c>
      <c r="B860" s="3">
        <v>45814</v>
      </c>
      <c r="C860" t="s">
        <v>333</v>
      </c>
      <c r="D860" t="s">
        <v>80</v>
      </c>
      <c r="E860" t="s">
        <v>51</v>
      </c>
      <c r="F860" t="s">
        <v>27</v>
      </c>
      <c r="G860" t="s">
        <v>31</v>
      </c>
      <c r="H860">
        <v>3</v>
      </c>
      <c r="I860">
        <v>78117</v>
      </c>
      <c r="J860">
        <v>0.15</v>
      </c>
      <c r="K860">
        <v>199198.35</v>
      </c>
      <c r="L860">
        <v>17482.16</v>
      </c>
      <c r="M860" t="str">
        <f t="shared" si="117"/>
        <v>Laptop</v>
      </c>
      <c r="N860" t="str">
        <f t="shared" si="118"/>
        <v>Hyderabad</v>
      </c>
      <c r="O860" t="str">
        <f t="shared" si="119"/>
        <v>South</v>
      </c>
      <c r="P860" t="str">
        <f t="shared" si="120"/>
        <v>Electronics</v>
      </c>
      <c r="Q860" t="str">
        <f t="shared" si="121"/>
        <v>Electronics</v>
      </c>
      <c r="R860" t="str">
        <f t="shared" si="122"/>
        <v>South</v>
      </c>
      <c r="S860" t="str">
        <f t="shared" si="123"/>
        <v>Hyderabad</v>
      </c>
      <c r="T860">
        <f t="shared" si="124"/>
        <v>199198.35</v>
      </c>
      <c r="U860" t="str">
        <f t="shared" si="125"/>
        <v>OK</v>
      </c>
    </row>
    <row r="861" spans="1:21" x14ac:dyDescent="0.3">
      <c r="A861" t="s">
        <v>1097</v>
      </c>
      <c r="B861" s="3">
        <v>45703</v>
      </c>
      <c r="C861" t="s">
        <v>403</v>
      </c>
      <c r="D861" t="s">
        <v>47</v>
      </c>
      <c r="E861" t="s">
        <v>26</v>
      </c>
      <c r="F861" t="s">
        <v>21</v>
      </c>
      <c r="G861" t="s">
        <v>35</v>
      </c>
      <c r="H861">
        <v>1</v>
      </c>
      <c r="I861">
        <v>14089</v>
      </c>
      <c r="J861">
        <v>0.15</v>
      </c>
      <c r="K861">
        <v>11975.65</v>
      </c>
      <c r="L861">
        <v>1054.53</v>
      </c>
      <c r="M861" t="str">
        <f t="shared" si="117"/>
        <v>Air Purifier</v>
      </c>
      <c r="N861" t="str">
        <f t="shared" si="118"/>
        <v>Mumbai</v>
      </c>
      <c r="O861" t="str">
        <f t="shared" si="119"/>
        <v>West</v>
      </c>
      <c r="P861" t="str">
        <f t="shared" si="120"/>
        <v>Home Appliances</v>
      </c>
      <c r="Q861" t="str">
        <f t="shared" si="121"/>
        <v>Home Appliances</v>
      </c>
      <c r="R861" t="str">
        <f t="shared" si="122"/>
        <v>West</v>
      </c>
      <c r="S861" t="str">
        <f t="shared" si="123"/>
        <v>Mumbai</v>
      </c>
      <c r="T861">
        <f t="shared" si="124"/>
        <v>11975.65</v>
      </c>
      <c r="U861" t="str">
        <f t="shared" si="125"/>
        <v>OK</v>
      </c>
    </row>
    <row r="862" spans="1:21" x14ac:dyDescent="0.3">
      <c r="A862" t="s">
        <v>1098</v>
      </c>
      <c r="B862" s="3">
        <v>45928</v>
      </c>
      <c r="C862" t="s">
        <v>473</v>
      </c>
      <c r="D862" t="s">
        <v>103</v>
      </c>
      <c r="E862" t="s">
        <v>51</v>
      </c>
      <c r="F862" t="s">
        <v>21</v>
      </c>
      <c r="G862" t="s">
        <v>35</v>
      </c>
      <c r="H862">
        <v>1</v>
      </c>
      <c r="I862">
        <v>6612</v>
      </c>
      <c r="J862">
        <v>0</v>
      </c>
      <c r="K862">
        <v>6612</v>
      </c>
      <c r="L862">
        <v>1714.2</v>
      </c>
      <c r="M862" t="str">
        <f t="shared" si="117"/>
        <v>Headphones</v>
      </c>
      <c r="N862" t="str">
        <f t="shared" si="118"/>
        <v>Mumbai</v>
      </c>
      <c r="O862" t="str">
        <f t="shared" si="119"/>
        <v>West</v>
      </c>
      <c r="P862" t="str">
        <f t="shared" si="120"/>
        <v>Electronics</v>
      </c>
      <c r="Q862" t="str">
        <f t="shared" si="121"/>
        <v>Electronics</v>
      </c>
      <c r="R862" t="str">
        <f t="shared" si="122"/>
        <v>West</v>
      </c>
      <c r="S862" t="str">
        <f t="shared" si="123"/>
        <v>Mumbai</v>
      </c>
      <c r="T862">
        <f t="shared" si="124"/>
        <v>6612</v>
      </c>
      <c r="U862" t="str">
        <f t="shared" si="125"/>
        <v>OK</v>
      </c>
    </row>
    <row r="863" spans="1:21" x14ac:dyDescent="0.3">
      <c r="A863" t="s">
        <v>1099</v>
      </c>
      <c r="B863" s="3">
        <v>45768</v>
      </c>
      <c r="C863" t="s">
        <v>391</v>
      </c>
      <c r="D863" t="s">
        <v>34</v>
      </c>
      <c r="E863" t="s">
        <v>15</v>
      </c>
      <c r="F863" t="s">
        <v>58</v>
      </c>
      <c r="G863" t="s">
        <v>59</v>
      </c>
      <c r="H863">
        <v>1</v>
      </c>
      <c r="I863">
        <v>18904</v>
      </c>
      <c r="J863">
        <v>0.05</v>
      </c>
      <c r="K863">
        <v>17958.8</v>
      </c>
      <c r="L863">
        <v>2761</v>
      </c>
      <c r="M863" t="str">
        <f t="shared" si="117"/>
        <v>Desk</v>
      </c>
      <c r="N863" t="str">
        <f t="shared" si="118"/>
        <v>Chandigarh</v>
      </c>
      <c r="O863" t="str">
        <f t="shared" si="119"/>
        <v>North</v>
      </c>
      <c r="P863" t="str">
        <f t="shared" si="120"/>
        <v>Furniture</v>
      </c>
      <c r="Q863" t="str">
        <f t="shared" si="121"/>
        <v>Furniture</v>
      </c>
      <c r="R863" t="str">
        <f t="shared" si="122"/>
        <v>North</v>
      </c>
      <c r="S863" t="str">
        <f t="shared" si="123"/>
        <v>Chandigarh</v>
      </c>
      <c r="T863">
        <f t="shared" si="124"/>
        <v>17958.8</v>
      </c>
      <c r="U863" t="str">
        <f t="shared" si="125"/>
        <v>OK</v>
      </c>
    </row>
    <row r="864" spans="1:21" x14ac:dyDescent="0.3">
      <c r="A864" t="s">
        <v>1100</v>
      </c>
      <c r="B864" s="3">
        <v>45768</v>
      </c>
      <c r="C864" t="s">
        <v>580</v>
      </c>
      <c r="D864" t="s">
        <v>14</v>
      </c>
      <c r="E864" t="s">
        <v>15</v>
      </c>
      <c r="F864" t="s">
        <v>16</v>
      </c>
      <c r="G864" t="s">
        <v>17</v>
      </c>
      <c r="H864">
        <v>1</v>
      </c>
      <c r="I864">
        <v>8895</v>
      </c>
      <c r="J864">
        <v>0</v>
      </c>
      <c r="K864">
        <v>8895</v>
      </c>
      <c r="L864">
        <v>1157.21</v>
      </c>
      <c r="M864" t="str">
        <f t="shared" si="117"/>
        <v>Office Chair</v>
      </c>
      <c r="N864" t="str">
        <f t="shared" si="118"/>
        <v>Guwahati</v>
      </c>
      <c r="O864" t="str">
        <f t="shared" si="119"/>
        <v>East</v>
      </c>
      <c r="P864" t="str">
        <f t="shared" si="120"/>
        <v>Furniture</v>
      </c>
      <c r="Q864" t="str">
        <f t="shared" si="121"/>
        <v>Furniture</v>
      </c>
      <c r="R864" t="str">
        <f t="shared" si="122"/>
        <v>East</v>
      </c>
      <c r="S864" t="str">
        <f t="shared" si="123"/>
        <v>Guwahati</v>
      </c>
      <c r="T864">
        <f t="shared" si="124"/>
        <v>8895</v>
      </c>
      <c r="U864" t="str">
        <f t="shared" si="125"/>
        <v>OK</v>
      </c>
    </row>
    <row r="865" spans="1:21" x14ac:dyDescent="0.3">
      <c r="A865" t="s">
        <v>1101</v>
      </c>
      <c r="B865" s="3">
        <v>45936</v>
      </c>
      <c r="C865" t="s">
        <v>315</v>
      </c>
      <c r="D865" t="s">
        <v>92</v>
      </c>
      <c r="E865" t="s">
        <v>51</v>
      </c>
      <c r="F865" t="s">
        <v>27</v>
      </c>
      <c r="G865" t="s">
        <v>31</v>
      </c>
      <c r="H865">
        <v>1</v>
      </c>
      <c r="I865">
        <v>9583</v>
      </c>
      <c r="J865">
        <v>0.2</v>
      </c>
      <c r="K865">
        <v>7666.4</v>
      </c>
      <c r="L865">
        <v>725.71</v>
      </c>
      <c r="M865" t="str">
        <f t="shared" si="117"/>
        <v>Monitor</v>
      </c>
      <c r="N865" t="str">
        <f t="shared" si="118"/>
        <v>Hyderabad</v>
      </c>
      <c r="O865" t="str">
        <f t="shared" si="119"/>
        <v>South</v>
      </c>
      <c r="P865" t="str">
        <f t="shared" si="120"/>
        <v>Electronics</v>
      </c>
      <c r="Q865" t="str">
        <f t="shared" si="121"/>
        <v>Electronics</v>
      </c>
      <c r="R865" t="str">
        <f t="shared" si="122"/>
        <v>South</v>
      </c>
      <c r="S865" t="str">
        <f t="shared" si="123"/>
        <v>Hyderabad</v>
      </c>
      <c r="T865">
        <f t="shared" si="124"/>
        <v>7666.4000000000005</v>
      </c>
      <c r="U865" t="str">
        <f t="shared" si="125"/>
        <v>OK</v>
      </c>
    </row>
    <row r="866" spans="1:21" x14ac:dyDescent="0.3">
      <c r="A866" t="s">
        <v>1102</v>
      </c>
      <c r="B866" s="3">
        <v>45848</v>
      </c>
      <c r="C866" t="s">
        <v>358</v>
      </c>
      <c r="D866" t="s">
        <v>307</v>
      </c>
      <c r="E866" t="s">
        <v>73</v>
      </c>
      <c r="F866" t="s">
        <v>21</v>
      </c>
      <c r="G866" t="s">
        <v>35</v>
      </c>
      <c r="H866">
        <v>3</v>
      </c>
      <c r="I866">
        <v>339</v>
      </c>
      <c r="J866">
        <v>0.05</v>
      </c>
      <c r="K866">
        <v>966.15</v>
      </c>
      <c r="L866">
        <v>92.04</v>
      </c>
      <c r="M866" t="str">
        <f t="shared" si="117"/>
        <v>Notebook</v>
      </c>
      <c r="N866" t="str">
        <f t="shared" si="118"/>
        <v>Mumbai</v>
      </c>
      <c r="O866" t="str">
        <f t="shared" si="119"/>
        <v>West</v>
      </c>
      <c r="P866" t="str">
        <f t="shared" si="120"/>
        <v>Office Supplies</v>
      </c>
      <c r="Q866" t="str">
        <f t="shared" si="121"/>
        <v>Office Supplies</v>
      </c>
      <c r="R866" t="str">
        <f t="shared" si="122"/>
        <v>West</v>
      </c>
      <c r="S866" t="str">
        <f t="shared" si="123"/>
        <v>Mumbai</v>
      </c>
      <c r="T866">
        <f t="shared" si="124"/>
        <v>966.15</v>
      </c>
      <c r="U866" t="str">
        <f t="shared" si="125"/>
        <v>OK</v>
      </c>
    </row>
    <row r="867" spans="1:21" x14ac:dyDescent="0.3">
      <c r="A867" t="s">
        <v>1103</v>
      </c>
      <c r="B867" s="3">
        <v>45785</v>
      </c>
      <c r="C867" t="s">
        <v>206</v>
      </c>
      <c r="D867" t="s">
        <v>97</v>
      </c>
      <c r="E867" t="s">
        <v>44</v>
      </c>
      <c r="F867" t="s">
        <v>21</v>
      </c>
      <c r="G867" t="s">
        <v>22</v>
      </c>
      <c r="H867">
        <v>3</v>
      </c>
      <c r="I867">
        <v>496</v>
      </c>
      <c r="J867">
        <v>0.1</v>
      </c>
      <c r="K867">
        <v>1339.2</v>
      </c>
      <c r="L867">
        <v>228.79</v>
      </c>
      <c r="M867" t="str">
        <f t="shared" si="117"/>
        <v>USB Cable</v>
      </c>
      <c r="N867" t="str">
        <f t="shared" si="118"/>
        <v>Ahmedabad</v>
      </c>
      <c r="O867" t="str">
        <f t="shared" si="119"/>
        <v>West</v>
      </c>
      <c r="P867" t="str">
        <f t="shared" si="120"/>
        <v>Accessories</v>
      </c>
      <c r="Q867" t="str">
        <f t="shared" si="121"/>
        <v>Accessories</v>
      </c>
      <c r="R867" t="str">
        <f t="shared" si="122"/>
        <v>West</v>
      </c>
      <c r="S867" t="str">
        <f t="shared" si="123"/>
        <v>Ahmedabad</v>
      </c>
      <c r="T867">
        <f t="shared" si="124"/>
        <v>1339.2</v>
      </c>
      <c r="U867" t="str">
        <f t="shared" si="125"/>
        <v>OK</v>
      </c>
    </row>
    <row r="868" spans="1:21" x14ac:dyDescent="0.3">
      <c r="A868" t="s">
        <v>1104</v>
      </c>
      <c r="B868" s="3">
        <v>45720</v>
      </c>
      <c r="C868" t="s">
        <v>542</v>
      </c>
      <c r="D868" t="s">
        <v>68</v>
      </c>
      <c r="E868" t="s">
        <v>44</v>
      </c>
      <c r="F868" t="s">
        <v>21</v>
      </c>
      <c r="G868" t="s">
        <v>35</v>
      </c>
      <c r="H868">
        <v>2</v>
      </c>
      <c r="I868">
        <v>6661</v>
      </c>
      <c r="J868">
        <v>0.05</v>
      </c>
      <c r="K868">
        <v>12655.9</v>
      </c>
      <c r="L868">
        <v>2647.73</v>
      </c>
      <c r="M868" t="str">
        <f t="shared" si="117"/>
        <v>Webcam</v>
      </c>
      <c r="N868" t="str">
        <f t="shared" si="118"/>
        <v>Mumbai</v>
      </c>
      <c r="O868" t="str">
        <f t="shared" si="119"/>
        <v>West</v>
      </c>
      <c r="P868" t="str">
        <f t="shared" si="120"/>
        <v>Accessories</v>
      </c>
      <c r="Q868" t="str">
        <f t="shared" si="121"/>
        <v>Accessories</v>
      </c>
      <c r="R868" t="str">
        <f t="shared" si="122"/>
        <v>West</v>
      </c>
      <c r="S868" t="str">
        <f t="shared" si="123"/>
        <v>Mumbai</v>
      </c>
      <c r="T868">
        <f t="shared" si="124"/>
        <v>12655.9</v>
      </c>
      <c r="U868" t="str">
        <f t="shared" si="125"/>
        <v>OK</v>
      </c>
    </row>
    <row r="869" spans="1:21" x14ac:dyDescent="0.3">
      <c r="A869" t="s">
        <v>1105</v>
      </c>
      <c r="B869" s="3">
        <v>45773</v>
      </c>
      <c r="C869" t="s">
        <v>368</v>
      </c>
      <c r="D869" t="s">
        <v>202</v>
      </c>
      <c r="E869" t="s">
        <v>44</v>
      </c>
      <c r="F869" t="s">
        <v>58</v>
      </c>
      <c r="G869" t="s">
        <v>59</v>
      </c>
      <c r="H869">
        <v>3</v>
      </c>
      <c r="I869">
        <v>2968</v>
      </c>
      <c r="J869">
        <v>0</v>
      </c>
      <c r="K869">
        <v>8904</v>
      </c>
      <c r="L869">
        <v>1509.35</v>
      </c>
      <c r="M869" t="str">
        <f t="shared" si="117"/>
        <v>Laptop Stand</v>
      </c>
      <c r="N869" t="str">
        <f t="shared" si="118"/>
        <v>Chandigarh</v>
      </c>
      <c r="O869" t="str">
        <f t="shared" si="119"/>
        <v>North</v>
      </c>
      <c r="P869" t="str">
        <f t="shared" si="120"/>
        <v>Accessories</v>
      </c>
      <c r="Q869" t="str">
        <f t="shared" si="121"/>
        <v>Accessories</v>
      </c>
      <c r="R869" t="str">
        <f t="shared" si="122"/>
        <v>North</v>
      </c>
      <c r="S869" t="str">
        <f t="shared" si="123"/>
        <v>Chandigarh</v>
      </c>
      <c r="T869">
        <f t="shared" si="124"/>
        <v>8904</v>
      </c>
      <c r="U869" t="str">
        <f t="shared" si="125"/>
        <v>OK</v>
      </c>
    </row>
    <row r="870" spans="1:21" x14ac:dyDescent="0.3">
      <c r="A870" t="s">
        <v>1106</v>
      </c>
      <c r="B870" s="3">
        <v>45666</v>
      </c>
      <c r="C870" t="s">
        <v>240</v>
      </c>
      <c r="D870" t="s">
        <v>153</v>
      </c>
      <c r="E870" t="s">
        <v>26</v>
      </c>
      <c r="F870" t="s">
        <v>16</v>
      </c>
      <c r="G870" t="s">
        <v>17</v>
      </c>
      <c r="H870">
        <v>2</v>
      </c>
      <c r="I870">
        <v>3398</v>
      </c>
      <c r="J870">
        <v>0.15</v>
      </c>
      <c r="K870">
        <v>5776.6</v>
      </c>
      <c r="L870">
        <v>747.45</v>
      </c>
      <c r="M870" t="str">
        <f t="shared" si="117"/>
        <v>Coffee Maker</v>
      </c>
      <c r="N870" t="str">
        <f t="shared" si="118"/>
        <v>Guwahati</v>
      </c>
      <c r="O870" t="str">
        <f t="shared" si="119"/>
        <v>East</v>
      </c>
      <c r="P870" t="str">
        <f t="shared" si="120"/>
        <v>Home Appliances</v>
      </c>
      <c r="Q870" t="str">
        <f t="shared" si="121"/>
        <v>Home Appliances</v>
      </c>
      <c r="R870" t="str">
        <f t="shared" si="122"/>
        <v>East</v>
      </c>
      <c r="S870" t="str">
        <f t="shared" si="123"/>
        <v>Guwahati</v>
      </c>
      <c r="T870">
        <f t="shared" si="124"/>
        <v>5776.5999999999995</v>
      </c>
      <c r="U870" t="str">
        <f t="shared" si="125"/>
        <v>OK</v>
      </c>
    </row>
    <row r="871" spans="1:21" x14ac:dyDescent="0.3">
      <c r="A871" t="s">
        <v>1107</v>
      </c>
      <c r="B871" s="3">
        <v>46003</v>
      </c>
      <c r="C871" t="s">
        <v>440</v>
      </c>
      <c r="D871" t="s">
        <v>14</v>
      </c>
      <c r="E871" t="s">
        <v>15</v>
      </c>
      <c r="F871" t="s">
        <v>21</v>
      </c>
      <c r="G871" t="s">
        <v>22</v>
      </c>
      <c r="H871">
        <v>1</v>
      </c>
      <c r="I871">
        <v>11239</v>
      </c>
      <c r="J871">
        <v>0.1</v>
      </c>
      <c r="K871">
        <v>10115.1</v>
      </c>
      <c r="L871">
        <v>1719.67</v>
      </c>
      <c r="M871" t="str">
        <f t="shared" si="117"/>
        <v>Office Chair</v>
      </c>
      <c r="N871" t="str">
        <f t="shared" si="118"/>
        <v>Ahmedabad</v>
      </c>
      <c r="O871" t="str">
        <f t="shared" si="119"/>
        <v>West</v>
      </c>
      <c r="P871" t="str">
        <f t="shared" si="120"/>
        <v>Furniture</v>
      </c>
      <c r="Q871" t="str">
        <f t="shared" si="121"/>
        <v>Furniture</v>
      </c>
      <c r="R871" t="str">
        <f t="shared" si="122"/>
        <v>West</v>
      </c>
      <c r="S871" t="str">
        <f t="shared" si="123"/>
        <v>Ahmedabad</v>
      </c>
      <c r="T871">
        <f t="shared" si="124"/>
        <v>10115.1</v>
      </c>
      <c r="U871" t="str">
        <f t="shared" si="125"/>
        <v>OK</v>
      </c>
    </row>
    <row r="872" spans="1:21" x14ac:dyDescent="0.3">
      <c r="A872" t="s">
        <v>1108</v>
      </c>
      <c r="B872" s="3">
        <v>45731</v>
      </c>
      <c r="C872" t="s">
        <v>1109</v>
      </c>
      <c r="D872" t="s">
        <v>92</v>
      </c>
      <c r="E872" t="s">
        <v>51</v>
      </c>
      <c r="F872" t="s">
        <v>27</v>
      </c>
      <c r="G872" t="s">
        <v>31</v>
      </c>
      <c r="H872">
        <v>1</v>
      </c>
      <c r="I872">
        <v>14841</v>
      </c>
      <c r="J872">
        <v>0.05</v>
      </c>
      <c r="K872">
        <v>14098.95</v>
      </c>
      <c r="L872">
        <v>2885.13</v>
      </c>
      <c r="M872" t="str">
        <f t="shared" si="117"/>
        <v>Monitor</v>
      </c>
      <c r="N872" t="str">
        <f t="shared" si="118"/>
        <v>Hyderabad</v>
      </c>
      <c r="O872" t="str">
        <f t="shared" si="119"/>
        <v>South</v>
      </c>
      <c r="P872" t="str">
        <f t="shared" si="120"/>
        <v>Electronics</v>
      </c>
      <c r="Q872" t="str">
        <f t="shared" si="121"/>
        <v>Electronics</v>
      </c>
      <c r="R872" t="str">
        <f t="shared" si="122"/>
        <v>South</v>
      </c>
      <c r="S872" t="str">
        <f t="shared" si="123"/>
        <v>Hyderabad</v>
      </c>
      <c r="T872">
        <f t="shared" si="124"/>
        <v>14098.949999999999</v>
      </c>
      <c r="U872" t="str">
        <f t="shared" si="125"/>
        <v>OK</v>
      </c>
    </row>
    <row r="873" spans="1:21" x14ac:dyDescent="0.3">
      <c r="A873" t="s">
        <v>1110</v>
      </c>
      <c r="B873" s="3">
        <v>45881</v>
      </c>
      <c r="C873" t="s">
        <v>321</v>
      </c>
      <c r="D873" t="s">
        <v>47</v>
      </c>
      <c r="E873" t="s">
        <v>26</v>
      </c>
      <c r="F873" t="s">
        <v>21</v>
      </c>
      <c r="G873" t="s">
        <v>22</v>
      </c>
      <c r="H873">
        <v>4</v>
      </c>
      <c r="I873">
        <v>15566</v>
      </c>
      <c r="J873">
        <v>0</v>
      </c>
      <c r="K873">
        <v>62264</v>
      </c>
      <c r="L873">
        <v>8191.59</v>
      </c>
      <c r="M873" t="str">
        <f t="shared" si="117"/>
        <v>Air Purifier</v>
      </c>
      <c r="N873" t="str">
        <f t="shared" si="118"/>
        <v>Ahmedabad</v>
      </c>
      <c r="O873" t="str">
        <f t="shared" si="119"/>
        <v>West</v>
      </c>
      <c r="P873" t="str">
        <f t="shared" si="120"/>
        <v>Home Appliances</v>
      </c>
      <c r="Q873" t="str">
        <f t="shared" si="121"/>
        <v>Home Appliances</v>
      </c>
      <c r="R873" t="str">
        <f t="shared" si="122"/>
        <v>West</v>
      </c>
      <c r="S873" t="str">
        <f t="shared" si="123"/>
        <v>Ahmedabad</v>
      </c>
      <c r="T873">
        <f t="shared" si="124"/>
        <v>62264</v>
      </c>
      <c r="U873" t="str">
        <f t="shared" si="125"/>
        <v>OK</v>
      </c>
    </row>
    <row r="874" spans="1:21" x14ac:dyDescent="0.3">
      <c r="A874" t="s">
        <v>1111</v>
      </c>
      <c r="B874" s="3">
        <v>45809</v>
      </c>
      <c r="C874" t="s">
        <v>421</v>
      </c>
      <c r="D874" t="s">
        <v>20</v>
      </c>
      <c r="E874" t="s">
        <v>15</v>
      </c>
      <c r="F874" t="s">
        <v>27</v>
      </c>
      <c r="G874" t="s">
        <v>31</v>
      </c>
      <c r="H874">
        <v>2</v>
      </c>
      <c r="I874">
        <v>10766</v>
      </c>
      <c r="J874">
        <v>0.05</v>
      </c>
      <c r="K874">
        <v>20455.400000000001</v>
      </c>
      <c r="L874">
        <v>1791.79</v>
      </c>
      <c r="M874" t="str">
        <f t="shared" si="117"/>
        <v>Filing Cabinet</v>
      </c>
      <c r="N874" t="str">
        <f t="shared" si="118"/>
        <v>Hyderabad</v>
      </c>
      <c r="O874" t="str">
        <f t="shared" si="119"/>
        <v>South</v>
      </c>
      <c r="P874" t="str">
        <f t="shared" si="120"/>
        <v>Furniture</v>
      </c>
      <c r="Q874" t="str">
        <f t="shared" si="121"/>
        <v>Furniture</v>
      </c>
      <c r="R874" t="str">
        <f t="shared" si="122"/>
        <v>South</v>
      </c>
      <c r="S874" t="str">
        <f t="shared" si="123"/>
        <v>Hyderabad</v>
      </c>
      <c r="T874">
        <f t="shared" si="124"/>
        <v>20455.399999999998</v>
      </c>
      <c r="U874" t="str">
        <f t="shared" si="125"/>
        <v>OK</v>
      </c>
    </row>
    <row r="875" spans="1:21" x14ac:dyDescent="0.3">
      <c r="A875" t="s">
        <v>1112</v>
      </c>
      <c r="B875" s="3">
        <v>45674</v>
      </c>
      <c r="C875" t="s">
        <v>305</v>
      </c>
      <c r="D875" t="s">
        <v>120</v>
      </c>
      <c r="E875" t="s">
        <v>51</v>
      </c>
      <c r="F875" t="s">
        <v>21</v>
      </c>
      <c r="G875" t="s">
        <v>35</v>
      </c>
      <c r="H875">
        <v>1</v>
      </c>
      <c r="I875">
        <v>957</v>
      </c>
      <c r="J875">
        <v>0.05</v>
      </c>
      <c r="K875">
        <v>909.15</v>
      </c>
      <c r="L875">
        <v>225.17</v>
      </c>
      <c r="M875" t="str">
        <f t="shared" si="117"/>
        <v>Mouse</v>
      </c>
      <c r="N875" t="str">
        <f t="shared" si="118"/>
        <v>Mumbai</v>
      </c>
      <c r="O875" t="str">
        <f t="shared" si="119"/>
        <v>West</v>
      </c>
      <c r="P875" t="str">
        <f t="shared" si="120"/>
        <v>Electronics</v>
      </c>
      <c r="Q875" t="str">
        <f t="shared" si="121"/>
        <v>Electronics</v>
      </c>
      <c r="R875" t="str">
        <f t="shared" si="122"/>
        <v>West</v>
      </c>
      <c r="S875" t="str">
        <f t="shared" si="123"/>
        <v>Mumbai</v>
      </c>
      <c r="T875">
        <f t="shared" si="124"/>
        <v>909.15</v>
      </c>
      <c r="U875" t="str">
        <f t="shared" si="125"/>
        <v>OK</v>
      </c>
    </row>
    <row r="876" spans="1:21" x14ac:dyDescent="0.3">
      <c r="A876" t="s">
        <v>1113</v>
      </c>
      <c r="B876" s="3">
        <v>45987</v>
      </c>
      <c r="C876" t="s">
        <v>731</v>
      </c>
      <c r="D876" t="s">
        <v>80</v>
      </c>
      <c r="E876" t="s">
        <v>51</v>
      </c>
      <c r="F876" t="s">
        <v>27</v>
      </c>
      <c r="G876" t="s">
        <v>28</v>
      </c>
      <c r="H876">
        <v>1</v>
      </c>
      <c r="I876">
        <v>57510</v>
      </c>
      <c r="J876">
        <v>0.1</v>
      </c>
      <c r="K876">
        <v>51759</v>
      </c>
      <c r="L876">
        <v>11015.36</v>
      </c>
      <c r="M876" t="str">
        <f t="shared" si="117"/>
        <v>Laptop</v>
      </c>
      <c r="N876" t="str">
        <f t="shared" si="118"/>
        <v>Bengaluru</v>
      </c>
      <c r="O876" t="str">
        <f t="shared" si="119"/>
        <v>South</v>
      </c>
      <c r="P876" t="str">
        <f t="shared" si="120"/>
        <v>Electronics</v>
      </c>
      <c r="Q876" t="str">
        <f t="shared" si="121"/>
        <v>Electronics</v>
      </c>
      <c r="R876" t="str">
        <f t="shared" si="122"/>
        <v>South</v>
      </c>
      <c r="S876" t="str">
        <f t="shared" si="123"/>
        <v>Bengaluru</v>
      </c>
      <c r="T876">
        <f t="shared" si="124"/>
        <v>51759</v>
      </c>
      <c r="U876" t="str">
        <f t="shared" si="125"/>
        <v>OK</v>
      </c>
    </row>
    <row r="877" spans="1:21" x14ac:dyDescent="0.3">
      <c r="A877" t="s">
        <v>1114</v>
      </c>
      <c r="B877" s="3">
        <v>45694</v>
      </c>
      <c r="C877" t="s">
        <v>640</v>
      </c>
      <c r="D877" t="s">
        <v>202</v>
      </c>
      <c r="E877" t="s">
        <v>44</v>
      </c>
      <c r="F877" t="s">
        <v>21</v>
      </c>
      <c r="G877" t="s">
        <v>55</v>
      </c>
      <c r="H877">
        <v>4</v>
      </c>
      <c r="I877">
        <v>1961</v>
      </c>
      <c r="J877">
        <v>0</v>
      </c>
      <c r="K877">
        <v>7844</v>
      </c>
      <c r="L877">
        <v>1438.77</v>
      </c>
      <c r="M877" t="str">
        <f t="shared" si="117"/>
        <v>Laptop Stand</v>
      </c>
      <c r="N877" t="str">
        <f t="shared" si="118"/>
        <v>Pune</v>
      </c>
      <c r="O877" t="str">
        <f t="shared" si="119"/>
        <v>West</v>
      </c>
      <c r="P877" t="str">
        <f t="shared" si="120"/>
        <v>Accessories</v>
      </c>
      <c r="Q877" t="str">
        <f t="shared" si="121"/>
        <v>Accessories</v>
      </c>
      <c r="R877" t="str">
        <f t="shared" si="122"/>
        <v>West</v>
      </c>
      <c r="S877" t="str">
        <f t="shared" si="123"/>
        <v>Pune</v>
      </c>
      <c r="T877">
        <f t="shared" si="124"/>
        <v>7844</v>
      </c>
      <c r="U877" t="str">
        <f t="shared" si="125"/>
        <v>OK</v>
      </c>
    </row>
    <row r="878" spans="1:21" x14ac:dyDescent="0.3">
      <c r="A878" t="s">
        <v>1115</v>
      </c>
      <c r="B878" s="3">
        <v>46019</v>
      </c>
      <c r="C878" t="s">
        <v>94</v>
      </c>
      <c r="D878" t="s">
        <v>30</v>
      </c>
      <c r="E878" t="s">
        <v>15</v>
      </c>
      <c r="F878" t="s">
        <v>58</v>
      </c>
      <c r="G878" t="s">
        <v>59</v>
      </c>
      <c r="H878">
        <v>3</v>
      </c>
      <c r="I878">
        <v>5576</v>
      </c>
      <c r="J878">
        <v>0.15</v>
      </c>
      <c r="K878">
        <v>14218.8</v>
      </c>
      <c r="L878">
        <v>2536.2600000000002</v>
      </c>
      <c r="M878" t="str">
        <f t="shared" si="117"/>
        <v>Bookshelf</v>
      </c>
      <c r="N878" t="str">
        <f t="shared" si="118"/>
        <v>Chandigarh</v>
      </c>
      <c r="O878" t="str">
        <f t="shared" si="119"/>
        <v>North</v>
      </c>
      <c r="P878" t="str">
        <f t="shared" si="120"/>
        <v>Furniture</v>
      </c>
      <c r="Q878" t="str">
        <f t="shared" si="121"/>
        <v>Furniture</v>
      </c>
      <c r="R878" t="str">
        <f t="shared" si="122"/>
        <v>North</v>
      </c>
      <c r="S878" t="str">
        <f t="shared" si="123"/>
        <v>Chandigarh</v>
      </c>
      <c r="T878">
        <f t="shared" si="124"/>
        <v>14218.8</v>
      </c>
      <c r="U878" t="str">
        <f t="shared" si="125"/>
        <v>OK</v>
      </c>
    </row>
    <row r="879" spans="1:21" x14ac:dyDescent="0.3">
      <c r="A879" t="s">
        <v>1116</v>
      </c>
      <c r="B879" s="3">
        <v>45673</v>
      </c>
      <c r="C879" t="s">
        <v>482</v>
      </c>
      <c r="D879" t="s">
        <v>25</v>
      </c>
      <c r="E879" t="s">
        <v>26</v>
      </c>
      <c r="F879" t="s">
        <v>27</v>
      </c>
      <c r="G879" t="s">
        <v>28</v>
      </c>
      <c r="H879">
        <v>1</v>
      </c>
      <c r="I879">
        <v>11744</v>
      </c>
      <c r="J879">
        <v>0</v>
      </c>
      <c r="K879">
        <v>11744</v>
      </c>
      <c r="L879">
        <v>2706.6</v>
      </c>
      <c r="M879" t="str">
        <f t="shared" si="117"/>
        <v>Microwave</v>
      </c>
      <c r="N879" t="str">
        <f t="shared" si="118"/>
        <v>Bengaluru</v>
      </c>
      <c r="O879" t="str">
        <f t="shared" si="119"/>
        <v>South</v>
      </c>
      <c r="P879" t="str">
        <f t="shared" si="120"/>
        <v>Home Appliances</v>
      </c>
      <c r="Q879" t="str">
        <f t="shared" si="121"/>
        <v>Home Appliances</v>
      </c>
      <c r="R879" t="str">
        <f t="shared" si="122"/>
        <v>South</v>
      </c>
      <c r="S879" t="str">
        <f t="shared" si="123"/>
        <v>Bengaluru</v>
      </c>
      <c r="T879">
        <f t="shared" si="124"/>
        <v>11744</v>
      </c>
      <c r="U879" t="str">
        <f t="shared" si="125"/>
        <v>OK</v>
      </c>
    </row>
    <row r="880" spans="1:21" x14ac:dyDescent="0.3">
      <c r="A880" t="s">
        <v>1117</v>
      </c>
      <c r="B880" s="3">
        <v>45945</v>
      </c>
      <c r="C880" t="s">
        <v>272</v>
      </c>
      <c r="D880" t="s">
        <v>25</v>
      </c>
      <c r="E880" t="s">
        <v>26</v>
      </c>
      <c r="F880" t="s">
        <v>16</v>
      </c>
      <c r="G880" t="s">
        <v>17</v>
      </c>
      <c r="H880">
        <v>1</v>
      </c>
      <c r="I880">
        <v>17013</v>
      </c>
      <c r="J880">
        <v>0</v>
      </c>
      <c r="K880">
        <v>17013</v>
      </c>
      <c r="L880">
        <v>4709.6000000000004</v>
      </c>
      <c r="M880" t="str">
        <f t="shared" si="117"/>
        <v>Microwave</v>
      </c>
      <c r="N880" t="str">
        <f t="shared" si="118"/>
        <v>Guwahati</v>
      </c>
      <c r="O880" t="str">
        <f t="shared" si="119"/>
        <v>East</v>
      </c>
      <c r="P880" t="str">
        <f t="shared" si="120"/>
        <v>Home Appliances</v>
      </c>
      <c r="Q880" t="str">
        <f t="shared" si="121"/>
        <v>Home Appliances</v>
      </c>
      <c r="R880" t="str">
        <f t="shared" si="122"/>
        <v>East</v>
      </c>
      <c r="S880" t="str">
        <f t="shared" si="123"/>
        <v>Guwahati</v>
      </c>
      <c r="T880">
        <f t="shared" si="124"/>
        <v>17013</v>
      </c>
      <c r="U880" t="str">
        <f t="shared" si="125"/>
        <v>OK</v>
      </c>
    </row>
    <row r="881" spans="1:21" x14ac:dyDescent="0.3">
      <c r="A881" t="s">
        <v>1118</v>
      </c>
      <c r="B881" s="3">
        <v>45934</v>
      </c>
      <c r="C881" t="s">
        <v>965</v>
      </c>
      <c r="D881" t="s">
        <v>50</v>
      </c>
      <c r="E881" t="s">
        <v>51</v>
      </c>
      <c r="F881" t="s">
        <v>16</v>
      </c>
      <c r="G881" t="s">
        <v>52</v>
      </c>
      <c r="H881">
        <v>3</v>
      </c>
      <c r="I881">
        <v>1515</v>
      </c>
      <c r="J881">
        <v>0.2</v>
      </c>
      <c r="K881">
        <v>3636</v>
      </c>
      <c r="L881">
        <v>814.43</v>
      </c>
      <c r="M881" t="str">
        <f t="shared" si="117"/>
        <v>Keyboard</v>
      </c>
      <c r="N881" t="str">
        <f t="shared" si="118"/>
        <v>Kolkata</v>
      </c>
      <c r="O881" t="str">
        <f t="shared" si="119"/>
        <v>East</v>
      </c>
      <c r="P881" t="str">
        <f t="shared" si="120"/>
        <v>Electronics</v>
      </c>
      <c r="Q881" t="str">
        <f t="shared" si="121"/>
        <v>Electronics</v>
      </c>
      <c r="R881" t="str">
        <f t="shared" si="122"/>
        <v>East</v>
      </c>
      <c r="S881" t="str">
        <f t="shared" si="123"/>
        <v>Kolkata</v>
      </c>
      <c r="T881">
        <f t="shared" si="124"/>
        <v>3636</v>
      </c>
      <c r="U881" t="str">
        <f t="shared" si="125"/>
        <v>OK</v>
      </c>
    </row>
    <row r="882" spans="1:21" x14ac:dyDescent="0.3">
      <c r="A882" t="s">
        <v>1119</v>
      </c>
      <c r="B882" s="3">
        <v>46010</v>
      </c>
      <c r="C882" t="s">
        <v>597</v>
      </c>
      <c r="D882" t="s">
        <v>68</v>
      </c>
      <c r="E882" t="s">
        <v>44</v>
      </c>
      <c r="F882" t="s">
        <v>58</v>
      </c>
      <c r="G882" t="s">
        <v>126</v>
      </c>
      <c r="H882">
        <v>1</v>
      </c>
      <c r="I882">
        <v>5865</v>
      </c>
      <c r="J882">
        <v>0.05</v>
      </c>
      <c r="K882">
        <v>5571.75</v>
      </c>
      <c r="L882">
        <v>758.35</v>
      </c>
      <c r="M882" t="str">
        <f t="shared" si="117"/>
        <v>Webcam</v>
      </c>
      <c r="N882" t="str">
        <f t="shared" si="118"/>
        <v>Delhi</v>
      </c>
      <c r="O882" t="str">
        <f t="shared" si="119"/>
        <v>North</v>
      </c>
      <c r="P882" t="str">
        <f t="shared" si="120"/>
        <v>Accessories</v>
      </c>
      <c r="Q882" t="str">
        <f t="shared" si="121"/>
        <v>Accessories</v>
      </c>
      <c r="R882" t="str">
        <f t="shared" si="122"/>
        <v>North</v>
      </c>
      <c r="S882" t="str">
        <f t="shared" si="123"/>
        <v>Delhi</v>
      </c>
      <c r="T882">
        <f t="shared" si="124"/>
        <v>5571.75</v>
      </c>
      <c r="U882" t="str">
        <f t="shared" si="125"/>
        <v>OK</v>
      </c>
    </row>
    <row r="883" spans="1:21" x14ac:dyDescent="0.3">
      <c r="A883" t="s">
        <v>1120</v>
      </c>
      <c r="B883" s="3">
        <v>45901</v>
      </c>
      <c r="C883" t="s">
        <v>217</v>
      </c>
      <c r="D883" t="s">
        <v>202</v>
      </c>
      <c r="E883" t="s">
        <v>44</v>
      </c>
      <c r="F883" t="s">
        <v>27</v>
      </c>
      <c r="G883" t="s">
        <v>31</v>
      </c>
      <c r="H883">
        <v>1</v>
      </c>
      <c r="I883">
        <v>2816</v>
      </c>
      <c r="J883">
        <v>0</v>
      </c>
      <c r="K883">
        <v>2816</v>
      </c>
      <c r="L883">
        <v>712.19</v>
      </c>
      <c r="M883" t="str">
        <f t="shared" si="117"/>
        <v>Laptop Stand</v>
      </c>
      <c r="N883" t="str">
        <f t="shared" si="118"/>
        <v>Hyderabad</v>
      </c>
      <c r="O883" t="str">
        <f t="shared" si="119"/>
        <v>South</v>
      </c>
      <c r="P883" t="str">
        <f t="shared" si="120"/>
        <v>Accessories</v>
      </c>
      <c r="Q883" t="str">
        <f t="shared" si="121"/>
        <v>Accessories</v>
      </c>
      <c r="R883" t="str">
        <f t="shared" si="122"/>
        <v>South</v>
      </c>
      <c r="S883" t="str">
        <f t="shared" si="123"/>
        <v>Hyderabad</v>
      </c>
      <c r="T883">
        <f t="shared" si="124"/>
        <v>2816</v>
      </c>
      <c r="U883" t="str">
        <f t="shared" si="125"/>
        <v>OK</v>
      </c>
    </row>
    <row r="884" spans="1:21" x14ac:dyDescent="0.3">
      <c r="A884" t="s">
        <v>1121</v>
      </c>
      <c r="B884" s="3">
        <v>45966</v>
      </c>
      <c r="C884" t="s">
        <v>141</v>
      </c>
      <c r="D884" t="s">
        <v>83</v>
      </c>
      <c r="E884" t="s">
        <v>73</v>
      </c>
      <c r="F884" t="s">
        <v>21</v>
      </c>
      <c r="G884" t="s">
        <v>22</v>
      </c>
      <c r="H884">
        <v>3</v>
      </c>
      <c r="I884">
        <v>548</v>
      </c>
      <c r="J884">
        <v>0.05</v>
      </c>
      <c r="K884">
        <v>1561.8</v>
      </c>
      <c r="L884">
        <v>200.46</v>
      </c>
      <c r="M884" t="str">
        <f t="shared" si="117"/>
        <v>Printer Paper</v>
      </c>
      <c r="N884" t="str">
        <f t="shared" si="118"/>
        <v>Ahmedabad</v>
      </c>
      <c r="O884" t="str">
        <f t="shared" si="119"/>
        <v>West</v>
      </c>
      <c r="P884" t="str">
        <f t="shared" si="120"/>
        <v>Office Supplies</v>
      </c>
      <c r="Q884" t="str">
        <f t="shared" si="121"/>
        <v>Office Supplies</v>
      </c>
      <c r="R884" t="str">
        <f t="shared" si="122"/>
        <v>West</v>
      </c>
      <c r="S884" t="str">
        <f t="shared" si="123"/>
        <v>Ahmedabad</v>
      </c>
      <c r="T884">
        <f t="shared" si="124"/>
        <v>1561.8</v>
      </c>
      <c r="U884" t="str">
        <f t="shared" si="125"/>
        <v>OK</v>
      </c>
    </row>
    <row r="885" spans="1:21" x14ac:dyDescent="0.3">
      <c r="A885" t="s">
        <v>1122</v>
      </c>
      <c r="B885" s="3">
        <v>45876</v>
      </c>
      <c r="C885" t="s">
        <v>507</v>
      </c>
      <c r="D885" t="s">
        <v>88</v>
      </c>
      <c r="E885" t="s">
        <v>73</v>
      </c>
      <c r="F885" t="s">
        <v>16</v>
      </c>
      <c r="G885" t="s">
        <v>52</v>
      </c>
      <c r="H885">
        <v>1</v>
      </c>
      <c r="I885">
        <v>150</v>
      </c>
      <c r="J885">
        <v>0.2</v>
      </c>
      <c r="K885">
        <v>120</v>
      </c>
      <c r="L885">
        <v>25.26</v>
      </c>
      <c r="M885" t="str">
        <f t="shared" si="117"/>
        <v>Stapler</v>
      </c>
      <c r="N885" t="str">
        <f t="shared" si="118"/>
        <v>Kolkata</v>
      </c>
      <c r="O885" t="str">
        <f t="shared" si="119"/>
        <v>East</v>
      </c>
      <c r="P885" t="str">
        <f t="shared" si="120"/>
        <v>Office Supplies</v>
      </c>
      <c r="Q885" t="str">
        <f t="shared" si="121"/>
        <v>Office Supplies</v>
      </c>
      <c r="R885" t="str">
        <f t="shared" si="122"/>
        <v>East</v>
      </c>
      <c r="S885" t="str">
        <f t="shared" si="123"/>
        <v>Kolkata</v>
      </c>
      <c r="T885">
        <f t="shared" si="124"/>
        <v>120</v>
      </c>
      <c r="U885" t="str">
        <f t="shared" si="125"/>
        <v>OK</v>
      </c>
    </row>
    <row r="886" spans="1:21" x14ac:dyDescent="0.3">
      <c r="A886" t="s">
        <v>1123</v>
      </c>
      <c r="B886" s="3">
        <v>45725</v>
      </c>
      <c r="C886" t="s">
        <v>134</v>
      </c>
      <c r="D886" t="s">
        <v>92</v>
      </c>
      <c r="E886" t="s">
        <v>51</v>
      </c>
      <c r="F886" t="s">
        <v>58</v>
      </c>
      <c r="G886" t="s">
        <v>126</v>
      </c>
      <c r="H886">
        <v>1</v>
      </c>
      <c r="I886">
        <v>21481</v>
      </c>
      <c r="J886">
        <v>0.15</v>
      </c>
      <c r="K886">
        <v>18258.849999999999</v>
      </c>
      <c r="L886">
        <v>2293.6799999999998</v>
      </c>
      <c r="M886" t="str">
        <f t="shared" si="117"/>
        <v>Monitor</v>
      </c>
      <c r="N886" t="str">
        <f t="shared" si="118"/>
        <v>Delhi</v>
      </c>
      <c r="O886" t="str">
        <f t="shared" si="119"/>
        <v>North</v>
      </c>
      <c r="P886" t="str">
        <f t="shared" si="120"/>
        <v>Electronics</v>
      </c>
      <c r="Q886" t="str">
        <f t="shared" si="121"/>
        <v>Electronics</v>
      </c>
      <c r="R886" t="str">
        <f t="shared" si="122"/>
        <v>North</v>
      </c>
      <c r="S886" t="str">
        <f t="shared" si="123"/>
        <v>Delhi</v>
      </c>
      <c r="T886">
        <f t="shared" si="124"/>
        <v>18258.849999999999</v>
      </c>
      <c r="U886" t="str">
        <f t="shared" si="125"/>
        <v>OK</v>
      </c>
    </row>
    <row r="887" spans="1:21" x14ac:dyDescent="0.3">
      <c r="A887" t="s">
        <v>1124</v>
      </c>
      <c r="B887" s="3">
        <v>45855</v>
      </c>
      <c r="C887" t="s">
        <v>274</v>
      </c>
      <c r="D887" t="s">
        <v>47</v>
      </c>
      <c r="E887" t="s">
        <v>26</v>
      </c>
      <c r="F887" t="s">
        <v>58</v>
      </c>
      <c r="G887" t="s">
        <v>126</v>
      </c>
      <c r="H887">
        <v>2</v>
      </c>
      <c r="I887">
        <v>15398</v>
      </c>
      <c r="J887">
        <v>0.1</v>
      </c>
      <c r="K887">
        <v>27716.400000000001</v>
      </c>
      <c r="L887">
        <v>5016.3</v>
      </c>
      <c r="M887" t="str">
        <f t="shared" si="117"/>
        <v>Air Purifier</v>
      </c>
      <c r="N887" t="str">
        <f t="shared" si="118"/>
        <v>Delhi</v>
      </c>
      <c r="O887" t="str">
        <f t="shared" si="119"/>
        <v>North</v>
      </c>
      <c r="P887" t="str">
        <f t="shared" si="120"/>
        <v>Home Appliances</v>
      </c>
      <c r="Q887" t="str">
        <f t="shared" si="121"/>
        <v>Home Appliances</v>
      </c>
      <c r="R887" t="str">
        <f t="shared" si="122"/>
        <v>North</v>
      </c>
      <c r="S887" t="str">
        <f t="shared" si="123"/>
        <v>Delhi</v>
      </c>
      <c r="T887">
        <f t="shared" si="124"/>
        <v>27716.400000000001</v>
      </c>
      <c r="U887" t="str">
        <f t="shared" si="125"/>
        <v>OK</v>
      </c>
    </row>
    <row r="888" spans="1:21" x14ac:dyDescent="0.3">
      <c r="A888" t="s">
        <v>1125</v>
      </c>
      <c r="B888" s="3">
        <v>45964</v>
      </c>
      <c r="C888" t="s">
        <v>274</v>
      </c>
      <c r="D888" t="s">
        <v>43</v>
      </c>
      <c r="E888" t="s">
        <v>44</v>
      </c>
      <c r="F888" t="s">
        <v>58</v>
      </c>
      <c r="G888" t="s">
        <v>126</v>
      </c>
      <c r="H888">
        <v>2</v>
      </c>
      <c r="I888">
        <v>618</v>
      </c>
      <c r="J888">
        <v>0.15</v>
      </c>
      <c r="K888">
        <v>1050.5999999999999</v>
      </c>
      <c r="L888">
        <v>217.67</v>
      </c>
      <c r="M888" t="str">
        <f t="shared" si="117"/>
        <v>Phone Holder</v>
      </c>
      <c r="N888" t="str">
        <f t="shared" si="118"/>
        <v>Delhi</v>
      </c>
      <c r="O888" t="str">
        <f t="shared" si="119"/>
        <v>North</v>
      </c>
      <c r="P888" t="str">
        <f t="shared" si="120"/>
        <v>Accessories</v>
      </c>
      <c r="Q888" t="str">
        <f t="shared" si="121"/>
        <v>Accessories</v>
      </c>
      <c r="R888" t="str">
        <f t="shared" si="122"/>
        <v>North</v>
      </c>
      <c r="S888" t="str">
        <f t="shared" si="123"/>
        <v>Delhi</v>
      </c>
      <c r="T888">
        <f t="shared" si="124"/>
        <v>1050.5999999999999</v>
      </c>
      <c r="U888" t="str">
        <f t="shared" si="125"/>
        <v>OK</v>
      </c>
    </row>
    <row r="889" spans="1:21" x14ac:dyDescent="0.3">
      <c r="A889" t="s">
        <v>1126</v>
      </c>
      <c r="B889" s="3">
        <v>45996</v>
      </c>
      <c r="C889" t="s">
        <v>123</v>
      </c>
      <c r="D889" t="s">
        <v>25</v>
      </c>
      <c r="E889" t="s">
        <v>26</v>
      </c>
      <c r="F889" t="s">
        <v>58</v>
      </c>
      <c r="G889" t="s">
        <v>126</v>
      </c>
      <c r="H889">
        <v>1</v>
      </c>
      <c r="I889">
        <v>9033</v>
      </c>
      <c r="J889">
        <v>0.05</v>
      </c>
      <c r="K889">
        <v>8581.35</v>
      </c>
      <c r="L889">
        <v>1344.12</v>
      </c>
      <c r="M889" t="str">
        <f t="shared" si="117"/>
        <v>Microwave</v>
      </c>
      <c r="N889" t="str">
        <f t="shared" si="118"/>
        <v>Delhi</v>
      </c>
      <c r="O889" t="str">
        <f t="shared" si="119"/>
        <v>North</v>
      </c>
      <c r="P889" t="str">
        <f t="shared" si="120"/>
        <v>Home Appliances</v>
      </c>
      <c r="Q889" t="str">
        <f t="shared" si="121"/>
        <v>Home Appliances</v>
      </c>
      <c r="R889" t="str">
        <f t="shared" si="122"/>
        <v>North</v>
      </c>
      <c r="S889" t="str">
        <f t="shared" si="123"/>
        <v>Delhi</v>
      </c>
      <c r="T889">
        <f t="shared" si="124"/>
        <v>8581.35</v>
      </c>
      <c r="U889" t="str">
        <f t="shared" si="125"/>
        <v>OK</v>
      </c>
    </row>
    <row r="890" spans="1:21" x14ac:dyDescent="0.3">
      <c r="A890" t="s">
        <v>1127</v>
      </c>
      <c r="B890" s="3">
        <v>45860</v>
      </c>
      <c r="C890" t="s">
        <v>597</v>
      </c>
      <c r="D890" t="s">
        <v>80</v>
      </c>
      <c r="E890" t="s">
        <v>51</v>
      </c>
      <c r="F890" t="s">
        <v>21</v>
      </c>
      <c r="G890" t="s">
        <v>22</v>
      </c>
      <c r="H890">
        <v>1</v>
      </c>
      <c r="I890">
        <v>49047</v>
      </c>
      <c r="J890">
        <v>0</v>
      </c>
      <c r="K890">
        <v>49047</v>
      </c>
      <c r="L890">
        <v>9305.5300000000007</v>
      </c>
      <c r="M890" t="str">
        <f t="shared" si="117"/>
        <v>Laptop</v>
      </c>
      <c r="N890" t="str">
        <f t="shared" si="118"/>
        <v>Ahmedabad</v>
      </c>
      <c r="O890" t="str">
        <f t="shared" si="119"/>
        <v>West</v>
      </c>
      <c r="P890" t="str">
        <f t="shared" si="120"/>
        <v>Electronics</v>
      </c>
      <c r="Q890" t="str">
        <f t="shared" si="121"/>
        <v>Electronics</v>
      </c>
      <c r="R890" t="str">
        <f t="shared" si="122"/>
        <v>West</v>
      </c>
      <c r="S890" t="str">
        <f t="shared" si="123"/>
        <v>Ahmedabad</v>
      </c>
      <c r="T890">
        <f t="shared" si="124"/>
        <v>49047</v>
      </c>
      <c r="U890" t="str">
        <f t="shared" si="125"/>
        <v>OK</v>
      </c>
    </row>
    <row r="891" spans="1:21" x14ac:dyDescent="0.3">
      <c r="A891" t="s">
        <v>1128</v>
      </c>
      <c r="B891" s="3">
        <v>45747</v>
      </c>
      <c r="C891" t="s">
        <v>185</v>
      </c>
      <c r="D891" t="s">
        <v>50</v>
      </c>
      <c r="E891" t="s">
        <v>51</v>
      </c>
      <c r="F891" t="s">
        <v>21</v>
      </c>
      <c r="G891" t="s">
        <v>35</v>
      </c>
      <c r="H891">
        <v>4</v>
      </c>
      <c r="I891">
        <v>3425</v>
      </c>
      <c r="J891">
        <v>0.15</v>
      </c>
      <c r="K891">
        <v>11645</v>
      </c>
      <c r="L891">
        <v>1187.83</v>
      </c>
      <c r="M891" t="str">
        <f t="shared" si="117"/>
        <v>Keyboard</v>
      </c>
      <c r="N891" t="str">
        <f t="shared" si="118"/>
        <v>Mumbai</v>
      </c>
      <c r="O891" t="str">
        <f t="shared" si="119"/>
        <v>West</v>
      </c>
      <c r="P891" t="str">
        <f t="shared" si="120"/>
        <v>Electronics</v>
      </c>
      <c r="Q891" t="str">
        <f t="shared" si="121"/>
        <v>Electronics</v>
      </c>
      <c r="R891" t="str">
        <f t="shared" si="122"/>
        <v>West</v>
      </c>
      <c r="S891" t="str">
        <f t="shared" si="123"/>
        <v>Mumbai</v>
      </c>
      <c r="T891">
        <f t="shared" si="124"/>
        <v>11645</v>
      </c>
      <c r="U891" t="str">
        <f t="shared" si="125"/>
        <v>OK</v>
      </c>
    </row>
    <row r="892" spans="1:21" x14ac:dyDescent="0.3">
      <c r="A892" t="s">
        <v>1129</v>
      </c>
      <c r="B892" s="3">
        <v>46006</v>
      </c>
      <c r="C892" t="s">
        <v>266</v>
      </c>
      <c r="D892" t="s">
        <v>30</v>
      </c>
      <c r="E892" t="s">
        <v>15</v>
      </c>
      <c r="F892" t="s">
        <v>21</v>
      </c>
      <c r="G892" t="s">
        <v>35</v>
      </c>
      <c r="H892">
        <v>3</v>
      </c>
      <c r="I892">
        <v>7205</v>
      </c>
      <c r="J892">
        <v>0.2</v>
      </c>
      <c r="K892">
        <v>17292</v>
      </c>
      <c r="L892">
        <v>2655.53</v>
      </c>
      <c r="M892" t="str">
        <f t="shared" si="117"/>
        <v>Bookshelf</v>
      </c>
      <c r="N892" t="str">
        <f t="shared" si="118"/>
        <v>Mumbai</v>
      </c>
      <c r="O892" t="str">
        <f t="shared" si="119"/>
        <v>West</v>
      </c>
      <c r="P892" t="str">
        <f t="shared" si="120"/>
        <v>Furniture</v>
      </c>
      <c r="Q892" t="str">
        <f t="shared" si="121"/>
        <v>Furniture</v>
      </c>
      <c r="R892" t="str">
        <f t="shared" si="122"/>
        <v>West</v>
      </c>
      <c r="S892" t="str">
        <f t="shared" si="123"/>
        <v>Mumbai</v>
      </c>
      <c r="T892">
        <f t="shared" si="124"/>
        <v>17292</v>
      </c>
      <c r="U892" t="str">
        <f t="shared" si="125"/>
        <v>OK</v>
      </c>
    </row>
    <row r="893" spans="1:21" x14ac:dyDescent="0.3">
      <c r="A893" t="s">
        <v>1130</v>
      </c>
      <c r="B893" s="3">
        <v>45659</v>
      </c>
      <c r="C893" t="s">
        <v>421</v>
      </c>
      <c r="D893" t="s">
        <v>307</v>
      </c>
      <c r="E893" t="s">
        <v>73</v>
      </c>
      <c r="F893" t="s">
        <v>27</v>
      </c>
      <c r="G893" t="s">
        <v>28</v>
      </c>
      <c r="H893">
        <v>3</v>
      </c>
      <c r="I893">
        <v>415</v>
      </c>
      <c r="J893">
        <v>0</v>
      </c>
      <c r="K893">
        <v>1245</v>
      </c>
      <c r="L893">
        <v>232.05</v>
      </c>
      <c r="M893" t="str">
        <f t="shared" si="117"/>
        <v>Notebook</v>
      </c>
      <c r="N893" t="str">
        <f t="shared" si="118"/>
        <v>Bengaluru</v>
      </c>
      <c r="O893" t="str">
        <f t="shared" si="119"/>
        <v>South</v>
      </c>
      <c r="P893" t="str">
        <f t="shared" si="120"/>
        <v>Office Supplies</v>
      </c>
      <c r="Q893" t="str">
        <f t="shared" si="121"/>
        <v>Office Supplies</v>
      </c>
      <c r="R893" t="str">
        <f t="shared" si="122"/>
        <v>South</v>
      </c>
      <c r="S893" t="str">
        <f t="shared" si="123"/>
        <v>Bengaluru</v>
      </c>
      <c r="T893">
        <f t="shared" si="124"/>
        <v>1245</v>
      </c>
      <c r="U893" t="str">
        <f t="shared" si="125"/>
        <v>OK</v>
      </c>
    </row>
    <row r="894" spans="1:21" x14ac:dyDescent="0.3">
      <c r="A894" t="s">
        <v>1131</v>
      </c>
      <c r="B894" s="3">
        <v>45864</v>
      </c>
      <c r="C894" t="s">
        <v>176</v>
      </c>
      <c r="D894" t="s">
        <v>68</v>
      </c>
      <c r="E894" t="s">
        <v>44</v>
      </c>
      <c r="F894" t="s">
        <v>16</v>
      </c>
      <c r="G894" t="s">
        <v>17</v>
      </c>
      <c r="H894">
        <v>1</v>
      </c>
      <c r="I894">
        <v>6837</v>
      </c>
      <c r="J894">
        <v>0.15</v>
      </c>
      <c r="K894">
        <v>5811.45</v>
      </c>
      <c r="L894">
        <v>1527.64</v>
      </c>
      <c r="M894" t="str">
        <f t="shared" si="117"/>
        <v>Webcam</v>
      </c>
      <c r="N894" t="str">
        <f t="shared" si="118"/>
        <v>Guwahati</v>
      </c>
      <c r="O894" t="str">
        <f t="shared" si="119"/>
        <v>East</v>
      </c>
      <c r="P894" t="str">
        <f t="shared" si="120"/>
        <v>Accessories</v>
      </c>
      <c r="Q894" t="str">
        <f t="shared" si="121"/>
        <v>Accessories</v>
      </c>
      <c r="R894" t="str">
        <f t="shared" si="122"/>
        <v>East</v>
      </c>
      <c r="S894" t="str">
        <f t="shared" si="123"/>
        <v>Guwahati</v>
      </c>
      <c r="T894">
        <f t="shared" si="124"/>
        <v>5811.45</v>
      </c>
      <c r="U894" t="str">
        <f t="shared" si="125"/>
        <v>OK</v>
      </c>
    </row>
    <row r="895" spans="1:21" x14ac:dyDescent="0.3">
      <c r="A895" t="s">
        <v>1132</v>
      </c>
      <c r="B895" s="3">
        <v>45719</v>
      </c>
      <c r="C895" t="s">
        <v>792</v>
      </c>
      <c r="D895" t="s">
        <v>202</v>
      </c>
      <c r="E895" t="s">
        <v>44</v>
      </c>
      <c r="F895" t="s">
        <v>27</v>
      </c>
      <c r="G895" t="s">
        <v>31</v>
      </c>
      <c r="H895">
        <v>1</v>
      </c>
      <c r="I895">
        <v>3454</v>
      </c>
      <c r="J895">
        <v>0.25</v>
      </c>
      <c r="K895">
        <v>2590.5</v>
      </c>
      <c r="L895">
        <v>686.47</v>
      </c>
      <c r="M895" t="str">
        <f t="shared" si="117"/>
        <v>Laptop Stand</v>
      </c>
      <c r="N895" t="str">
        <f t="shared" si="118"/>
        <v>Hyderabad</v>
      </c>
      <c r="O895" t="str">
        <f t="shared" si="119"/>
        <v>South</v>
      </c>
      <c r="P895" t="str">
        <f t="shared" si="120"/>
        <v>Accessories</v>
      </c>
      <c r="Q895" t="str">
        <f t="shared" si="121"/>
        <v>Accessories</v>
      </c>
      <c r="R895" t="str">
        <f t="shared" si="122"/>
        <v>South</v>
      </c>
      <c r="S895" t="str">
        <f t="shared" si="123"/>
        <v>Hyderabad</v>
      </c>
      <c r="T895">
        <f t="shared" si="124"/>
        <v>2590.5</v>
      </c>
      <c r="U895" t="str">
        <f t="shared" si="125"/>
        <v>OK</v>
      </c>
    </row>
    <row r="896" spans="1:21" x14ac:dyDescent="0.3">
      <c r="A896" t="s">
        <v>1133</v>
      </c>
      <c r="B896" s="3">
        <v>45862</v>
      </c>
      <c r="C896" t="s">
        <v>67</v>
      </c>
      <c r="D896" t="s">
        <v>80</v>
      </c>
      <c r="E896" t="s">
        <v>51</v>
      </c>
      <c r="F896" t="s">
        <v>27</v>
      </c>
      <c r="G896" t="s">
        <v>40</v>
      </c>
      <c r="H896">
        <v>1</v>
      </c>
      <c r="I896">
        <v>74795</v>
      </c>
      <c r="J896">
        <v>0</v>
      </c>
      <c r="K896">
        <v>74795</v>
      </c>
      <c r="L896">
        <v>6710.05</v>
      </c>
      <c r="M896" t="str">
        <f t="shared" si="117"/>
        <v>Laptop</v>
      </c>
      <c r="N896" t="str">
        <f t="shared" si="118"/>
        <v>Chennai</v>
      </c>
      <c r="O896" t="str">
        <f t="shared" si="119"/>
        <v>South</v>
      </c>
      <c r="P896" t="str">
        <f t="shared" si="120"/>
        <v>Electronics</v>
      </c>
      <c r="Q896" t="str">
        <f t="shared" si="121"/>
        <v>Electronics</v>
      </c>
      <c r="R896" t="str">
        <f t="shared" si="122"/>
        <v>South</v>
      </c>
      <c r="S896" t="str">
        <f t="shared" si="123"/>
        <v>Chennai</v>
      </c>
      <c r="T896">
        <f t="shared" si="124"/>
        <v>74795</v>
      </c>
      <c r="U896" t="str">
        <f t="shared" si="125"/>
        <v>OK</v>
      </c>
    </row>
    <row r="897" spans="1:21" x14ac:dyDescent="0.3">
      <c r="A897" t="s">
        <v>1134</v>
      </c>
      <c r="B897" s="3">
        <v>45721</v>
      </c>
      <c r="C897" t="s">
        <v>401</v>
      </c>
      <c r="D897" t="s">
        <v>14</v>
      </c>
      <c r="E897" t="s">
        <v>15</v>
      </c>
      <c r="F897" t="s">
        <v>27</v>
      </c>
      <c r="G897" t="s">
        <v>40</v>
      </c>
      <c r="H897">
        <v>1</v>
      </c>
      <c r="I897">
        <v>11162</v>
      </c>
      <c r="J897">
        <v>0.15</v>
      </c>
      <c r="K897">
        <v>9487.7000000000007</v>
      </c>
      <c r="L897">
        <v>1331.04</v>
      </c>
      <c r="M897" t="str">
        <f t="shared" si="117"/>
        <v>Office Chair</v>
      </c>
      <c r="N897" t="str">
        <f t="shared" si="118"/>
        <v>Chennai</v>
      </c>
      <c r="O897" t="str">
        <f t="shared" si="119"/>
        <v>South</v>
      </c>
      <c r="P897" t="str">
        <f t="shared" si="120"/>
        <v>Furniture</v>
      </c>
      <c r="Q897" t="str">
        <f t="shared" si="121"/>
        <v>Furniture</v>
      </c>
      <c r="R897" t="str">
        <f t="shared" si="122"/>
        <v>South</v>
      </c>
      <c r="S897" t="str">
        <f t="shared" si="123"/>
        <v>Chennai</v>
      </c>
      <c r="T897">
        <f t="shared" si="124"/>
        <v>9487.6999999999989</v>
      </c>
      <c r="U897" t="str">
        <f t="shared" si="125"/>
        <v>OK</v>
      </c>
    </row>
    <row r="898" spans="1:21" x14ac:dyDescent="0.3">
      <c r="A898" t="s">
        <v>1135</v>
      </c>
      <c r="B898" s="3">
        <v>45695</v>
      </c>
      <c r="C898" t="s">
        <v>451</v>
      </c>
      <c r="D898" t="s">
        <v>83</v>
      </c>
      <c r="E898" t="s">
        <v>73</v>
      </c>
      <c r="F898" t="s">
        <v>16</v>
      </c>
      <c r="G898" t="s">
        <v>52</v>
      </c>
      <c r="H898">
        <v>1</v>
      </c>
      <c r="I898">
        <v>318</v>
      </c>
      <c r="J898">
        <v>0.2</v>
      </c>
      <c r="K898">
        <v>254.4</v>
      </c>
      <c r="L898">
        <v>47.19</v>
      </c>
      <c r="M898" t="str">
        <f t="shared" si="117"/>
        <v>Printer Paper</v>
      </c>
      <c r="N898" t="str">
        <f t="shared" si="118"/>
        <v>Kolkata</v>
      </c>
      <c r="O898" t="str">
        <f t="shared" si="119"/>
        <v>East</v>
      </c>
      <c r="P898" t="str">
        <f t="shared" si="120"/>
        <v>Office Supplies</v>
      </c>
      <c r="Q898" t="str">
        <f t="shared" si="121"/>
        <v>Office Supplies</v>
      </c>
      <c r="R898" t="str">
        <f t="shared" si="122"/>
        <v>East</v>
      </c>
      <c r="S898" t="str">
        <f t="shared" si="123"/>
        <v>Kolkata</v>
      </c>
      <c r="T898">
        <f t="shared" si="124"/>
        <v>254.4</v>
      </c>
      <c r="U898" t="str">
        <f t="shared" si="125"/>
        <v>OK</v>
      </c>
    </row>
    <row r="899" spans="1:21" x14ac:dyDescent="0.3">
      <c r="A899" t="s">
        <v>1136</v>
      </c>
      <c r="B899" s="3">
        <v>45713</v>
      </c>
      <c r="C899" t="s">
        <v>194</v>
      </c>
      <c r="D899" t="s">
        <v>47</v>
      </c>
      <c r="E899" t="s">
        <v>26</v>
      </c>
      <c r="F899" t="s">
        <v>21</v>
      </c>
      <c r="G899" t="s">
        <v>35</v>
      </c>
      <c r="H899">
        <v>3</v>
      </c>
      <c r="I899">
        <v>17836</v>
      </c>
      <c r="J899">
        <v>0</v>
      </c>
      <c r="K899">
        <v>53508</v>
      </c>
      <c r="L899">
        <v>5416.4</v>
      </c>
      <c r="M899" t="str">
        <f t="shared" ref="M899:M962" si="126">TRIM(D899)</f>
        <v>Air Purifier</v>
      </c>
      <c r="N899" t="str">
        <f t="shared" ref="N899:N962" si="127">TRIM(G899)</f>
        <v>Mumbai</v>
      </c>
      <c r="O899" t="str">
        <f t="shared" ref="O899:O962" si="128">TRIM(F:F)</f>
        <v>West</v>
      </c>
      <c r="P899" t="str">
        <f t="shared" ref="P899:P962" si="129">TRIM(E899)</f>
        <v>Home Appliances</v>
      </c>
      <c r="Q899" t="str">
        <f t="shared" ref="Q899:Q962" si="130">PROPER(E899)</f>
        <v>Home Appliances</v>
      </c>
      <c r="R899" t="str">
        <f t="shared" ref="R899:R962" si="131">PROPER(F899)</f>
        <v>West</v>
      </c>
      <c r="S899" t="str">
        <f t="shared" ref="S899:S962" si="132">PROPER(G899)</f>
        <v>Mumbai</v>
      </c>
      <c r="T899">
        <f t="shared" ref="T899:T962" si="133">H899*I899*(1-J899)</f>
        <v>53508</v>
      </c>
      <c r="U899" t="str">
        <f t="shared" ref="U899:U962" si="134">IF(ROUND(K899,2)=ROUND(T899,2),"OK","CHECK")</f>
        <v>OK</v>
      </c>
    </row>
    <row r="900" spans="1:21" x14ac:dyDescent="0.3">
      <c r="A900" t="s">
        <v>1137</v>
      </c>
      <c r="B900" s="3">
        <v>45706</v>
      </c>
      <c r="C900" t="s">
        <v>82</v>
      </c>
      <c r="D900" t="s">
        <v>25</v>
      </c>
      <c r="E900" t="s">
        <v>26</v>
      </c>
      <c r="F900" t="s">
        <v>27</v>
      </c>
      <c r="G900" t="s">
        <v>31</v>
      </c>
      <c r="H900">
        <v>2</v>
      </c>
      <c r="I900">
        <v>10189</v>
      </c>
      <c r="J900">
        <v>0.2</v>
      </c>
      <c r="K900">
        <v>16302.4</v>
      </c>
      <c r="L900">
        <v>3917.86</v>
      </c>
      <c r="M900" t="str">
        <f t="shared" si="126"/>
        <v>Microwave</v>
      </c>
      <c r="N900" t="str">
        <f t="shared" si="127"/>
        <v>Hyderabad</v>
      </c>
      <c r="O900" t="str">
        <f t="shared" si="128"/>
        <v>South</v>
      </c>
      <c r="P900" t="str">
        <f t="shared" si="129"/>
        <v>Home Appliances</v>
      </c>
      <c r="Q900" t="str">
        <f t="shared" si="130"/>
        <v>Home Appliances</v>
      </c>
      <c r="R900" t="str">
        <f t="shared" si="131"/>
        <v>South</v>
      </c>
      <c r="S900" t="str">
        <f t="shared" si="132"/>
        <v>Hyderabad</v>
      </c>
      <c r="T900">
        <f t="shared" si="133"/>
        <v>16302.400000000001</v>
      </c>
      <c r="U900" t="str">
        <f t="shared" si="134"/>
        <v>OK</v>
      </c>
    </row>
    <row r="901" spans="1:21" x14ac:dyDescent="0.3">
      <c r="A901" t="s">
        <v>1138</v>
      </c>
      <c r="B901" s="3">
        <v>45706</v>
      </c>
      <c r="C901" t="s">
        <v>211</v>
      </c>
      <c r="D901" t="s">
        <v>20</v>
      </c>
      <c r="E901" t="s">
        <v>15</v>
      </c>
      <c r="F901" t="s">
        <v>58</v>
      </c>
      <c r="G901" t="s">
        <v>126</v>
      </c>
      <c r="H901">
        <v>1</v>
      </c>
      <c r="I901">
        <v>15051</v>
      </c>
      <c r="J901">
        <v>0.15</v>
      </c>
      <c r="K901">
        <v>12793.35</v>
      </c>
      <c r="L901">
        <v>1784.85</v>
      </c>
      <c r="M901" t="str">
        <f t="shared" si="126"/>
        <v>Filing Cabinet</v>
      </c>
      <c r="N901" t="str">
        <f t="shared" si="127"/>
        <v>Delhi</v>
      </c>
      <c r="O901" t="str">
        <f t="shared" si="128"/>
        <v>North</v>
      </c>
      <c r="P901" t="str">
        <f t="shared" si="129"/>
        <v>Furniture</v>
      </c>
      <c r="Q901" t="str">
        <f t="shared" si="130"/>
        <v>Furniture</v>
      </c>
      <c r="R901" t="str">
        <f t="shared" si="131"/>
        <v>North</v>
      </c>
      <c r="S901" t="str">
        <f t="shared" si="132"/>
        <v>Delhi</v>
      </c>
      <c r="T901">
        <f t="shared" si="133"/>
        <v>12793.35</v>
      </c>
      <c r="U901" t="str">
        <f t="shared" si="134"/>
        <v>OK</v>
      </c>
    </row>
    <row r="902" spans="1:21" x14ac:dyDescent="0.3">
      <c r="A902" t="s">
        <v>1139</v>
      </c>
      <c r="B902" s="3">
        <v>45993</v>
      </c>
      <c r="C902" t="s">
        <v>156</v>
      </c>
      <c r="D902" t="s">
        <v>92</v>
      </c>
      <c r="E902" t="s">
        <v>51</v>
      </c>
      <c r="F902" t="s">
        <v>16</v>
      </c>
      <c r="G902" t="s">
        <v>52</v>
      </c>
      <c r="H902">
        <v>1</v>
      </c>
      <c r="I902">
        <v>9086</v>
      </c>
      <c r="J902">
        <v>0.1</v>
      </c>
      <c r="K902">
        <v>8177.4</v>
      </c>
      <c r="L902">
        <v>2244.9</v>
      </c>
      <c r="M902" t="str">
        <f t="shared" si="126"/>
        <v>Monitor</v>
      </c>
      <c r="N902" t="str">
        <f t="shared" si="127"/>
        <v>Kolkata</v>
      </c>
      <c r="O902" t="str">
        <f t="shared" si="128"/>
        <v>East</v>
      </c>
      <c r="P902" t="str">
        <f t="shared" si="129"/>
        <v>Electronics</v>
      </c>
      <c r="Q902" t="str">
        <f t="shared" si="130"/>
        <v>Electronics</v>
      </c>
      <c r="R902" t="str">
        <f t="shared" si="131"/>
        <v>East</v>
      </c>
      <c r="S902" t="str">
        <f t="shared" si="132"/>
        <v>Kolkata</v>
      </c>
      <c r="T902">
        <f t="shared" si="133"/>
        <v>8177.4000000000005</v>
      </c>
      <c r="U902" t="str">
        <f t="shared" si="134"/>
        <v>OK</v>
      </c>
    </row>
    <row r="903" spans="1:21" x14ac:dyDescent="0.3">
      <c r="A903" t="s">
        <v>1140</v>
      </c>
      <c r="B903" s="3">
        <v>45871</v>
      </c>
      <c r="C903" t="s">
        <v>183</v>
      </c>
      <c r="D903" t="s">
        <v>47</v>
      </c>
      <c r="E903" t="s">
        <v>26</v>
      </c>
      <c r="F903" t="s">
        <v>21</v>
      </c>
      <c r="G903" t="s">
        <v>35</v>
      </c>
      <c r="H903">
        <v>1</v>
      </c>
      <c r="I903">
        <v>16115</v>
      </c>
      <c r="J903">
        <v>0.05</v>
      </c>
      <c r="K903">
        <v>15309.25</v>
      </c>
      <c r="L903">
        <v>1861.13</v>
      </c>
      <c r="M903" t="str">
        <f t="shared" si="126"/>
        <v>Air Purifier</v>
      </c>
      <c r="N903" t="str">
        <f t="shared" si="127"/>
        <v>Mumbai</v>
      </c>
      <c r="O903" t="str">
        <f t="shared" si="128"/>
        <v>West</v>
      </c>
      <c r="P903" t="str">
        <f t="shared" si="129"/>
        <v>Home Appliances</v>
      </c>
      <c r="Q903" t="str">
        <f t="shared" si="130"/>
        <v>Home Appliances</v>
      </c>
      <c r="R903" t="str">
        <f t="shared" si="131"/>
        <v>West</v>
      </c>
      <c r="S903" t="str">
        <f t="shared" si="132"/>
        <v>Mumbai</v>
      </c>
      <c r="T903">
        <f t="shared" si="133"/>
        <v>15309.25</v>
      </c>
      <c r="U903" t="str">
        <f t="shared" si="134"/>
        <v>OK</v>
      </c>
    </row>
    <row r="904" spans="1:21" x14ac:dyDescent="0.3">
      <c r="A904" t="s">
        <v>1141</v>
      </c>
      <c r="B904" s="3">
        <v>45688</v>
      </c>
      <c r="C904" t="s">
        <v>102</v>
      </c>
      <c r="D904" t="s">
        <v>92</v>
      </c>
      <c r="E904" t="s">
        <v>51</v>
      </c>
      <c r="F904" t="s">
        <v>58</v>
      </c>
      <c r="G904" t="s">
        <v>69</v>
      </c>
      <c r="H904">
        <v>1</v>
      </c>
      <c r="I904">
        <v>18176</v>
      </c>
      <c r="J904">
        <v>0</v>
      </c>
      <c r="K904">
        <v>18176</v>
      </c>
      <c r="L904">
        <v>4586.26</v>
      </c>
      <c r="M904" t="str">
        <f t="shared" si="126"/>
        <v>Monitor</v>
      </c>
      <c r="N904" t="str">
        <f t="shared" si="127"/>
        <v>Jaipur</v>
      </c>
      <c r="O904" t="str">
        <f t="shared" si="128"/>
        <v>North</v>
      </c>
      <c r="P904" t="str">
        <f t="shared" si="129"/>
        <v>Electronics</v>
      </c>
      <c r="Q904" t="str">
        <f t="shared" si="130"/>
        <v>Electronics</v>
      </c>
      <c r="R904" t="str">
        <f t="shared" si="131"/>
        <v>North</v>
      </c>
      <c r="S904" t="str">
        <f t="shared" si="132"/>
        <v>Jaipur</v>
      </c>
      <c r="T904">
        <f t="shared" si="133"/>
        <v>18176</v>
      </c>
      <c r="U904" t="str">
        <f t="shared" si="134"/>
        <v>OK</v>
      </c>
    </row>
    <row r="905" spans="1:21" x14ac:dyDescent="0.3">
      <c r="A905" t="s">
        <v>1142</v>
      </c>
      <c r="B905" s="3">
        <v>45917</v>
      </c>
      <c r="C905" t="s">
        <v>578</v>
      </c>
      <c r="D905" t="s">
        <v>34</v>
      </c>
      <c r="E905" t="s">
        <v>15</v>
      </c>
      <c r="F905" t="s">
        <v>21</v>
      </c>
      <c r="G905" t="s">
        <v>22</v>
      </c>
      <c r="H905">
        <v>1</v>
      </c>
      <c r="I905">
        <v>18776</v>
      </c>
      <c r="J905">
        <v>0.1</v>
      </c>
      <c r="K905">
        <v>16898.400000000001</v>
      </c>
      <c r="L905">
        <v>4542.43</v>
      </c>
      <c r="M905" t="str">
        <f t="shared" si="126"/>
        <v>Desk</v>
      </c>
      <c r="N905" t="str">
        <f t="shared" si="127"/>
        <v>Ahmedabad</v>
      </c>
      <c r="O905" t="str">
        <f t="shared" si="128"/>
        <v>West</v>
      </c>
      <c r="P905" t="str">
        <f t="shared" si="129"/>
        <v>Furniture</v>
      </c>
      <c r="Q905" t="str">
        <f t="shared" si="130"/>
        <v>Furniture</v>
      </c>
      <c r="R905" t="str">
        <f t="shared" si="131"/>
        <v>West</v>
      </c>
      <c r="S905" t="str">
        <f t="shared" si="132"/>
        <v>Ahmedabad</v>
      </c>
      <c r="T905">
        <f t="shared" si="133"/>
        <v>16898.400000000001</v>
      </c>
      <c r="U905" t="str">
        <f t="shared" si="134"/>
        <v>OK</v>
      </c>
    </row>
    <row r="906" spans="1:21" x14ac:dyDescent="0.3">
      <c r="A906" t="s">
        <v>1143</v>
      </c>
      <c r="B906" s="3">
        <v>45988</v>
      </c>
      <c r="C906" t="s">
        <v>617</v>
      </c>
      <c r="D906" t="s">
        <v>202</v>
      </c>
      <c r="E906" t="s">
        <v>44</v>
      </c>
      <c r="F906" t="s">
        <v>16</v>
      </c>
      <c r="G906" t="s">
        <v>52</v>
      </c>
      <c r="H906">
        <v>1</v>
      </c>
      <c r="I906">
        <v>2083</v>
      </c>
      <c r="J906">
        <v>0.1</v>
      </c>
      <c r="K906">
        <v>1874.7</v>
      </c>
      <c r="L906">
        <v>414.92</v>
      </c>
      <c r="M906" t="str">
        <f t="shared" si="126"/>
        <v>Laptop Stand</v>
      </c>
      <c r="N906" t="str">
        <f t="shared" si="127"/>
        <v>Kolkata</v>
      </c>
      <c r="O906" t="str">
        <f t="shared" si="128"/>
        <v>East</v>
      </c>
      <c r="P906" t="str">
        <f t="shared" si="129"/>
        <v>Accessories</v>
      </c>
      <c r="Q906" t="str">
        <f t="shared" si="130"/>
        <v>Accessories</v>
      </c>
      <c r="R906" t="str">
        <f t="shared" si="131"/>
        <v>East</v>
      </c>
      <c r="S906" t="str">
        <f t="shared" si="132"/>
        <v>Kolkata</v>
      </c>
      <c r="T906">
        <f t="shared" si="133"/>
        <v>1874.7</v>
      </c>
      <c r="U906" t="str">
        <f t="shared" si="134"/>
        <v>OK</v>
      </c>
    </row>
    <row r="907" spans="1:21" x14ac:dyDescent="0.3">
      <c r="A907" t="s">
        <v>1144</v>
      </c>
      <c r="B907" s="3">
        <v>45789</v>
      </c>
      <c r="C907" t="s">
        <v>251</v>
      </c>
      <c r="D907" t="s">
        <v>25</v>
      </c>
      <c r="E907" t="s">
        <v>26</v>
      </c>
      <c r="F907" t="s">
        <v>58</v>
      </c>
      <c r="G907" t="s">
        <v>59</v>
      </c>
      <c r="H907">
        <v>1</v>
      </c>
      <c r="I907">
        <v>17819</v>
      </c>
      <c r="J907">
        <v>0</v>
      </c>
      <c r="K907">
        <v>17819</v>
      </c>
      <c r="L907">
        <v>3844.59</v>
      </c>
      <c r="M907" t="str">
        <f t="shared" si="126"/>
        <v>Microwave</v>
      </c>
      <c r="N907" t="str">
        <f t="shared" si="127"/>
        <v>Chandigarh</v>
      </c>
      <c r="O907" t="str">
        <f t="shared" si="128"/>
        <v>North</v>
      </c>
      <c r="P907" t="str">
        <f t="shared" si="129"/>
        <v>Home Appliances</v>
      </c>
      <c r="Q907" t="str">
        <f t="shared" si="130"/>
        <v>Home Appliances</v>
      </c>
      <c r="R907" t="str">
        <f t="shared" si="131"/>
        <v>North</v>
      </c>
      <c r="S907" t="str">
        <f t="shared" si="132"/>
        <v>Chandigarh</v>
      </c>
      <c r="T907">
        <f t="shared" si="133"/>
        <v>17819</v>
      </c>
      <c r="U907" t="str">
        <f t="shared" si="134"/>
        <v>OK</v>
      </c>
    </row>
    <row r="908" spans="1:21" x14ac:dyDescent="0.3">
      <c r="A908" t="s">
        <v>1145</v>
      </c>
      <c r="B908" s="3">
        <v>45720</v>
      </c>
      <c r="C908" t="s">
        <v>82</v>
      </c>
      <c r="D908" t="s">
        <v>68</v>
      </c>
      <c r="E908" t="s">
        <v>44</v>
      </c>
      <c r="F908" t="s">
        <v>16</v>
      </c>
      <c r="G908" t="s">
        <v>104</v>
      </c>
      <c r="H908">
        <v>3</v>
      </c>
      <c r="I908">
        <v>4614</v>
      </c>
      <c r="J908">
        <v>0.1</v>
      </c>
      <c r="K908">
        <v>12457.8</v>
      </c>
      <c r="L908">
        <v>3113.45</v>
      </c>
      <c r="M908" t="str">
        <f t="shared" si="126"/>
        <v>Webcam</v>
      </c>
      <c r="N908" t="str">
        <f t="shared" si="127"/>
        <v>Bhubaneswar</v>
      </c>
      <c r="O908" t="str">
        <f t="shared" si="128"/>
        <v>East</v>
      </c>
      <c r="P908" t="str">
        <f t="shared" si="129"/>
        <v>Accessories</v>
      </c>
      <c r="Q908" t="str">
        <f t="shared" si="130"/>
        <v>Accessories</v>
      </c>
      <c r="R908" t="str">
        <f t="shared" si="131"/>
        <v>East</v>
      </c>
      <c r="S908" t="str">
        <f t="shared" si="132"/>
        <v>Bhubaneswar</v>
      </c>
      <c r="T908">
        <f t="shared" si="133"/>
        <v>12457.800000000001</v>
      </c>
      <c r="U908" t="str">
        <f t="shared" si="134"/>
        <v>OK</v>
      </c>
    </row>
    <row r="909" spans="1:21" x14ac:dyDescent="0.3">
      <c r="A909" t="s">
        <v>1146</v>
      </c>
      <c r="B909" s="3">
        <v>45846</v>
      </c>
      <c r="C909" t="s">
        <v>542</v>
      </c>
      <c r="D909" t="s">
        <v>83</v>
      </c>
      <c r="E909" t="s">
        <v>73</v>
      </c>
      <c r="F909" t="s">
        <v>58</v>
      </c>
      <c r="G909" t="s">
        <v>126</v>
      </c>
      <c r="H909">
        <v>1</v>
      </c>
      <c r="I909">
        <v>701</v>
      </c>
      <c r="J909">
        <v>0.1</v>
      </c>
      <c r="K909">
        <v>630.9</v>
      </c>
      <c r="L909">
        <v>88.08</v>
      </c>
      <c r="M909" t="str">
        <f t="shared" si="126"/>
        <v>Printer Paper</v>
      </c>
      <c r="N909" t="str">
        <f t="shared" si="127"/>
        <v>Delhi</v>
      </c>
      <c r="O909" t="str">
        <f t="shared" si="128"/>
        <v>North</v>
      </c>
      <c r="P909" t="str">
        <f t="shared" si="129"/>
        <v>Office Supplies</v>
      </c>
      <c r="Q909" t="str">
        <f t="shared" si="130"/>
        <v>Office Supplies</v>
      </c>
      <c r="R909" t="str">
        <f t="shared" si="131"/>
        <v>North</v>
      </c>
      <c r="S909" t="str">
        <f t="shared" si="132"/>
        <v>Delhi</v>
      </c>
      <c r="T909">
        <f t="shared" si="133"/>
        <v>630.9</v>
      </c>
      <c r="U909" t="str">
        <f t="shared" si="134"/>
        <v>OK</v>
      </c>
    </row>
    <row r="910" spans="1:21" x14ac:dyDescent="0.3">
      <c r="A910" t="s">
        <v>1147</v>
      </c>
      <c r="B910" s="3">
        <v>45852</v>
      </c>
      <c r="C910" t="s">
        <v>354</v>
      </c>
      <c r="D910" t="s">
        <v>47</v>
      </c>
      <c r="E910" t="s">
        <v>26</v>
      </c>
      <c r="F910" t="s">
        <v>58</v>
      </c>
      <c r="G910" t="s">
        <v>59</v>
      </c>
      <c r="H910">
        <v>1</v>
      </c>
      <c r="I910">
        <v>10765</v>
      </c>
      <c r="J910">
        <v>0.1</v>
      </c>
      <c r="K910">
        <v>9688.5</v>
      </c>
      <c r="L910">
        <v>2100.23</v>
      </c>
      <c r="M910" t="str">
        <f t="shared" si="126"/>
        <v>Air Purifier</v>
      </c>
      <c r="N910" t="str">
        <f t="shared" si="127"/>
        <v>Chandigarh</v>
      </c>
      <c r="O910" t="str">
        <f t="shared" si="128"/>
        <v>North</v>
      </c>
      <c r="P910" t="str">
        <f t="shared" si="129"/>
        <v>Home Appliances</v>
      </c>
      <c r="Q910" t="str">
        <f t="shared" si="130"/>
        <v>Home Appliances</v>
      </c>
      <c r="R910" t="str">
        <f t="shared" si="131"/>
        <v>North</v>
      </c>
      <c r="S910" t="str">
        <f t="shared" si="132"/>
        <v>Chandigarh</v>
      </c>
      <c r="T910">
        <f t="shared" si="133"/>
        <v>9688.5</v>
      </c>
      <c r="U910" t="str">
        <f t="shared" si="134"/>
        <v>OK</v>
      </c>
    </row>
    <row r="911" spans="1:21" x14ac:dyDescent="0.3">
      <c r="A911" t="s">
        <v>1148</v>
      </c>
      <c r="B911" s="3">
        <v>45915</v>
      </c>
      <c r="C911" t="s">
        <v>87</v>
      </c>
      <c r="D911" t="s">
        <v>92</v>
      </c>
      <c r="E911" t="s">
        <v>51</v>
      </c>
      <c r="F911" t="s">
        <v>58</v>
      </c>
      <c r="G911" t="s">
        <v>59</v>
      </c>
      <c r="H911">
        <v>2</v>
      </c>
      <c r="I911">
        <v>14207</v>
      </c>
      <c r="J911">
        <v>0</v>
      </c>
      <c r="K911">
        <v>28414</v>
      </c>
      <c r="L911">
        <v>7818.8</v>
      </c>
      <c r="M911" t="str">
        <f t="shared" si="126"/>
        <v>Monitor</v>
      </c>
      <c r="N911" t="str">
        <f t="shared" si="127"/>
        <v>Chandigarh</v>
      </c>
      <c r="O911" t="str">
        <f t="shared" si="128"/>
        <v>North</v>
      </c>
      <c r="P911" t="str">
        <f t="shared" si="129"/>
        <v>Electronics</v>
      </c>
      <c r="Q911" t="str">
        <f t="shared" si="130"/>
        <v>Electronics</v>
      </c>
      <c r="R911" t="str">
        <f t="shared" si="131"/>
        <v>North</v>
      </c>
      <c r="S911" t="str">
        <f t="shared" si="132"/>
        <v>Chandigarh</v>
      </c>
      <c r="T911">
        <f t="shared" si="133"/>
        <v>28414</v>
      </c>
      <c r="U911" t="str">
        <f t="shared" si="134"/>
        <v>OK</v>
      </c>
    </row>
    <row r="912" spans="1:21" x14ac:dyDescent="0.3">
      <c r="A912" t="s">
        <v>1149</v>
      </c>
      <c r="B912" s="3">
        <v>45833</v>
      </c>
      <c r="C912" t="s">
        <v>143</v>
      </c>
      <c r="D912" t="s">
        <v>30</v>
      </c>
      <c r="E912" t="s">
        <v>15</v>
      </c>
      <c r="F912" t="s">
        <v>21</v>
      </c>
      <c r="G912" t="s">
        <v>22</v>
      </c>
      <c r="H912">
        <v>3</v>
      </c>
      <c r="I912">
        <v>9597</v>
      </c>
      <c r="J912">
        <v>0.05</v>
      </c>
      <c r="K912">
        <v>27351.45</v>
      </c>
      <c r="L912">
        <v>2525.13</v>
      </c>
      <c r="M912" t="str">
        <f t="shared" si="126"/>
        <v>Bookshelf</v>
      </c>
      <c r="N912" t="str">
        <f t="shared" si="127"/>
        <v>Ahmedabad</v>
      </c>
      <c r="O912" t="str">
        <f t="shared" si="128"/>
        <v>West</v>
      </c>
      <c r="P912" t="str">
        <f t="shared" si="129"/>
        <v>Furniture</v>
      </c>
      <c r="Q912" t="str">
        <f t="shared" si="130"/>
        <v>Furniture</v>
      </c>
      <c r="R912" t="str">
        <f t="shared" si="131"/>
        <v>West</v>
      </c>
      <c r="S912" t="str">
        <f t="shared" si="132"/>
        <v>Ahmedabad</v>
      </c>
      <c r="T912">
        <f t="shared" si="133"/>
        <v>27351.449999999997</v>
      </c>
      <c r="U912" t="str">
        <f t="shared" si="134"/>
        <v>OK</v>
      </c>
    </row>
    <row r="913" spans="1:21" x14ac:dyDescent="0.3">
      <c r="A913" t="s">
        <v>1150</v>
      </c>
      <c r="B913" s="3">
        <v>45962</v>
      </c>
      <c r="C913" t="s">
        <v>412</v>
      </c>
      <c r="D913" t="s">
        <v>92</v>
      </c>
      <c r="E913" t="s">
        <v>51</v>
      </c>
      <c r="F913" t="s">
        <v>27</v>
      </c>
      <c r="G913" t="s">
        <v>31</v>
      </c>
      <c r="H913">
        <v>1</v>
      </c>
      <c r="I913">
        <v>19016</v>
      </c>
      <c r="J913">
        <v>0</v>
      </c>
      <c r="K913">
        <v>19016</v>
      </c>
      <c r="L913">
        <v>3305.13</v>
      </c>
      <c r="M913" t="str">
        <f t="shared" si="126"/>
        <v>Monitor</v>
      </c>
      <c r="N913" t="str">
        <f t="shared" si="127"/>
        <v>Hyderabad</v>
      </c>
      <c r="O913" t="str">
        <f t="shared" si="128"/>
        <v>South</v>
      </c>
      <c r="P913" t="str">
        <f t="shared" si="129"/>
        <v>Electronics</v>
      </c>
      <c r="Q913" t="str">
        <f t="shared" si="130"/>
        <v>Electronics</v>
      </c>
      <c r="R913" t="str">
        <f t="shared" si="131"/>
        <v>South</v>
      </c>
      <c r="S913" t="str">
        <f t="shared" si="132"/>
        <v>Hyderabad</v>
      </c>
      <c r="T913">
        <f t="shared" si="133"/>
        <v>19016</v>
      </c>
      <c r="U913" t="str">
        <f t="shared" si="134"/>
        <v>OK</v>
      </c>
    </row>
    <row r="914" spans="1:21" x14ac:dyDescent="0.3">
      <c r="A914" t="s">
        <v>1151</v>
      </c>
      <c r="B914" s="3">
        <v>45714</v>
      </c>
      <c r="C914" t="s">
        <v>19</v>
      </c>
      <c r="D914" t="s">
        <v>307</v>
      </c>
      <c r="E914" t="s">
        <v>73</v>
      </c>
      <c r="F914" t="s">
        <v>21</v>
      </c>
      <c r="G914" t="s">
        <v>22</v>
      </c>
      <c r="H914">
        <v>2</v>
      </c>
      <c r="I914">
        <v>237</v>
      </c>
      <c r="J914">
        <v>0.05</v>
      </c>
      <c r="K914">
        <v>450.3</v>
      </c>
      <c r="L914">
        <v>58.91</v>
      </c>
      <c r="M914" t="str">
        <f t="shared" si="126"/>
        <v>Notebook</v>
      </c>
      <c r="N914" t="str">
        <f t="shared" si="127"/>
        <v>Ahmedabad</v>
      </c>
      <c r="O914" t="str">
        <f t="shared" si="128"/>
        <v>West</v>
      </c>
      <c r="P914" t="str">
        <f t="shared" si="129"/>
        <v>Office Supplies</v>
      </c>
      <c r="Q914" t="str">
        <f t="shared" si="130"/>
        <v>Office Supplies</v>
      </c>
      <c r="R914" t="str">
        <f t="shared" si="131"/>
        <v>West</v>
      </c>
      <c r="S914" t="str">
        <f t="shared" si="132"/>
        <v>Ahmedabad</v>
      </c>
      <c r="T914">
        <f t="shared" si="133"/>
        <v>450.29999999999995</v>
      </c>
      <c r="U914" t="str">
        <f t="shared" si="134"/>
        <v>OK</v>
      </c>
    </row>
    <row r="915" spans="1:21" x14ac:dyDescent="0.3">
      <c r="A915" t="s">
        <v>1152</v>
      </c>
      <c r="B915" s="3">
        <v>45724</v>
      </c>
      <c r="C915" t="s">
        <v>368</v>
      </c>
      <c r="D915" t="s">
        <v>20</v>
      </c>
      <c r="E915" t="s">
        <v>15</v>
      </c>
      <c r="F915" t="s">
        <v>27</v>
      </c>
      <c r="G915" t="s">
        <v>31</v>
      </c>
      <c r="H915">
        <v>1</v>
      </c>
      <c r="I915">
        <v>5945</v>
      </c>
      <c r="J915">
        <v>0.1</v>
      </c>
      <c r="K915">
        <v>5350.5</v>
      </c>
      <c r="L915">
        <v>638.03</v>
      </c>
      <c r="M915" t="str">
        <f t="shared" si="126"/>
        <v>Filing Cabinet</v>
      </c>
      <c r="N915" t="str">
        <f t="shared" si="127"/>
        <v>Hyderabad</v>
      </c>
      <c r="O915" t="str">
        <f t="shared" si="128"/>
        <v>South</v>
      </c>
      <c r="P915" t="str">
        <f t="shared" si="129"/>
        <v>Furniture</v>
      </c>
      <c r="Q915" t="str">
        <f t="shared" si="130"/>
        <v>Furniture</v>
      </c>
      <c r="R915" t="str">
        <f t="shared" si="131"/>
        <v>South</v>
      </c>
      <c r="S915" t="str">
        <f t="shared" si="132"/>
        <v>Hyderabad</v>
      </c>
      <c r="T915">
        <f t="shared" si="133"/>
        <v>5350.5</v>
      </c>
      <c r="U915" t="str">
        <f t="shared" si="134"/>
        <v>OK</v>
      </c>
    </row>
    <row r="916" spans="1:21" x14ac:dyDescent="0.3">
      <c r="A916" t="s">
        <v>1153</v>
      </c>
      <c r="B916" s="3">
        <v>45838</v>
      </c>
      <c r="C916" t="s">
        <v>123</v>
      </c>
      <c r="D916" t="s">
        <v>120</v>
      </c>
      <c r="E916" t="s">
        <v>51</v>
      </c>
      <c r="F916" t="s">
        <v>58</v>
      </c>
      <c r="G916" t="s">
        <v>59</v>
      </c>
      <c r="H916">
        <v>1</v>
      </c>
      <c r="I916">
        <v>581</v>
      </c>
      <c r="J916">
        <v>0.05</v>
      </c>
      <c r="K916">
        <v>551.95000000000005</v>
      </c>
      <c r="L916">
        <v>117.43</v>
      </c>
      <c r="M916" t="str">
        <f t="shared" si="126"/>
        <v>Mouse</v>
      </c>
      <c r="N916" t="str">
        <f t="shared" si="127"/>
        <v>Chandigarh</v>
      </c>
      <c r="O916" t="str">
        <f t="shared" si="128"/>
        <v>North</v>
      </c>
      <c r="P916" t="str">
        <f t="shared" si="129"/>
        <v>Electronics</v>
      </c>
      <c r="Q916" t="str">
        <f t="shared" si="130"/>
        <v>Electronics</v>
      </c>
      <c r="R916" t="str">
        <f t="shared" si="131"/>
        <v>North</v>
      </c>
      <c r="S916" t="str">
        <f t="shared" si="132"/>
        <v>Chandigarh</v>
      </c>
      <c r="T916">
        <f t="shared" si="133"/>
        <v>551.94999999999993</v>
      </c>
      <c r="U916" t="str">
        <f t="shared" si="134"/>
        <v>OK</v>
      </c>
    </row>
    <row r="917" spans="1:21" x14ac:dyDescent="0.3">
      <c r="A917" t="s">
        <v>1154</v>
      </c>
      <c r="B917" s="3">
        <v>45843</v>
      </c>
      <c r="C917" t="s">
        <v>248</v>
      </c>
      <c r="D917" t="s">
        <v>30</v>
      </c>
      <c r="E917" t="s">
        <v>15</v>
      </c>
      <c r="F917" t="s">
        <v>21</v>
      </c>
      <c r="G917" t="s">
        <v>35</v>
      </c>
      <c r="H917">
        <v>1</v>
      </c>
      <c r="I917">
        <v>4719</v>
      </c>
      <c r="J917">
        <v>0.2</v>
      </c>
      <c r="K917">
        <v>3775.2</v>
      </c>
      <c r="L917">
        <v>461.11</v>
      </c>
      <c r="M917" t="str">
        <f t="shared" si="126"/>
        <v>Bookshelf</v>
      </c>
      <c r="N917" t="str">
        <f t="shared" si="127"/>
        <v>Mumbai</v>
      </c>
      <c r="O917" t="str">
        <f t="shared" si="128"/>
        <v>West</v>
      </c>
      <c r="P917" t="str">
        <f t="shared" si="129"/>
        <v>Furniture</v>
      </c>
      <c r="Q917" t="str">
        <f t="shared" si="130"/>
        <v>Furniture</v>
      </c>
      <c r="R917" t="str">
        <f t="shared" si="131"/>
        <v>West</v>
      </c>
      <c r="S917" t="str">
        <f t="shared" si="132"/>
        <v>Mumbai</v>
      </c>
      <c r="T917">
        <f t="shared" si="133"/>
        <v>3775.2000000000003</v>
      </c>
      <c r="U917" t="str">
        <f t="shared" si="134"/>
        <v>OK</v>
      </c>
    </row>
    <row r="918" spans="1:21" x14ac:dyDescent="0.3">
      <c r="A918" t="s">
        <v>1155</v>
      </c>
      <c r="B918" s="3">
        <v>46003</v>
      </c>
      <c r="C918" t="s">
        <v>266</v>
      </c>
      <c r="D918" t="s">
        <v>120</v>
      </c>
      <c r="E918" t="s">
        <v>51</v>
      </c>
      <c r="F918" t="s">
        <v>58</v>
      </c>
      <c r="G918" t="s">
        <v>126</v>
      </c>
      <c r="H918">
        <v>1</v>
      </c>
      <c r="I918">
        <v>642</v>
      </c>
      <c r="J918">
        <v>0.1</v>
      </c>
      <c r="K918">
        <v>577.79999999999995</v>
      </c>
      <c r="L918">
        <v>85.48</v>
      </c>
      <c r="M918" t="str">
        <f t="shared" si="126"/>
        <v>Mouse</v>
      </c>
      <c r="N918" t="str">
        <f t="shared" si="127"/>
        <v>Delhi</v>
      </c>
      <c r="O918" t="str">
        <f t="shared" si="128"/>
        <v>North</v>
      </c>
      <c r="P918" t="str">
        <f t="shared" si="129"/>
        <v>Electronics</v>
      </c>
      <c r="Q918" t="str">
        <f t="shared" si="130"/>
        <v>Electronics</v>
      </c>
      <c r="R918" t="str">
        <f t="shared" si="131"/>
        <v>North</v>
      </c>
      <c r="S918" t="str">
        <f t="shared" si="132"/>
        <v>Delhi</v>
      </c>
      <c r="T918">
        <f t="shared" si="133"/>
        <v>577.80000000000007</v>
      </c>
      <c r="U918" t="str">
        <f t="shared" si="134"/>
        <v>OK</v>
      </c>
    </row>
    <row r="919" spans="1:21" x14ac:dyDescent="0.3">
      <c r="A919" t="s">
        <v>1156</v>
      </c>
      <c r="B919" s="3">
        <v>45886</v>
      </c>
      <c r="C919" t="s">
        <v>13</v>
      </c>
      <c r="D919" t="s">
        <v>97</v>
      </c>
      <c r="E919" t="s">
        <v>44</v>
      </c>
      <c r="F919" t="s">
        <v>16</v>
      </c>
      <c r="G919" t="s">
        <v>52</v>
      </c>
      <c r="H919">
        <v>1</v>
      </c>
      <c r="I919">
        <v>760</v>
      </c>
      <c r="J919">
        <v>0.05</v>
      </c>
      <c r="K919">
        <v>722</v>
      </c>
      <c r="L919">
        <v>96.44</v>
      </c>
      <c r="M919" t="str">
        <f t="shared" si="126"/>
        <v>USB Cable</v>
      </c>
      <c r="N919" t="str">
        <f t="shared" si="127"/>
        <v>Kolkata</v>
      </c>
      <c r="O919" t="str">
        <f t="shared" si="128"/>
        <v>East</v>
      </c>
      <c r="P919" t="str">
        <f t="shared" si="129"/>
        <v>Accessories</v>
      </c>
      <c r="Q919" t="str">
        <f t="shared" si="130"/>
        <v>Accessories</v>
      </c>
      <c r="R919" t="str">
        <f t="shared" si="131"/>
        <v>East</v>
      </c>
      <c r="S919" t="str">
        <f t="shared" si="132"/>
        <v>Kolkata</v>
      </c>
      <c r="T919">
        <f t="shared" si="133"/>
        <v>722</v>
      </c>
      <c r="U919" t="str">
        <f t="shared" si="134"/>
        <v>OK</v>
      </c>
    </row>
    <row r="920" spans="1:21" x14ac:dyDescent="0.3">
      <c r="A920" t="s">
        <v>1157</v>
      </c>
      <c r="B920" s="3">
        <v>45973</v>
      </c>
      <c r="C920" t="s">
        <v>300</v>
      </c>
      <c r="D920" t="s">
        <v>47</v>
      </c>
      <c r="E920" t="s">
        <v>26</v>
      </c>
      <c r="F920" t="s">
        <v>16</v>
      </c>
      <c r="G920" t="s">
        <v>17</v>
      </c>
      <c r="H920">
        <v>5</v>
      </c>
      <c r="I920">
        <v>21411</v>
      </c>
      <c r="J920">
        <v>0.05</v>
      </c>
      <c r="K920">
        <v>101702.25</v>
      </c>
      <c r="L920">
        <v>28401.31</v>
      </c>
      <c r="M920" t="str">
        <f t="shared" si="126"/>
        <v>Air Purifier</v>
      </c>
      <c r="N920" t="str">
        <f t="shared" si="127"/>
        <v>Guwahati</v>
      </c>
      <c r="O920" t="str">
        <f t="shared" si="128"/>
        <v>East</v>
      </c>
      <c r="P920" t="str">
        <f t="shared" si="129"/>
        <v>Home Appliances</v>
      </c>
      <c r="Q920" t="str">
        <f t="shared" si="130"/>
        <v>Home Appliances</v>
      </c>
      <c r="R920" t="str">
        <f t="shared" si="131"/>
        <v>East</v>
      </c>
      <c r="S920" t="str">
        <f t="shared" si="132"/>
        <v>Guwahati</v>
      </c>
      <c r="T920">
        <f t="shared" si="133"/>
        <v>101702.25</v>
      </c>
      <c r="U920" t="str">
        <f t="shared" si="134"/>
        <v>OK</v>
      </c>
    </row>
    <row r="921" spans="1:21" x14ac:dyDescent="0.3">
      <c r="A921" t="s">
        <v>1158</v>
      </c>
      <c r="B921" s="3">
        <v>45701</v>
      </c>
      <c r="C921" t="s">
        <v>161</v>
      </c>
      <c r="D921" t="s">
        <v>14</v>
      </c>
      <c r="E921" t="s">
        <v>15</v>
      </c>
      <c r="F921" t="s">
        <v>16</v>
      </c>
      <c r="G921" t="s">
        <v>104</v>
      </c>
      <c r="H921">
        <v>1</v>
      </c>
      <c r="I921">
        <v>10602</v>
      </c>
      <c r="J921">
        <v>0.15</v>
      </c>
      <c r="K921">
        <v>9011.7000000000007</v>
      </c>
      <c r="L921">
        <v>1893.88</v>
      </c>
      <c r="M921" t="str">
        <f t="shared" si="126"/>
        <v>Office Chair</v>
      </c>
      <c r="N921" t="str">
        <f t="shared" si="127"/>
        <v>Bhubaneswar</v>
      </c>
      <c r="O921" t="str">
        <f t="shared" si="128"/>
        <v>East</v>
      </c>
      <c r="P921" t="str">
        <f t="shared" si="129"/>
        <v>Furniture</v>
      </c>
      <c r="Q921" t="str">
        <f t="shared" si="130"/>
        <v>Furniture</v>
      </c>
      <c r="R921" t="str">
        <f t="shared" si="131"/>
        <v>East</v>
      </c>
      <c r="S921" t="str">
        <f t="shared" si="132"/>
        <v>Bhubaneswar</v>
      </c>
      <c r="T921">
        <f t="shared" si="133"/>
        <v>9011.6999999999989</v>
      </c>
      <c r="U921" t="str">
        <f t="shared" si="134"/>
        <v>OK</v>
      </c>
    </row>
    <row r="922" spans="1:21" x14ac:dyDescent="0.3">
      <c r="A922" t="s">
        <v>1159</v>
      </c>
      <c r="B922" s="3">
        <v>45855</v>
      </c>
      <c r="C922" t="s">
        <v>61</v>
      </c>
      <c r="D922" t="s">
        <v>83</v>
      </c>
      <c r="E922" t="s">
        <v>73</v>
      </c>
      <c r="F922" t="s">
        <v>58</v>
      </c>
      <c r="G922" t="s">
        <v>126</v>
      </c>
      <c r="H922">
        <v>1</v>
      </c>
      <c r="I922">
        <v>263</v>
      </c>
      <c r="J922">
        <v>0.1</v>
      </c>
      <c r="K922">
        <v>236.7</v>
      </c>
      <c r="L922">
        <v>52.02</v>
      </c>
      <c r="M922" t="str">
        <f t="shared" si="126"/>
        <v>Printer Paper</v>
      </c>
      <c r="N922" t="str">
        <f t="shared" si="127"/>
        <v>Delhi</v>
      </c>
      <c r="O922" t="str">
        <f t="shared" si="128"/>
        <v>North</v>
      </c>
      <c r="P922" t="str">
        <f t="shared" si="129"/>
        <v>Office Supplies</v>
      </c>
      <c r="Q922" t="str">
        <f t="shared" si="130"/>
        <v>Office Supplies</v>
      </c>
      <c r="R922" t="str">
        <f t="shared" si="131"/>
        <v>North</v>
      </c>
      <c r="S922" t="str">
        <f t="shared" si="132"/>
        <v>Delhi</v>
      </c>
      <c r="T922">
        <f t="shared" si="133"/>
        <v>236.70000000000002</v>
      </c>
      <c r="U922" t="str">
        <f t="shared" si="134"/>
        <v>OK</v>
      </c>
    </row>
    <row r="923" spans="1:21" x14ac:dyDescent="0.3">
      <c r="A923" t="s">
        <v>1160</v>
      </c>
      <c r="B923" s="3">
        <v>45734</v>
      </c>
      <c r="C923" t="s">
        <v>535</v>
      </c>
      <c r="D923" t="s">
        <v>307</v>
      </c>
      <c r="E923" t="s">
        <v>73</v>
      </c>
      <c r="F923" t="s">
        <v>58</v>
      </c>
      <c r="G923" t="s">
        <v>59</v>
      </c>
      <c r="H923">
        <v>2</v>
      </c>
      <c r="I923">
        <v>207</v>
      </c>
      <c r="J923">
        <v>0</v>
      </c>
      <c r="K923">
        <v>414</v>
      </c>
      <c r="L923">
        <v>69.510000000000005</v>
      </c>
      <c r="M923" t="str">
        <f t="shared" si="126"/>
        <v>Notebook</v>
      </c>
      <c r="N923" t="str">
        <f t="shared" si="127"/>
        <v>Chandigarh</v>
      </c>
      <c r="O923" t="str">
        <f t="shared" si="128"/>
        <v>North</v>
      </c>
      <c r="P923" t="str">
        <f t="shared" si="129"/>
        <v>Office Supplies</v>
      </c>
      <c r="Q923" t="str">
        <f t="shared" si="130"/>
        <v>Office Supplies</v>
      </c>
      <c r="R923" t="str">
        <f t="shared" si="131"/>
        <v>North</v>
      </c>
      <c r="S923" t="str">
        <f t="shared" si="132"/>
        <v>Chandigarh</v>
      </c>
      <c r="T923">
        <f t="shared" si="133"/>
        <v>414</v>
      </c>
      <c r="U923" t="str">
        <f t="shared" si="134"/>
        <v>OK</v>
      </c>
    </row>
    <row r="924" spans="1:21" x14ac:dyDescent="0.3">
      <c r="A924" t="s">
        <v>1161</v>
      </c>
      <c r="B924" s="3">
        <v>45905</v>
      </c>
      <c r="C924" t="s">
        <v>389</v>
      </c>
      <c r="D924" t="s">
        <v>83</v>
      </c>
      <c r="E924" t="s">
        <v>73</v>
      </c>
      <c r="F924" t="s">
        <v>58</v>
      </c>
      <c r="G924" t="s">
        <v>69</v>
      </c>
      <c r="H924">
        <v>5</v>
      </c>
      <c r="I924">
        <v>640</v>
      </c>
      <c r="J924">
        <v>0.15</v>
      </c>
      <c r="K924">
        <v>2720</v>
      </c>
      <c r="L924">
        <v>277.08999999999997</v>
      </c>
      <c r="M924" t="str">
        <f t="shared" si="126"/>
        <v>Printer Paper</v>
      </c>
      <c r="N924" t="str">
        <f t="shared" si="127"/>
        <v>Jaipur</v>
      </c>
      <c r="O924" t="str">
        <f t="shared" si="128"/>
        <v>North</v>
      </c>
      <c r="P924" t="str">
        <f t="shared" si="129"/>
        <v>Office Supplies</v>
      </c>
      <c r="Q924" t="str">
        <f t="shared" si="130"/>
        <v>Office Supplies</v>
      </c>
      <c r="R924" t="str">
        <f t="shared" si="131"/>
        <v>North</v>
      </c>
      <c r="S924" t="str">
        <f t="shared" si="132"/>
        <v>Jaipur</v>
      </c>
      <c r="T924">
        <f t="shared" si="133"/>
        <v>2720</v>
      </c>
      <c r="U924" t="str">
        <f t="shared" si="134"/>
        <v>OK</v>
      </c>
    </row>
    <row r="925" spans="1:21" x14ac:dyDescent="0.3">
      <c r="A925" t="s">
        <v>1162</v>
      </c>
      <c r="B925" s="3">
        <v>45920</v>
      </c>
      <c r="C925" t="s">
        <v>326</v>
      </c>
      <c r="D925" t="s">
        <v>25</v>
      </c>
      <c r="E925" t="s">
        <v>26</v>
      </c>
      <c r="F925" t="s">
        <v>21</v>
      </c>
      <c r="G925" t="s">
        <v>35</v>
      </c>
      <c r="H925">
        <v>2</v>
      </c>
      <c r="I925">
        <v>16405</v>
      </c>
      <c r="J925">
        <v>0.2</v>
      </c>
      <c r="K925">
        <v>26248</v>
      </c>
      <c r="L925">
        <v>4225.1899999999996</v>
      </c>
      <c r="M925" t="str">
        <f t="shared" si="126"/>
        <v>Microwave</v>
      </c>
      <c r="N925" t="str">
        <f t="shared" si="127"/>
        <v>Mumbai</v>
      </c>
      <c r="O925" t="str">
        <f t="shared" si="128"/>
        <v>West</v>
      </c>
      <c r="P925" t="str">
        <f t="shared" si="129"/>
        <v>Home Appliances</v>
      </c>
      <c r="Q925" t="str">
        <f t="shared" si="130"/>
        <v>Home Appliances</v>
      </c>
      <c r="R925" t="str">
        <f t="shared" si="131"/>
        <v>West</v>
      </c>
      <c r="S925" t="str">
        <f t="shared" si="132"/>
        <v>Mumbai</v>
      </c>
      <c r="T925">
        <f t="shared" si="133"/>
        <v>26248</v>
      </c>
      <c r="U925" t="str">
        <f t="shared" si="134"/>
        <v>OK</v>
      </c>
    </row>
    <row r="926" spans="1:21" x14ac:dyDescent="0.3">
      <c r="A926" t="s">
        <v>1163</v>
      </c>
      <c r="B926" s="3">
        <v>45951</v>
      </c>
      <c r="C926" t="s">
        <v>87</v>
      </c>
      <c r="D926" t="s">
        <v>97</v>
      </c>
      <c r="E926" t="s">
        <v>44</v>
      </c>
      <c r="F926" t="s">
        <v>58</v>
      </c>
      <c r="G926" t="s">
        <v>126</v>
      </c>
      <c r="H926">
        <v>2</v>
      </c>
      <c r="I926">
        <v>1149</v>
      </c>
      <c r="J926">
        <v>0.05</v>
      </c>
      <c r="K926">
        <v>2183.1</v>
      </c>
      <c r="L926">
        <v>317.39999999999998</v>
      </c>
      <c r="M926" t="str">
        <f t="shared" si="126"/>
        <v>USB Cable</v>
      </c>
      <c r="N926" t="str">
        <f t="shared" si="127"/>
        <v>Delhi</v>
      </c>
      <c r="O926" t="str">
        <f t="shared" si="128"/>
        <v>North</v>
      </c>
      <c r="P926" t="str">
        <f t="shared" si="129"/>
        <v>Accessories</v>
      </c>
      <c r="Q926" t="str">
        <f t="shared" si="130"/>
        <v>Accessories</v>
      </c>
      <c r="R926" t="str">
        <f t="shared" si="131"/>
        <v>North</v>
      </c>
      <c r="S926" t="str">
        <f t="shared" si="132"/>
        <v>Delhi</v>
      </c>
      <c r="T926">
        <f t="shared" si="133"/>
        <v>2183.1</v>
      </c>
      <c r="U926" t="str">
        <f t="shared" si="134"/>
        <v>OK</v>
      </c>
    </row>
    <row r="927" spans="1:21" x14ac:dyDescent="0.3">
      <c r="A927" t="s">
        <v>1164</v>
      </c>
      <c r="B927" s="3">
        <v>45830</v>
      </c>
      <c r="C927" t="s">
        <v>371</v>
      </c>
      <c r="D927" t="s">
        <v>43</v>
      </c>
      <c r="E927" t="s">
        <v>44</v>
      </c>
      <c r="F927" t="s">
        <v>21</v>
      </c>
      <c r="G927" t="s">
        <v>35</v>
      </c>
      <c r="H927">
        <v>1</v>
      </c>
      <c r="I927">
        <v>435</v>
      </c>
      <c r="J927">
        <v>0.1</v>
      </c>
      <c r="K927">
        <v>391.5</v>
      </c>
      <c r="L927">
        <v>95.57</v>
      </c>
      <c r="M927" t="str">
        <f t="shared" si="126"/>
        <v>Phone Holder</v>
      </c>
      <c r="N927" t="str">
        <f t="shared" si="127"/>
        <v>Mumbai</v>
      </c>
      <c r="O927" t="str">
        <f t="shared" si="128"/>
        <v>West</v>
      </c>
      <c r="P927" t="str">
        <f t="shared" si="129"/>
        <v>Accessories</v>
      </c>
      <c r="Q927" t="str">
        <f t="shared" si="130"/>
        <v>Accessories</v>
      </c>
      <c r="R927" t="str">
        <f t="shared" si="131"/>
        <v>West</v>
      </c>
      <c r="S927" t="str">
        <f t="shared" si="132"/>
        <v>Mumbai</v>
      </c>
      <c r="T927">
        <f t="shared" si="133"/>
        <v>391.5</v>
      </c>
      <c r="U927" t="str">
        <f t="shared" si="134"/>
        <v>OK</v>
      </c>
    </row>
    <row r="928" spans="1:21" x14ac:dyDescent="0.3">
      <c r="A928" t="s">
        <v>1165</v>
      </c>
      <c r="B928" s="3">
        <v>45772</v>
      </c>
      <c r="C928" t="s">
        <v>217</v>
      </c>
      <c r="D928" t="s">
        <v>92</v>
      </c>
      <c r="E928" t="s">
        <v>51</v>
      </c>
      <c r="F928" t="s">
        <v>58</v>
      </c>
      <c r="G928" t="s">
        <v>59</v>
      </c>
      <c r="H928">
        <v>3</v>
      </c>
      <c r="I928">
        <v>19525</v>
      </c>
      <c r="J928">
        <v>0.2</v>
      </c>
      <c r="K928">
        <v>46860</v>
      </c>
      <c r="L928">
        <v>12474.98</v>
      </c>
      <c r="M928" t="str">
        <f t="shared" si="126"/>
        <v>Monitor</v>
      </c>
      <c r="N928" t="str">
        <f t="shared" si="127"/>
        <v>Chandigarh</v>
      </c>
      <c r="O928" t="str">
        <f t="shared" si="128"/>
        <v>North</v>
      </c>
      <c r="P928" t="str">
        <f t="shared" si="129"/>
        <v>Electronics</v>
      </c>
      <c r="Q928" t="str">
        <f t="shared" si="130"/>
        <v>Electronics</v>
      </c>
      <c r="R928" t="str">
        <f t="shared" si="131"/>
        <v>North</v>
      </c>
      <c r="S928" t="str">
        <f t="shared" si="132"/>
        <v>Chandigarh</v>
      </c>
      <c r="T928">
        <f t="shared" si="133"/>
        <v>46860</v>
      </c>
      <c r="U928" t="str">
        <f t="shared" si="134"/>
        <v>OK</v>
      </c>
    </row>
    <row r="929" spans="1:21" x14ac:dyDescent="0.3">
      <c r="A929" t="s">
        <v>1166</v>
      </c>
      <c r="B929" s="3">
        <v>45798</v>
      </c>
      <c r="C929" t="s">
        <v>650</v>
      </c>
      <c r="D929" t="s">
        <v>47</v>
      </c>
      <c r="E929" t="s">
        <v>26</v>
      </c>
      <c r="F929" t="s">
        <v>27</v>
      </c>
      <c r="G929" t="s">
        <v>28</v>
      </c>
      <c r="H929">
        <v>2</v>
      </c>
      <c r="I929">
        <v>11084</v>
      </c>
      <c r="J929">
        <v>0.05</v>
      </c>
      <c r="K929">
        <v>21059.599999999999</v>
      </c>
      <c r="L929">
        <v>5205.66</v>
      </c>
      <c r="M929" t="str">
        <f t="shared" si="126"/>
        <v>Air Purifier</v>
      </c>
      <c r="N929" t="str">
        <f t="shared" si="127"/>
        <v>Bengaluru</v>
      </c>
      <c r="O929" t="str">
        <f t="shared" si="128"/>
        <v>South</v>
      </c>
      <c r="P929" t="str">
        <f t="shared" si="129"/>
        <v>Home Appliances</v>
      </c>
      <c r="Q929" t="str">
        <f t="shared" si="130"/>
        <v>Home Appliances</v>
      </c>
      <c r="R929" t="str">
        <f t="shared" si="131"/>
        <v>South</v>
      </c>
      <c r="S929" t="str">
        <f t="shared" si="132"/>
        <v>Bengaluru</v>
      </c>
      <c r="T929">
        <f t="shared" si="133"/>
        <v>21059.599999999999</v>
      </c>
      <c r="U929" t="str">
        <f t="shared" si="134"/>
        <v>OK</v>
      </c>
    </row>
    <row r="930" spans="1:21" x14ac:dyDescent="0.3">
      <c r="A930" t="s">
        <v>1167</v>
      </c>
      <c r="B930" s="3">
        <v>45824</v>
      </c>
      <c r="C930" t="s">
        <v>37</v>
      </c>
      <c r="D930" t="s">
        <v>65</v>
      </c>
      <c r="E930" t="s">
        <v>26</v>
      </c>
      <c r="F930" t="s">
        <v>21</v>
      </c>
      <c r="G930" t="s">
        <v>35</v>
      </c>
      <c r="H930">
        <v>1</v>
      </c>
      <c r="I930">
        <v>3928</v>
      </c>
      <c r="J930">
        <v>0.15</v>
      </c>
      <c r="K930">
        <v>3338.8</v>
      </c>
      <c r="L930">
        <v>462.37</v>
      </c>
      <c r="M930" t="str">
        <f t="shared" si="126"/>
        <v>Electric Kettle</v>
      </c>
      <c r="N930" t="str">
        <f t="shared" si="127"/>
        <v>Mumbai</v>
      </c>
      <c r="O930" t="str">
        <f t="shared" si="128"/>
        <v>West</v>
      </c>
      <c r="P930" t="str">
        <f t="shared" si="129"/>
        <v>Home Appliances</v>
      </c>
      <c r="Q930" t="str">
        <f t="shared" si="130"/>
        <v>Home Appliances</v>
      </c>
      <c r="R930" t="str">
        <f t="shared" si="131"/>
        <v>West</v>
      </c>
      <c r="S930" t="str">
        <f t="shared" si="132"/>
        <v>Mumbai</v>
      </c>
      <c r="T930">
        <f t="shared" si="133"/>
        <v>3338.7999999999997</v>
      </c>
      <c r="U930" t="str">
        <f t="shared" si="134"/>
        <v>OK</v>
      </c>
    </row>
    <row r="931" spans="1:21" x14ac:dyDescent="0.3">
      <c r="A931" t="s">
        <v>1168</v>
      </c>
      <c r="B931" s="3">
        <v>45878</v>
      </c>
      <c r="C931" t="s">
        <v>266</v>
      </c>
      <c r="D931" t="s">
        <v>72</v>
      </c>
      <c r="E931" t="s">
        <v>73</v>
      </c>
      <c r="F931" t="s">
        <v>27</v>
      </c>
      <c r="G931" t="s">
        <v>28</v>
      </c>
      <c r="H931">
        <v>1</v>
      </c>
      <c r="I931">
        <v>991</v>
      </c>
      <c r="J931">
        <v>0.05</v>
      </c>
      <c r="K931">
        <v>941.45</v>
      </c>
      <c r="L931">
        <v>231.53</v>
      </c>
      <c r="M931" t="str">
        <f t="shared" si="126"/>
        <v>Desk Organizer</v>
      </c>
      <c r="N931" t="str">
        <f t="shared" si="127"/>
        <v>Bengaluru</v>
      </c>
      <c r="O931" t="str">
        <f t="shared" si="128"/>
        <v>South</v>
      </c>
      <c r="P931" t="str">
        <f t="shared" si="129"/>
        <v>Office Supplies</v>
      </c>
      <c r="Q931" t="str">
        <f t="shared" si="130"/>
        <v>Office Supplies</v>
      </c>
      <c r="R931" t="str">
        <f t="shared" si="131"/>
        <v>South</v>
      </c>
      <c r="S931" t="str">
        <f t="shared" si="132"/>
        <v>Bengaluru</v>
      </c>
      <c r="T931">
        <f t="shared" si="133"/>
        <v>941.44999999999993</v>
      </c>
      <c r="U931" t="str">
        <f t="shared" si="134"/>
        <v>OK</v>
      </c>
    </row>
    <row r="932" spans="1:21" x14ac:dyDescent="0.3">
      <c r="A932" t="s">
        <v>1169</v>
      </c>
      <c r="B932" s="3">
        <v>45880</v>
      </c>
      <c r="C932" t="s">
        <v>67</v>
      </c>
      <c r="D932" t="s">
        <v>92</v>
      </c>
      <c r="E932" t="s">
        <v>51</v>
      </c>
      <c r="F932" t="s">
        <v>27</v>
      </c>
      <c r="G932" t="s">
        <v>28</v>
      </c>
      <c r="H932">
        <v>1</v>
      </c>
      <c r="I932">
        <v>19810</v>
      </c>
      <c r="J932">
        <v>0.1</v>
      </c>
      <c r="K932">
        <v>17829</v>
      </c>
      <c r="L932">
        <v>2257.31</v>
      </c>
      <c r="M932" t="str">
        <f t="shared" si="126"/>
        <v>Monitor</v>
      </c>
      <c r="N932" t="str">
        <f t="shared" si="127"/>
        <v>Bengaluru</v>
      </c>
      <c r="O932" t="str">
        <f t="shared" si="128"/>
        <v>South</v>
      </c>
      <c r="P932" t="str">
        <f t="shared" si="129"/>
        <v>Electronics</v>
      </c>
      <c r="Q932" t="str">
        <f t="shared" si="130"/>
        <v>Electronics</v>
      </c>
      <c r="R932" t="str">
        <f t="shared" si="131"/>
        <v>South</v>
      </c>
      <c r="S932" t="str">
        <f t="shared" si="132"/>
        <v>Bengaluru</v>
      </c>
      <c r="T932">
        <f t="shared" si="133"/>
        <v>17829</v>
      </c>
      <c r="U932" t="str">
        <f t="shared" si="134"/>
        <v>OK</v>
      </c>
    </row>
    <row r="933" spans="1:21" x14ac:dyDescent="0.3">
      <c r="A933" t="s">
        <v>1170</v>
      </c>
      <c r="B933" s="3">
        <v>45694</v>
      </c>
      <c r="C933" t="s">
        <v>13</v>
      </c>
      <c r="D933" t="s">
        <v>72</v>
      </c>
      <c r="E933" t="s">
        <v>73</v>
      </c>
      <c r="F933" t="s">
        <v>27</v>
      </c>
      <c r="G933" t="s">
        <v>31</v>
      </c>
      <c r="H933">
        <v>1</v>
      </c>
      <c r="I933">
        <v>935</v>
      </c>
      <c r="J933">
        <v>0.1</v>
      </c>
      <c r="K933">
        <v>841.5</v>
      </c>
      <c r="L933">
        <v>217.8</v>
      </c>
      <c r="M933" t="str">
        <f t="shared" si="126"/>
        <v>Desk Organizer</v>
      </c>
      <c r="N933" t="str">
        <f t="shared" si="127"/>
        <v>Hyderabad</v>
      </c>
      <c r="O933" t="str">
        <f t="shared" si="128"/>
        <v>South</v>
      </c>
      <c r="P933" t="str">
        <f t="shared" si="129"/>
        <v>Office Supplies</v>
      </c>
      <c r="Q933" t="str">
        <f t="shared" si="130"/>
        <v>Office Supplies</v>
      </c>
      <c r="R933" t="str">
        <f t="shared" si="131"/>
        <v>South</v>
      </c>
      <c r="S933" t="str">
        <f t="shared" si="132"/>
        <v>Hyderabad</v>
      </c>
      <c r="T933">
        <f t="shared" si="133"/>
        <v>841.5</v>
      </c>
      <c r="U933" t="str">
        <f t="shared" si="134"/>
        <v>OK</v>
      </c>
    </row>
    <row r="934" spans="1:21" x14ac:dyDescent="0.3">
      <c r="A934" t="s">
        <v>1171</v>
      </c>
      <c r="B934" s="3">
        <v>45676</v>
      </c>
      <c r="C934" t="s">
        <v>315</v>
      </c>
      <c r="D934" t="s">
        <v>97</v>
      </c>
      <c r="E934" t="s">
        <v>44</v>
      </c>
      <c r="F934" t="s">
        <v>27</v>
      </c>
      <c r="G934" t="s">
        <v>40</v>
      </c>
      <c r="H934">
        <v>5</v>
      </c>
      <c r="I934">
        <v>841</v>
      </c>
      <c r="J934">
        <v>0.1</v>
      </c>
      <c r="K934">
        <v>3784.5</v>
      </c>
      <c r="L934">
        <v>528.35</v>
      </c>
      <c r="M934" t="str">
        <f t="shared" si="126"/>
        <v>USB Cable</v>
      </c>
      <c r="N934" t="str">
        <f t="shared" si="127"/>
        <v>Chennai</v>
      </c>
      <c r="O934" t="str">
        <f t="shared" si="128"/>
        <v>South</v>
      </c>
      <c r="P934" t="str">
        <f t="shared" si="129"/>
        <v>Accessories</v>
      </c>
      <c r="Q934" t="str">
        <f t="shared" si="130"/>
        <v>Accessories</v>
      </c>
      <c r="R934" t="str">
        <f t="shared" si="131"/>
        <v>South</v>
      </c>
      <c r="S934" t="str">
        <f t="shared" si="132"/>
        <v>Chennai</v>
      </c>
      <c r="T934">
        <f t="shared" si="133"/>
        <v>3784.5</v>
      </c>
      <c r="U934" t="str">
        <f t="shared" si="134"/>
        <v>OK</v>
      </c>
    </row>
    <row r="935" spans="1:21" x14ac:dyDescent="0.3">
      <c r="A935" t="s">
        <v>1172</v>
      </c>
      <c r="B935" s="3">
        <v>45993</v>
      </c>
      <c r="C935" t="s">
        <v>792</v>
      </c>
      <c r="D935" t="s">
        <v>50</v>
      </c>
      <c r="E935" t="s">
        <v>51</v>
      </c>
      <c r="F935" t="s">
        <v>21</v>
      </c>
      <c r="G935" t="s">
        <v>35</v>
      </c>
      <c r="H935">
        <v>2</v>
      </c>
      <c r="I935">
        <v>2783</v>
      </c>
      <c r="J935">
        <v>0.05</v>
      </c>
      <c r="K935">
        <v>5287.7</v>
      </c>
      <c r="L935">
        <v>1184.55</v>
      </c>
      <c r="M935" t="str">
        <f t="shared" si="126"/>
        <v>Keyboard</v>
      </c>
      <c r="N935" t="str">
        <f t="shared" si="127"/>
        <v>Mumbai</v>
      </c>
      <c r="O935" t="str">
        <f t="shared" si="128"/>
        <v>West</v>
      </c>
      <c r="P935" t="str">
        <f t="shared" si="129"/>
        <v>Electronics</v>
      </c>
      <c r="Q935" t="str">
        <f t="shared" si="130"/>
        <v>Electronics</v>
      </c>
      <c r="R935" t="str">
        <f t="shared" si="131"/>
        <v>West</v>
      </c>
      <c r="S935" t="str">
        <f t="shared" si="132"/>
        <v>Mumbai</v>
      </c>
      <c r="T935">
        <f t="shared" si="133"/>
        <v>5287.7</v>
      </c>
      <c r="U935" t="str">
        <f t="shared" si="134"/>
        <v>OK</v>
      </c>
    </row>
    <row r="936" spans="1:21" x14ac:dyDescent="0.3">
      <c r="A936" t="s">
        <v>1173</v>
      </c>
      <c r="B936" s="3">
        <v>45958</v>
      </c>
      <c r="C936" t="s">
        <v>180</v>
      </c>
      <c r="D936" t="s">
        <v>80</v>
      </c>
      <c r="E936" t="s">
        <v>51</v>
      </c>
      <c r="F936" t="s">
        <v>21</v>
      </c>
      <c r="G936" t="s">
        <v>35</v>
      </c>
      <c r="H936">
        <v>1</v>
      </c>
      <c r="I936">
        <v>74227</v>
      </c>
      <c r="J936">
        <v>0.1</v>
      </c>
      <c r="K936">
        <v>66804.3</v>
      </c>
      <c r="L936">
        <v>6335.4</v>
      </c>
      <c r="M936" t="str">
        <f t="shared" si="126"/>
        <v>Laptop</v>
      </c>
      <c r="N936" t="str">
        <f t="shared" si="127"/>
        <v>Mumbai</v>
      </c>
      <c r="O936" t="str">
        <f t="shared" si="128"/>
        <v>West</v>
      </c>
      <c r="P936" t="str">
        <f t="shared" si="129"/>
        <v>Electronics</v>
      </c>
      <c r="Q936" t="str">
        <f t="shared" si="130"/>
        <v>Electronics</v>
      </c>
      <c r="R936" t="str">
        <f t="shared" si="131"/>
        <v>West</v>
      </c>
      <c r="S936" t="str">
        <f t="shared" si="132"/>
        <v>Mumbai</v>
      </c>
      <c r="T936">
        <f t="shared" si="133"/>
        <v>66804.3</v>
      </c>
      <c r="U936" t="str">
        <f t="shared" si="134"/>
        <v>OK</v>
      </c>
    </row>
    <row r="937" spans="1:21" x14ac:dyDescent="0.3">
      <c r="A937" t="s">
        <v>1174</v>
      </c>
      <c r="B937" s="3">
        <v>45834</v>
      </c>
      <c r="C937" t="s">
        <v>194</v>
      </c>
      <c r="D937" t="s">
        <v>97</v>
      </c>
      <c r="E937" t="s">
        <v>44</v>
      </c>
      <c r="F937" t="s">
        <v>16</v>
      </c>
      <c r="G937" t="s">
        <v>104</v>
      </c>
      <c r="H937">
        <v>1</v>
      </c>
      <c r="I937">
        <v>1191</v>
      </c>
      <c r="J937">
        <v>0</v>
      </c>
      <c r="K937">
        <v>1191</v>
      </c>
      <c r="L937">
        <v>98.09</v>
      </c>
      <c r="M937" t="str">
        <f t="shared" si="126"/>
        <v>USB Cable</v>
      </c>
      <c r="N937" t="str">
        <f t="shared" si="127"/>
        <v>Bhubaneswar</v>
      </c>
      <c r="O937" t="str">
        <f t="shared" si="128"/>
        <v>East</v>
      </c>
      <c r="P937" t="str">
        <f t="shared" si="129"/>
        <v>Accessories</v>
      </c>
      <c r="Q937" t="str">
        <f t="shared" si="130"/>
        <v>Accessories</v>
      </c>
      <c r="R937" t="str">
        <f t="shared" si="131"/>
        <v>East</v>
      </c>
      <c r="S937" t="str">
        <f t="shared" si="132"/>
        <v>Bhubaneswar</v>
      </c>
      <c r="T937">
        <f t="shared" si="133"/>
        <v>1191</v>
      </c>
      <c r="U937" t="str">
        <f t="shared" si="134"/>
        <v>OK</v>
      </c>
    </row>
    <row r="938" spans="1:21" x14ac:dyDescent="0.3">
      <c r="A938" t="s">
        <v>1175</v>
      </c>
      <c r="B938" s="3">
        <v>45995</v>
      </c>
      <c r="C938" t="s">
        <v>463</v>
      </c>
      <c r="D938" t="s">
        <v>88</v>
      </c>
      <c r="E938" t="s">
        <v>73</v>
      </c>
      <c r="F938" t="s">
        <v>21</v>
      </c>
      <c r="G938" t="s">
        <v>22</v>
      </c>
      <c r="H938">
        <v>3</v>
      </c>
      <c r="I938">
        <v>256</v>
      </c>
      <c r="J938">
        <v>0.2</v>
      </c>
      <c r="K938">
        <v>614.4</v>
      </c>
      <c r="L938">
        <v>152.44999999999999</v>
      </c>
      <c r="M938" t="str">
        <f t="shared" si="126"/>
        <v>Stapler</v>
      </c>
      <c r="N938" t="str">
        <f t="shared" si="127"/>
        <v>Ahmedabad</v>
      </c>
      <c r="O938" t="str">
        <f t="shared" si="128"/>
        <v>West</v>
      </c>
      <c r="P938" t="str">
        <f t="shared" si="129"/>
        <v>Office Supplies</v>
      </c>
      <c r="Q938" t="str">
        <f t="shared" si="130"/>
        <v>Office Supplies</v>
      </c>
      <c r="R938" t="str">
        <f t="shared" si="131"/>
        <v>West</v>
      </c>
      <c r="S938" t="str">
        <f t="shared" si="132"/>
        <v>Ahmedabad</v>
      </c>
      <c r="T938">
        <f t="shared" si="133"/>
        <v>614.40000000000009</v>
      </c>
      <c r="U938" t="str">
        <f t="shared" si="134"/>
        <v>OK</v>
      </c>
    </row>
    <row r="939" spans="1:21" x14ac:dyDescent="0.3">
      <c r="A939" t="s">
        <v>1176</v>
      </c>
      <c r="B939" s="3">
        <v>45792</v>
      </c>
      <c r="C939" t="s">
        <v>650</v>
      </c>
      <c r="D939" t="s">
        <v>88</v>
      </c>
      <c r="E939" t="s">
        <v>73</v>
      </c>
      <c r="F939" t="s">
        <v>27</v>
      </c>
      <c r="G939" t="s">
        <v>28</v>
      </c>
      <c r="H939">
        <v>2</v>
      </c>
      <c r="I939">
        <v>248</v>
      </c>
      <c r="J939">
        <v>0.2</v>
      </c>
      <c r="K939">
        <v>396.8</v>
      </c>
      <c r="L939">
        <v>98.45</v>
      </c>
      <c r="M939" t="str">
        <f t="shared" si="126"/>
        <v>Stapler</v>
      </c>
      <c r="N939" t="str">
        <f t="shared" si="127"/>
        <v>Bengaluru</v>
      </c>
      <c r="O939" t="str">
        <f t="shared" si="128"/>
        <v>South</v>
      </c>
      <c r="P939" t="str">
        <f t="shared" si="129"/>
        <v>Office Supplies</v>
      </c>
      <c r="Q939" t="str">
        <f t="shared" si="130"/>
        <v>Office Supplies</v>
      </c>
      <c r="R939" t="str">
        <f t="shared" si="131"/>
        <v>South</v>
      </c>
      <c r="S939" t="str">
        <f t="shared" si="132"/>
        <v>Bengaluru</v>
      </c>
      <c r="T939">
        <f t="shared" si="133"/>
        <v>396.8</v>
      </c>
      <c r="U939" t="str">
        <f t="shared" si="134"/>
        <v>OK</v>
      </c>
    </row>
    <row r="940" spans="1:21" x14ac:dyDescent="0.3">
      <c r="A940" t="s">
        <v>1177</v>
      </c>
      <c r="B940" s="3">
        <v>45886</v>
      </c>
      <c r="C940" t="s">
        <v>516</v>
      </c>
      <c r="D940" t="s">
        <v>120</v>
      </c>
      <c r="E940" t="s">
        <v>51</v>
      </c>
      <c r="F940" t="s">
        <v>58</v>
      </c>
      <c r="G940" t="s">
        <v>126</v>
      </c>
      <c r="H940">
        <v>5</v>
      </c>
      <c r="I940">
        <v>1188</v>
      </c>
      <c r="J940">
        <v>0.15</v>
      </c>
      <c r="K940">
        <v>5049</v>
      </c>
      <c r="L940">
        <v>975.33</v>
      </c>
      <c r="M940" t="str">
        <f t="shared" si="126"/>
        <v>Mouse</v>
      </c>
      <c r="N940" t="str">
        <f t="shared" si="127"/>
        <v>Delhi</v>
      </c>
      <c r="O940" t="str">
        <f t="shared" si="128"/>
        <v>North</v>
      </c>
      <c r="P940" t="str">
        <f t="shared" si="129"/>
        <v>Electronics</v>
      </c>
      <c r="Q940" t="str">
        <f t="shared" si="130"/>
        <v>Electronics</v>
      </c>
      <c r="R940" t="str">
        <f t="shared" si="131"/>
        <v>North</v>
      </c>
      <c r="S940" t="str">
        <f t="shared" si="132"/>
        <v>Delhi</v>
      </c>
      <c r="T940">
        <f t="shared" si="133"/>
        <v>5049</v>
      </c>
      <c r="U940" t="str">
        <f t="shared" si="134"/>
        <v>OK</v>
      </c>
    </row>
    <row r="941" spans="1:21" x14ac:dyDescent="0.3">
      <c r="A941" t="s">
        <v>1178</v>
      </c>
      <c r="B941" s="3">
        <v>45707</v>
      </c>
      <c r="C941" t="s">
        <v>563</v>
      </c>
      <c r="D941" t="s">
        <v>83</v>
      </c>
      <c r="E941" t="s">
        <v>73</v>
      </c>
      <c r="F941" t="s">
        <v>58</v>
      </c>
      <c r="G941" t="s">
        <v>69</v>
      </c>
      <c r="H941">
        <v>1</v>
      </c>
      <c r="I941">
        <v>345</v>
      </c>
      <c r="J941">
        <v>0.05</v>
      </c>
      <c r="K941">
        <v>327.75</v>
      </c>
      <c r="L941">
        <v>33.61</v>
      </c>
      <c r="M941" t="str">
        <f t="shared" si="126"/>
        <v>Printer Paper</v>
      </c>
      <c r="N941" t="str">
        <f t="shared" si="127"/>
        <v>Jaipur</v>
      </c>
      <c r="O941" t="str">
        <f t="shared" si="128"/>
        <v>North</v>
      </c>
      <c r="P941" t="str">
        <f t="shared" si="129"/>
        <v>Office Supplies</v>
      </c>
      <c r="Q941" t="str">
        <f t="shared" si="130"/>
        <v>Office Supplies</v>
      </c>
      <c r="R941" t="str">
        <f t="shared" si="131"/>
        <v>North</v>
      </c>
      <c r="S941" t="str">
        <f t="shared" si="132"/>
        <v>Jaipur</v>
      </c>
      <c r="T941">
        <f t="shared" si="133"/>
        <v>327.75</v>
      </c>
      <c r="U941" t="str">
        <f t="shared" si="134"/>
        <v>OK</v>
      </c>
    </row>
    <row r="942" spans="1:21" x14ac:dyDescent="0.3">
      <c r="A942" t="s">
        <v>1179</v>
      </c>
      <c r="B942" s="3">
        <v>45703</v>
      </c>
      <c r="C942" t="s">
        <v>389</v>
      </c>
      <c r="D942" t="s">
        <v>47</v>
      </c>
      <c r="E942" t="s">
        <v>26</v>
      </c>
      <c r="F942" t="s">
        <v>21</v>
      </c>
      <c r="G942" t="s">
        <v>55</v>
      </c>
      <c r="H942">
        <v>5</v>
      </c>
      <c r="I942">
        <v>17010</v>
      </c>
      <c r="J942">
        <v>0</v>
      </c>
      <c r="K942">
        <v>85050</v>
      </c>
      <c r="L942">
        <v>12359.84</v>
      </c>
      <c r="M942" t="str">
        <f t="shared" si="126"/>
        <v>Air Purifier</v>
      </c>
      <c r="N942" t="str">
        <f t="shared" si="127"/>
        <v>Pune</v>
      </c>
      <c r="O942" t="str">
        <f t="shared" si="128"/>
        <v>West</v>
      </c>
      <c r="P942" t="str">
        <f t="shared" si="129"/>
        <v>Home Appliances</v>
      </c>
      <c r="Q942" t="str">
        <f t="shared" si="130"/>
        <v>Home Appliances</v>
      </c>
      <c r="R942" t="str">
        <f t="shared" si="131"/>
        <v>West</v>
      </c>
      <c r="S942" t="str">
        <f t="shared" si="132"/>
        <v>Pune</v>
      </c>
      <c r="T942">
        <f t="shared" si="133"/>
        <v>85050</v>
      </c>
      <c r="U942" t="str">
        <f t="shared" si="134"/>
        <v>OK</v>
      </c>
    </row>
    <row r="943" spans="1:21" x14ac:dyDescent="0.3">
      <c r="A943" t="s">
        <v>1180</v>
      </c>
      <c r="B943" s="3">
        <v>45929</v>
      </c>
      <c r="C943" t="s">
        <v>172</v>
      </c>
      <c r="D943" t="s">
        <v>25</v>
      </c>
      <c r="E943" t="s">
        <v>26</v>
      </c>
      <c r="F943" t="s">
        <v>58</v>
      </c>
      <c r="G943" t="s">
        <v>126</v>
      </c>
      <c r="H943">
        <v>1</v>
      </c>
      <c r="I943">
        <v>10269</v>
      </c>
      <c r="J943">
        <v>0</v>
      </c>
      <c r="K943">
        <v>10269</v>
      </c>
      <c r="L943">
        <v>2374.12</v>
      </c>
      <c r="M943" t="str">
        <f t="shared" si="126"/>
        <v>Microwave</v>
      </c>
      <c r="N943" t="str">
        <f t="shared" si="127"/>
        <v>Delhi</v>
      </c>
      <c r="O943" t="str">
        <f t="shared" si="128"/>
        <v>North</v>
      </c>
      <c r="P943" t="str">
        <f t="shared" si="129"/>
        <v>Home Appliances</v>
      </c>
      <c r="Q943" t="str">
        <f t="shared" si="130"/>
        <v>Home Appliances</v>
      </c>
      <c r="R943" t="str">
        <f t="shared" si="131"/>
        <v>North</v>
      </c>
      <c r="S943" t="str">
        <f t="shared" si="132"/>
        <v>Delhi</v>
      </c>
      <c r="T943">
        <f t="shared" si="133"/>
        <v>10269</v>
      </c>
      <c r="U943" t="str">
        <f t="shared" si="134"/>
        <v>OK</v>
      </c>
    </row>
    <row r="944" spans="1:21" x14ac:dyDescent="0.3">
      <c r="A944" t="s">
        <v>1181</v>
      </c>
      <c r="B944" s="3">
        <v>45835</v>
      </c>
      <c r="C944" t="s">
        <v>328</v>
      </c>
      <c r="D944" t="s">
        <v>80</v>
      </c>
      <c r="E944" t="s">
        <v>51</v>
      </c>
      <c r="F944" t="s">
        <v>21</v>
      </c>
      <c r="G944" t="s">
        <v>55</v>
      </c>
      <c r="H944">
        <v>1</v>
      </c>
      <c r="I944">
        <v>47930</v>
      </c>
      <c r="J944">
        <v>0.15</v>
      </c>
      <c r="K944">
        <v>40740.5</v>
      </c>
      <c r="L944">
        <v>9389.9500000000007</v>
      </c>
      <c r="M944" t="str">
        <f t="shared" si="126"/>
        <v>Laptop</v>
      </c>
      <c r="N944" t="str">
        <f t="shared" si="127"/>
        <v>Pune</v>
      </c>
      <c r="O944" t="str">
        <f t="shared" si="128"/>
        <v>West</v>
      </c>
      <c r="P944" t="str">
        <f t="shared" si="129"/>
        <v>Electronics</v>
      </c>
      <c r="Q944" t="str">
        <f t="shared" si="130"/>
        <v>Electronics</v>
      </c>
      <c r="R944" t="str">
        <f t="shared" si="131"/>
        <v>West</v>
      </c>
      <c r="S944" t="str">
        <f t="shared" si="132"/>
        <v>Pune</v>
      </c>
      <c r="T944">
        <f t="shared" si="133"/>
        <v>40740.5</v>
      </c>
      <c r="U944" t="str">
        <f t="shared" si="134"/>
        <v>OK</v>
      </c>
    </row>
    <row r="945" spans="1:21" x14ac:dyDescent="0.3">
      <c r="A945" t="s">
        <v>1182</v>
      </c>
      <c r="B945" s="3">
        <v>45698</v>
      </c>
      <c r="C945" t="s">
        <v>251</v>
      </c>
      <c r="D945" t="s">
        <v>83</v>
      </c>
      <c r="E945" t="s">
        <v>73</v>
      </c>
      <c r="F945" t="s">
        <v>16</v>
      </c>
      <c r="G945" t="s">
        <v>52</v>
      </c>
      <c r="H945">
        <v>2</v>
      </c>
      <c r="I945">
        <v>275</v>
      </c>
      <c r="J945">
        <v>0.1</v>
      </c>
      <c r="K945">
        <v>495</v>
      </c>
      <c r="L945">
        <v>116.61</v>
      </c>
      <c r="M945" t="str">
        <f t="shared" si="126"/>
        <v>Printer Paper</v>
      </c>
      <c r="N945" t="str">
        <f t="shared" si="127"/>
        <v>Kolkata</v>
      </c>
      <c r="O945" t="str">
        <f t="shared" si="128"/>
        <v>East</v>
      </c>
      <c r="P945" t="str">
        <f t="shared" si="129"/>
        <v>Office Supplies</v>
      </c>
      <c r="Q945" t="str">
        <f t="shared" si="130"/>
        <v>Office Supplies</v>
      </c>
      <c r="R945" t="str">
        <f t="shared" si="131"/>
        <v>East</v>
      </c>
      <c r="S945" t="str">
        <f t="shared" si="132"/>
        <v>Kolkata</v>
      </c>
      <c r="T945">
        <f t="shared" si="133"/>
        <v>495</v>
      </c>
      <c r="U945" t="str">
        <f t="shared" si="134"/>
        <v>OK</v>
      </c>
    </row>
    <row r="946" spans="1:21" x14ac:dyDescent="0.3">
      <c r="A946" t="s">
        <v>1183</v>
      </c>
      <c r="B946" s="3">
        <v>45865</v>
      </c>
      <c r="C946" t="s">
        <v>270</v>
      </c>
      <c r="D946" t="s">
        <v>34</v>
      </c>
      <c r="E946" t="s">
        <v>15</v>
      </c>
      <c r="F946" t="s">
        <v>58</v>
      </c>
      <c r="G946" t="s">
        <v>59</v>
      </c>
      <c r="H946">
        <v>3</v>
      </c>
      <c r="I946">
        <v>22044</v>
      </c>
      <c r="J946">
        <v>0.05</v>
      </c>
      <c r="K946">
        <v>62825.4</v>
      </c>
      <c r="L946">
        <v>14636.8</v>
      </c>
      <c r="M946" t="str">
        <f t="shared" si="126"/>
        <v>Desk</v>
      </c>
      <c r="N946" t="str">
        <f t="shared" si="127"/>
        <v>Chandigarh</v>
      </c>
      <c r="O946" t="str">
        <f t="shared" si="128"/>
        <v>North</v>
      </c>
      <c r="P946" t="str">
        <f t="shared" si="129"/>
        <v>Furniture</v>
      </c>
      <c r="Q946" t="str">
        <f t="shared" si="130"/>
        <v>Furniture</v>
      </c>
      <c r="R946" t="str">
        <f t="shared" si="131"/>
        <v>North</v>
      </c>
      <c r="S946" t="str">
        <f t="shared" si="132"/>
        <v>Chandigarh</v>
      </c>
      <c r="T946">
        <f t="shared" si="133"/>
        <v>62825.399999999994</v>
      </c>
      <c r="U946" t="str">
        <f t="shared" si="134"/>
        <v>OK</v>
      </c>
    </row>
    <row r="947" spans="1:21" x14ac:dyDescent="0.3">
      <c r="A947" t="s">
        <v>1184</v>
      </c>
      <c r="B947" s="3">
        <v>45867</v>
      </c>
      <c r="C947" t="s">
        <v>485</v>
      </c>
      <c r="D947" t="s">
        <v>25</v>
      </c>
      <c r="E947" t="s">
        <v>26</v>
      </c>
      <c r="F947" t="s">
        <v>21</v>
      </c>
      <c r="G947" t="s">
        <v>22</v>
      </c>
      <c r="H947">
        <v>2</v>
      </c>
      <c r="I947">
        <v>12935</v>
      </c>
      <c r="J947">
        <v>0.15</v>
      </c>
      <c r="K947">
        <v>21989.5</v>
      </c>
      <c r="L947">
        <v>6001.77</v>
      </c>
      <c r="M947" t="str">
        <f t="shared" si="126"/>
        <v>Microwave</v>
      </c>
      <c r="N947" t="str">
        <f t="shared" si="127"/>
        <v>Ahmedabad</v>
      </c>
      <c r="O947" t="str">
        <f t="shared" si="128"/>
        <v>West</v>
      </c>
      <c r="P947" t="str">
        <f t="shared" si="129"/>
        <v>Home Appliances</v>
      </c>
      <c r="Q947" t="str">
        <f t="shared" si="130"/>
        <v>Home Appliances</v>
      </c>
      <c r="R947" t="str">
        <f t="shared" si="131"/>
        <v>West</v>
      </c>
      <c r="S947" t="str">
        <f t="shared" si="132"/>
        <v>Ahmedabad</v>
      </c>
      <c r="T947">
        <f t="shared" si="133"/>
        <v>21989.5</v>
      </c>
      <c r="U947" t="str">
        <f t="shared" si="134"/>
        <v>OK</v>
      </c>
    </row>
    <row r="948" spans="1:21" x14ac:dyDescent="0.3">
      <c r="A948" t="s">
        <v>1185</v>
      </c>
      <c r="B948" s="3">
        <v>45885</v>
      </c>
      <c r="C948" t="s">
        <v>201</v>
      </c>
      <c r="D948" t="s">
        <v>50</v>
      </c>
      <c r="E948" t="s">
        <v>51</v>
      </c>
      <c r="F948" t="s">
        <v>16</v>
      </c>
      <c r="G948" t="s">
        <v>17</v>
      </c>
      <c r="H948">
        <v>2</v>
      </c>
      <c r="I948">
        <v>2103</v>
      </c>
      <c r="J948">
        <v>0</v>
      </c>
      <c r="K948">
        <v>4206</v>
      </c>
      <c r="L948">
        <v>982.6</v>
      </c>
      <c r="M948" t="str">
        <f t="shared" si="126"/>
        <v>Keyboard</v>
      </c>
      <c r="N948" t="str">
        <f t="shared" si="127"/>
        <v>Guwahati</v>
      </c>
      <c r="O948" t="str">
        <f t="shared" si="128"/>
        <v>East</v>
      </c>
      <c r="P948" t="str">
        <f t="shared" si="129"/>
        <v>Electronics</v>
      </c>
      <c r="Q948" t="str">
        <f t="shared" si="130"/>
        <v>Electronics</v>
      </c>
      <c r="R948" t="str">
        <f t="shared" si="131"/>
        <v>East</v>
      </c>
      <c r="S948" t="str">
        <f t="shared" si="132"/>
        <v>Guwahati</v>
      </c>
      <c r="T948">
        <f t="shared" si="133"/>
        <v>4206</v>
      </c>
      <c r="U948" t="str">
        <f t="shared" si="134"/>
        <v>OK</v>
      </c>
    </row>
    <row r="949" spans="1:21" x14ac:dyDescent="0.3">
      <c r="A949" t="s">
        <v>1186</v>
      </c>
      <c r="B949" s="3">
        <v>45987</v>
      </c>
      <c r="C949" t="s">
        <v>516</v>
      </c>
      <c r="D949" t="s">
        <v>120</v>
      </c>
      <c r="E949" t="s">
        <v>51</v>
      </c>
      <c r="F949" t="s">
        <v>27</v>
      </c>
      <c r="G949" t="s">
        <v>28</v>
      </c>
      <c r="H949">
        <v>3</v>
      </c>
      <c r="I949">
        <v>655</v>
      </c>
      <c r="J949">
        <v>0.2</v>
      </c>
      <c r="K949">
        <v>1572</v>
      </c>
      <c r="L949">
        <v>308.87</v>
      </c>
      <c r="M949" t="str">
        <f t="shared" si="126"/>
        <v>Mouse</v>
      </c>
      <c r="N949" t="str">
        <f t="shared" si="127"/>
        <v>Bengaluru</v>
      </c>
      <c r="O949" t="str">
        <f t="shared" si="128"/>
        <v>South</v>
      </c>
      <c r="P949" t="str">
        <f t="shared" si="129"/>
        <v>Electronics</v>
      </c>
      <c r="Q949" t="str">
        <f t="shared" si="130"/>
        <v>Electronics</v>
      </c>
      <c r="R949" t="str">
        <f t="shared" si="131"/>
        <v>South</v>
      </c>
      <c r="S949" t="str">
        <f t="shared" si="132"/>
        <v>Bengaluru</v>
      </c>
      <c r="T949">
        <f t="shared" si="133"/>
        <v>1572</v>
      </c>
      <c r="U949" t="str">
        <f t="shared" si="134"/>
        <v>OK</v>
      </c>
    </row>
    <row r="950" spans="1:21" x14ac:dyDescent="0.3">
      <c r="A950" t="s">
        <v>1187</v>
      </c>
      <c r="B950" s="3">
        <v>45741</v>
      </c>
      <c r="C950" t="s">
        <v>54</v>
      </c>
      <c r="D950" t="s">
        <v>47</v>
      </c>
      <c r="E950" t="s">
        <v>26</v>
      </c>
      <c r="F950" t="s">
        <v>27</v>
      </c>
      <c r="G950" t="s">
        <v>28</v>
      </c>
      <c r="H950">
        <v>3</v>
      </c>
      <c r="I950">
        <v>8500</v>
      </c>
      <c r="J950">
        <v>0</v>
      </c>
      <c r="K950">
        <v>25500</v>
      </c>
      <c r="L950">
        <v>4898.03</v>
      </c>
      <c r="M950" t="str">
        <f t="shared" si="126"/>
        <v>Air Purifier</v>
      </c>
      <c r="N950" t="str">
        <f t="shared" si="127"/>
        <v>Bengaluru</v>
      </c>
      <c r="O950" t="str">
        <f t="shared" si="128"/>
        <v>South</v>
      </c>
      <c r="P950" t="str">
        <f t="shared" si="129"/>
        <v>Home Appliances</v>
      </c>
      <c r="Q950" t="str">
        <f t="shared" si="130"/>
        <v>Home Appliances</v>
      </c>
      <c r="R950" t="str">
        <f t="shared" si="131"/>
        <v>South</v>
      </c>
      <c r="S950" t="str">
        <f t="shared" si="132"/>
        <v>Bengaluru</v>
      </c>
      <c r="T950">
        <f t="shared" si="133"/>
        <v>25500</v>
      </c>
      <c r="U950" t="str">
        <f t="shared" si="134"/>
        <v>OK</v>
      </c>
    </row>
    <row r="951" spans="1:21" x14ac:dyDescent="0.3">
      <c r="A951" t="s">
        <v>1188</v>
      </c>
      <c r="B951" s="3">
        <v>45711</v>
      </c>
      <c r="C951" t="s">
        <v>401</v>
      </c>
      <c r="D951" t="s">
        <v>120</v>
      </c>
      <c r="E951" t="s">
        <v>51</v>
      </c>
      <c r="F951" t="s">
        <v>16</v>
      </c>
      <c r="G951" t="s">
        <v>17</v>
      </c>
      <c r="H951">
        <v>3</v>
      </c>
      <c r="I951">
        <v>1367</v>
      </c>
      <c r="J951">
        <v>0.15</v>
      </c>
      <c r="K951">
        <v>3485.85</v>
      </c>
      <c r="L951">
        <v>302.17</v>
      </c>
      <c r="M951" t="str">
        <f t="shared" si="126"/>
        <v>Mouse</v>
      </c>
      <c r="N951" t="str">
        <f t="shared" si="127"/>
        <v>Guwahati</v>
      </c>
      <c r="O951" t="str">
        <f t="shared" si="128"/>
        <v>East</v>
      </c>
      <c r="P951" t="str">
        <f t="shared" si="129"/>
        <v>Electronics</v>
      </c>
      <c r="Q951" t="str">
        <f t="shared" si="130"/>
        <v>Electronics</v>
      </c>
      <c r="R951" t="str">
        <f t="shared" si="131"/>
        <v>East</v>
      </c>
      <c r="S951" t="str">
        <f t="shared" si="132"/>
        <v>Guwahati</v>
      </c>
      <c r="T951">
        <f t="shared" si="133"/>
        <v>3485.85</v>
      </c>
      <c r="U951" t="str">
        <f t="shared" si="134"/>
        <v>OK</v>
      </c>
    </row>
    <row r="952" spans="1:21" x14ac:dyDescent="0.3">
      <c r="A952" t="s">
        <v>1189</v>
      </c>
      <c r="B952" s="3">
        <v>45822</v>
      </c>
      <c r="C952" t="s">
        <v>238</v>
      </c>
      <c r="D952" t="s">
        <v>92</v>
      </c>
      <c r="E952" t="s">
        <v>51</v>
      </c>
      <c r="F952" t="s">
        <v>21</v>
      </c>
      <c r="G952" t="s">
        <v>22</v>
      </c>
      <c r="H952">
        <v>1</v>
      </c>
      <c r="I952">
        <v>20124</v>
      </c>
      <c r="J952">
        <v>0</v>
      </c>
      <c r="K952">
        <v>20124</v>
      </c>
      <c r="L952">
        <v>4184.8900000000003</v>
      </c>
      <c r="M952" t="str">
        <f t="shared" si="126"/>
        <v>Monitor</v>
      </c>
      <c r="N952" t="str">
        <f t="shared" si="127"/>
        <v>Ahmedabad</v>
      </c>
      <c r="O952" t="str">
        <f t="shared" si="128"/>
        <v>West</v>
      </c>
      <c r="P952" t="str">
        <f t="shared" si="129"/>
        <v>Electronics</v>
      </c>
      <c r="Q952" t="str">
        <f t="shared" si="130"/>
        <v>Electronics</v>
      </c>
      <c r="R952" t="str">
        <f t="shared" si="131"/>
        <v>West</v>
      </c>
      <c r="S952" t="str">
        <f t="shared" si="132"/>
        <v>Ahmedabad</v>
      </c>
      <c r="T952">
        <f t="shared" si="133"/>
        <v>20124</v>
      </c>
      <c r="U952" t="str">
        <f t="shared" si="134"/>
        <v>OK</v>
      </c>
    </row>
    <row r="953" spans="1:21" x14ac:dyDescent="0.3">
      <c r="A953" t="s">
        <v>1190</v>
      </c>
      <c r="B953" s="3">
        <v>45697</v>
      </c>
      <c r="C953" t="s">
        <v>403</v>
      </c>
      <c r="D953" t="s">
        <v>153</v>
      </c>
      <c r="E953" t="s">
        <v>26</v>
      </c>
      <c r="F953" t="s">
        <v>58</v>
      </c>
      <c r="G953" t="s">
        <v>69</v>
      </c>
      <c r="H953">
        <v>1</v>
      </c>
      <c r="I953">
        <v>5662</v>
      </c>
      <c r="J953">
        <v>0.1</v>
      </c>
      <c r="K953">
        <v>5095.8</v>
      </c>
      <c r="L953">
        <v>879.22</v>
      </c>
      <c r="M953" t="str">
        <f t="shared" si="126"/>
        <v>Coffee Maker</v>
      </c>
      <c r="N953" t="str">
        <f t="shared" si="127"/>
        <v>Jaipur</v>
      </c>
      <c r="O953" t="str">
        <f t="shared" si="128"/>
        <v>North</v>
      </c>
      <c r="P953" t="str">
        <f t="shared" si="129"/>
        <v>Home Appliances</v>
      </c>
      <c r="Q953" t="str">
        <f t="shared" si="130"/>
        <v>Home Appliances</v>
      </c>
      <c r="R953" t="str">
        <f t="shared" si="131"/>
        <v>North</v>
      </c>
      <c r="S953" t="str">
        <f t="shared" si="132"/>
        <v>Jaipur</v>
      </c>
      <c r="T953">
        <f t="shared" si="133"/>
        <v>5095.8</v>
      </c>
      <c r="U953" t="str">
        <f t="shared" si="134"/>
        <v>OK</v>
      </c>
    </row>
    <row r="954" spans="1:21" x14ac:dyDescent="0.3">
      <c r="A954" t="s">
        <v>1191</v>
      </c>
      <c r="B954" s="3">
        <v>46003</v>
      </c>
      <c r="C954" t="s">
        <v>79</v>
      </c>
      <c r="D954" t="s">
        <v>50</v>
      </c>
      <c r="E954" t="s">
        <v>51</v>
      </c>
      <c r="F954" t="s">
        <v>21</v>
      </c>
      <c r="G954" t="s">
        <v>35</v>
      </c>
      <c r="H954">
        <v>1</v>
      </c>
      <c r="I954">
        <v>3161</v>
      </c>
      <c r="J954">
        <v>0.1</v>
      </c>
      <c r="K954">
        <v>2844.9</v>
      </c>
      <c r="L954">
        <v>521.44000000000005</v>
      </c>
      <c r="M954" t="str">
        <f t="shared" si="126"/>
        <v>Keyboard</v>
      </c>
      <c r="N954" t="str">
        <f t="shared" si="127"/>
        <v>Mumbai</v>
      </c>
      <c r="O954" t="str">
        <f t="shared" si="128"/>
        <v>West</v>
      </c>
      <c r="P954" t="str">
        <f t="shared" si="129"/>
        <v>Electronics</v>
      </c>
      <c r="Q954" t="str">
        <f t="shared" si="130"/>
        <v>Electronics</v>
      </c>
      <c r="R954" t="str">
        <f t="shared" si="131"/>
        <v>West</v>
      </c>
      <c r="S954" t="str">
        <f t="shared" si="132"/>
        <v>Mumbai</v>
      </c>
      <c r="T954">
        <f t="shared" si="133"/>
        <v>2844.9</v>
      </c>
      <c r="U954" t="str">
        <f t="shared" si="134"/>
        <v>OK</v>
      </c>
    </row>
    <row r="955" spans="1:21" x14ac:dyDescent="0.3">
      <c r="A955" t="s">
        <v>1192</v>
      </c>
      <c r="B955" s="3">
        <v>45713</v>
      </c>
      <c r="C955" t="s">
        <v>194</v>
      </c>
      <c r="D955" t="s">
        <v>307</v>
      </c>
      <c r="E955" t="s">
        <v>73</v>
      </c>
      <c r="F955" t="s">
        <v>21</v>
      </c>
      <c r="G955" t="s">
        <v>35</v>
      </c>
      <c r="H955">
        <v>3</v>
      </c>
      <c r="I955">
        <v>191</v>
      </c>
      <c r="J955">
        <v>0.05</v>
      </c>
      <c r="K955">
        <v>544.35</v>
      </c>
      <c r="L955">
        <v>108.81</v>
      </c>
      <c r="M955" t="str">
        <f t="shared" si="126"/>
        <v>Notebook</v>
      </c>
      <c r="N955" t="str">
        <f t="shared" si="127"/>
        <v>Mumbai</v>
      </c>
      <c r="O955" t="str">
        <f t="shared" si="128"/>
        <v>West</v>
      </c>
      <c r="P955" t="str">
        <f t="shared" si="129"/>
        <v>Office Supplies</v>
      </c>
      <c r="Q955" t="str">
        <f t="shared" si="130"/>
        <v>Office Supplies</v>
      </c>
      <c r="R955" t="str">
        <f t="shared" si="131"/>
        <v>West</v>
      </c>
      <c r="S955" t="str">
        <f t="shared" si="132"/>
        <v>Mumbai</v>
      </c>
      <c r="T955">
        <f t="shared" si="133"/>
        <v>544.35</v>
      </c>
      <c r="U955" t="str">
        <f t="shared" si="134"/>
        <v>OK</v>
      </c>
    </row>
    <row r="956" spans="1:21" x14ac:dyDescent="0.3">
      <c r="A956" t="s">
        <v>1193</v>
      </c>
      <c r="B956" s="3">
        <v>45906</v>
      </c>
      <c r="C956" t="s">
        <v>278</v>
      </c>
      <c r="D956" t="s">
        <v>103</v>
      </c>
      <c r="E956" t="s">
        <v>51</v>
      </c>
      <c r="F956" t="s">
        <v>27</v>
      </c>
      <c r="G956" t="s">
        <v>40</v>
      </c>
      <c r="H956">
        <v>2</v>
      </c>
      <c r="I956">
        <v>7560</v>
      </c>
      <c r="J956">
        <v>0.2</v>
      </c>
      <c r="K956">
        <v>12096</v>
      </c>
      <c r="L956">
        <v>2224.21</v>
      </c>
      <c r="M956" t="str">
        <f t="shared" si="126"/>
        <v>Headphones</v>
      </c>
      <c r="N956" t="str">
        <f t="shared" si="127"/>
        <v>Chennai</v>
      </c>
      <c r="O956" t="str">
        <f t="shared" si="128"/>
        <v>South</v>
      </c>
      <c r="P956" t="str">
        <f t="shared" si="129"/>
        <v>Electronics</v>
      </c>
      <c r="Q956" t="str">
        <f t="shared" si="130"/>
        <v>Electronics</v>
      </c>
      <c r="R956" t="str">
        <f t="shared" si="131"/>
        <v>South</v>
      </c>
      <c r="S956" t="str">
        <f t="shared" si="132"/>
        <v>Chennai</v>
      </c>
      <c r="T956">
        <f t="shared" si="133"/>
        <v>12096</v>
      </c>
      <c r="U956" t="str">
        <f t="shared" si="134"/>
        <v>OK</v>
      </c>
    </row>
    <row r="957" spans="1:21" x14ac:dyDescent="0.3">
      <c r="A957" t="s">
        <v>1194</v>
      </c>
      <c r="B957" s="3">
        <v>45675</v>
      </c>
      <c r="C957" t="s">
        <v>100</v>
      </c>
      <c r="D957" t="s">
        <v>307</v>
      </c>
      <c r="E957" t="s">
        <v>73</v>
      </c>
      <c r="F957" t="s">
        <v>58</v>
      </c>
      <c r="G957" t="s">
        <v>126</v>
      </c>
      <c r="H957">
        <v>4</v>
      </c>
      <c r="I957">
        <v>153</v>
      </c>
      <c r="J957">
        <v>0.1</v>
      </c>
      <c r="K957">
        <v>550.79999999999995</v>
      </c>
      <c r="L957">
        <v>53.73</v>
      </c>
      <c r="M957" t="str">
        <f t="shared" si="126"/>
        <v>Notebook</v>
      </c>
      <c r="N957" t="str">
        <f t="shared" si="127"/>
        <v>Delhi</v>
      </c>
      <c r="O957" t="str">
        <f t="shared" si="128"/>
        <v>North</v>
      </c>
      <c r="P957" t="str">
        <f t="shared" si="129"/>
        <v>Office Supplies</v>
      </c>
      <c r="Q957" t="str">
        <f t="shared" si="130"/>
        <v>Office Supplies</v>
      </c>
      <c r="R957" t="str">
        <f t="shared" si="131"/>
        <v>North</v>
      </c>
      <c r="S957" t="str">
        <f t="shared" si="132"/>
        <v>Delhi</v>
      </c>
      <c r="T957">
        <f t="shared" si="133"/>
        <v>550.80000000000007</v>
      </c>
      <c r="U957" t="str">
        <f t="shared" si="134"/>
        <v>OK</v>
      </c>
    </row>
    <row r="958" spans="1:21" x14ac:dyDescent="0.3">
      <c r="A958" t="s">
        <v>1195</v>
      </c>
      <c r="B958" s="3">
        <v>45674</v>
      </c>
      <c r="C958" t="s">
        <v>535</v>
      </c>
      <c r="D958" t="s">
        <v>97</v>
      </c>
      <c r="E958" t="s">
        <v>44</v>
      </c>
      <c r="F958" t="s">
        <v>58</v>
      </c>
      <c r="G958" t="s">
        <v>59</v>
      </c>
      <c r="H958">
        <v>2</v>
      </c>
      <c r="I958">
        <v>999</v>
      </c>
      <c r="J958">
        <v>0.15</v>
      </c>
      <c r="K958">
        <v>1698.3</v>
      </c>
      <c r="L958">
        <v>355.97</v>
      </c>
      <c r="M958" t="str">
        <f t="shared" si="126"/>
        <v>USB Cable</v>
      </c>
      <c r="N958" t="str">
        <f t="shared" si="127"/>
        <v>Chandigarh</v>
      </c>
      <c r="O958" t="str">
        <f t="shared" si="128"/>
        <v>North</v>
      </c>
      <c r="P958" t="str">
        <f t="shared" si="129"/>
        <v>Accessories</v>
      </c>
      <c r="Q958" t="str">
        <f t="shared" si="130"/>
        <v>Accessories</v>
      </c>
      <c r="R958" t="str">
        <f t="shared" si="131"/>
        <v>North</v>
      </c>
      <c r="S958" t="str">
        <f t="shared" si="132"/>
        <v>Chandigarh</v>
      </c>
      <c r="T958">
        <f t="shared" si="133"/>
        <v>1698.3</v>
      </c>
      <c r="U958" t="str">
        <f t="shared" si="134"/>
        <v>OK</v>
      </c>
    </row>
    <row r="959" spans="1:21" x14ac:dyDescent="0.3">
      <c r="A959" t="s">
        <v>1196</v>
      </c>
      <c r="B959" s="3">
        <v>45942</v>
      </c>
      <c r="C959" t="s">
        <v>719</v>
      </c>
      <c r="D959" t="s">
        <v>47</v>
      </c>
      <c r="E959" t="s">
        <v>26</v>
      </c>
      <c r="F959" t="s">
        <v>27</v>
      </c>
      <c r="G959" t="s">
        <v>28</v>
      </c>
      <c r="H959">
        <v>1</v>
      </c>
      <c r="I959">
        <v>12013</v>
      </c>
      <c r="J959">
        <v>0</v>
      </c>
      <c r="K959">
        <v>12013</v>
      </c>
      <c r="L959">
        <v>1780.44</v>
      </c>
      <c r="M959" t="str">
        <f t="shared" si="126"/>
        <v>Air Purifier</v>
      </c>
      <c r="N959" t="str">
        <f t="shared" si="127"/>
        <v>Bengaluru</v>
      </c>
      <c r="O959" t="str">
        <f t="shared" si="128"/>
        <v>South</v>
      </c>
      <c r="P959" t="str">
        <f t="shared" si="129"/>
        <v>Home Appliances</v>
      </c>
      <c r="Q959" t="str">
        <f t="shared" si="130"/>
        <v>Home Appliances</v>
      </c>
      <c r="R959" t="str">
        <f t="shared" si="131"/>
        <v>South</v>
      </c>
      <c r="S959" t="str">
        <f t="shared" si="132"/>
        <v>Bengaluru</v>
      </c>
      <c r="T959">
        <f t="shared" si="133"/>
        <v>12013</v>
      </c>
      <c r="U959" t="str">
        <f t="shared" si="134"/>
        <v>OK</v>
      </c>
    </row>
    <row r="960" spans="1:21" x14ac:dyDescent="0.3">
      <c r="A960" t="s">
        <v>1197</v>
      </c>
      <c r="B960" s="3">
        <v>45723</v>
      </c>
      <c r="C960" t="s">
        <v>191</v>
      </c>
      <c r="D960" t="s">
        <v>83</v>
      </c>
      <c r="E960" t="s">
        <v>73</v>
      </c>
      <c r="F960" t="s">
        <v>58</v>
      </c>
      <c r="G960" t="s">
        <v>69</v>
      </c>
      <c r="H960">
        <v>2</v>
      </c>
      <c r="I960">
        <v>437</v>
      </c>
      <c r="J960">
        <v>0.1</v>
      </c>
      <c r="K960">
        <v>786.6</v>
      </c>
      <c r="L960">
        <v>108.05</v>
      </c>
      <c r="M960" t="str">
        <f t="shared" si="126"/>
        <v>Printer Paper</v>
      </c>
      <c r="N960" t="str">
        <f t="shared" si="127"/>
        <v>Jaipur</v>
      </c>
      <c r="O960" t="str">
        <f t="shared" si="128"/>
        <v>North</v>
      </c>
      <c r="P960" t="str">
        <f t="shared" si="129"/>
        <v>Office Supplies</v>
      </c>
      <c r="Q960" t="str">
        <f t="shared" si="130"/>
        <v>Office Supplies</v>
      </c>
      <c r="R960" t="str">
        <f t="shared" si="131"/>
        <v>North</v>
      </c>
      <c r="S960" t="str">
        <f t="shared" si="132"/>
        <v>Jaipur</v>
      </c>
      <c r="T960">
        <f t="shared" si="133"/>
        <v>786.6</v>
      </c>
      <c r="U960" t="str">
        <f t="shared" si="134"/>
        <v>OK</v>
      </c>
    </row>
    <row r="961" spans="1:21" x14ac:dyDescent="0.3">
      <c r="A961" t="s">
        <v>1198</v>
      </c>
      <c r="B961" s="3">
        <v>45910</v>
      </c>
      <c r="C961" t="s">
        <v>71</v>
      </c>
      <c r="D961" t="s">
        <v>153</v>
      </c>
      <c r="E961" t="s">
        <v>26</v>
      </c>
      <c r="F961" t="s">
        <v>27</v>
      </c>
      <c r="G961" t="s">
        <v>40</v>
      </c>
      <c r="H961">
        <v>2</v>
      </c>
      <c r="I961">
        <v>5440</v>
      </c>
      <c r="J961">
        <v>0.05</v>
      </c>
      <c r="K961">
        <v>10336</v>
      </c>
      <c r="L961">
        <v>2800.31</v>
      </c>
      <c r="M961" t="str">
        <f t="shared" si="126"/>
        <v>Coffee Maker</v>
      </c>
      <c r="N961" t="str">
        <f t="shared" si="127"/>
        <v>Chennai</v>
      </c>
      <c r="O961" t="str">
        <f t="shared" si="128"/>
        <v>South</v>
      </c>
      <c r="P961" t="str">
        <f t="shared" si="129"/>
        <v>Home Appliances</v>
      </c>
      <c r="Q961" t="str">
        <f t="shared" si="130"/>
        <v>Home Appliances</v>
      </c>
      <c r="R961" t="str">
        <f t="shared" si="131"/>
        <v>South</v>
      </c>
      <c r="S961" t="str">
        <f t="shared" si="132"/>
        <v>Chennai</v>
      </c>
      <c r="T961">
        <f t="shared" si="133"/>
        <v>10336</v>
      </c>
      <c r="U961" t="str">
        <f t="shared" si="134"/>
        <v>OK</v>
      </c>
    </row>
    <row r="962" spans="1:21" x14ac:dyDescent="0.3">
      <c r="A962" t="s">
        <v>1199</v>
      </c>
      <c r="B962" s="3">
        <v>45970</v>
      </c>
      <c r="C962" t="s">
        <v>516</v>
      </c>
      <c r="D962" t="s">
        <v>97</v>
      </c>
      <c r="E962" t="s">
        <v>44</v>
      </c>
      <c r="F962" t="s">
        <v>16</v>
      </c>
      <c r="G962" t="s">
        <v>104</v>
      </c>
      <c r="H962">
        <v>1</v>
      </c>
      <c r="I962">
        <v>500</v>
      </c>
      <c r="J962">
        <v>0</v>
      </c>
      <c r="K962">
        <v>500</v>
      </c>
      <c r="L962">
        <v>52.31</v>
      </c>
      <c r="M962" t="str">
        <f t="shared" si="126"/>
        <v>USB Cable</v>
      </c>
      <c r="N962" t="str">
        <f t="shared" si="127"/>
        <v>Bhubaneswar</v>
      </c>
      <c r="O962" t="str">
        <f t="shared" si="128"/>
        <v>East</v>
      </c>
      <c r="P962" t="str">
        <f t="shared" si="129"/>
        <v>Accessories</v>
      </c>
      <c r="Q962" t="str">
        <f t="shared" si="130"/>
        <v>Accessories</v>
      </c>
      <c r="R962" t="str">
        <f t="shared" si="131"/>
        <v>East</v>
      </c>
      <c r="S962" t="str">
        <f t="shared" si="132"/>
        <v>Bhubaneswar</v>
      </c>
      <c r="T962">
        <f t="shared" si="133"/>
        <v>500</v>
      </c>
      <c r="U962" t="str">
        <f t="shared" si="134"/>
        <v>OK</v>
      </c>
    </row>
    <row r="963" spans="1:21" x14ac:dyDescent="0.3">
      <c r="A963" t="s">
        <v>1200</v>
      </c>
      <c r="B963" s="3">
        <v>46014</v>
      </c>
      <c r="C963" t="s">
        <v>215</v>
      </c>
      <c r="D963" t="s">
        <v>88</v>
      </c>
      <c r="E963" t="s">
        <v>73</v>
      </c>
      <c r="F963" t="s">
        <v>21</v>
      </c>
      <c r="G963" t="s">
        <v>35</v>
      </c>
      <c r="H963">
        <v>5</v>
      </c>
      <c r="I963">
        <v>224</v>
      </c>
      <c r="J963">
        <v>0.1</v>
      </c>
      <c r="K963">
        <v>1008</v>
      </c>
      <c r="L963">
        <v>250.87</v>
      </c>
      <c r="M963" t="str">
        <f t="shared" ref="M963:M1026" si="135">TRIM(D963)</f>
        <v>Stapler</v>
      </c>
      <c r="N963" t="str">
        <f t="shared" ref="N963:N1026" si="136">TRIM(G963)</f>
        <v>Mumbai</v>
      </c>
      <c r="O963" t="str">
        <f t="shared" ref="O963:O1026" si="137">TRIM(F:F)</f>
        <v>West</v>
      </c>
      <c r="P963" t="str">
        <f t="shared" ref="P963:P1026" si="138">TRIM(E963)</f>
        <v>Office Supplies</v>
      </c>
      <c r="Q963" t="str">
        <f t="shared" ref="Q963:Q1026" si="139">PROPER(E963)</f>
        <v>Office Supplies</v>
      </c>
      <c r="R963" t="str">
        <f t="shared" ref="R963:R1026" si="140">PROPER(F963)</f>
        <v>West</v>
      </c>
      <c r="S963" t="str">
        <f t="shared" ref="S963:S1026" si="141">PROPER(G963)</f>
        <v>Mumbai</v>
      </c>
      <c r="T963">
        <f t="shared" ref="T963:T1026" si="142">H963*I963*(1-J963)</f>
        <v>1008</v>
      </c>
      <c r="U963" t="str">
        <f t="shared" ref="U963:U1026" si="143">IF(ROUND(K963,2)=ROUND(T963,2),"OK","CHECK")</f>
        <v>OK</v>
      </c>
    </row>
    <row r="964" spans="1:21" x14ac:dyDescent="0.3">
      <c r="A964" t="s">
        <v>1201</v>
      </c>
      <c r="B964" s="3">
        <v>45882</v>
      </c>
      <c r="C964" t="s">
        <v>147</v>
      </c>
      <c r="D964" t="s">
        <v>80</v>
      </c>
      <c r="E964" t="s">
        <v>51</v>
      </c>
      <c r="F964" t="s">
        <v>16</v>
      </c>
      <c r="G964" t="s">
        <v>104</v>
      </c>
      <c r="H964">
        <v>2</v>
      </c>
      <c r="I964">
        <v>59500</v>
      </c>
      <c r="J964">
        <v>0.1</v>
      </c>
      <c r="K964">
        <v>107100</v>
      </c>
      <c r="L964">
        <v>21942.06</v>
      </c>
      <c r="M964" t="str">
        <f t="shared" si="135"/>
        <v>Laptop</v>
      </c>
      <c r="N964" t="str">
        <f t="shared" si="136"/>
        <v>Bhubaneswar</v>
      </c>
      <c r="O964" t="str">
        <f t="shared" si="137"/>
        <v>East</v>
      </c>
      <c r="P964" t="str">
        <f t="shared" si="138"/>
        <v>Electronics</v>
      </c>
      <c r="Q964" t="str">
        <f t="shared" si="139"/>
        <v>Electronics</v>
      </c>
      <c r="R964" t="str">
        <f t="shared" si="140"/>
        <v>East</v>
      </c>
      <c r="S964" t="str">
        <f t="shared" si="141"/>
        <v>Bhubaneswar</v>
      </c>
      <c r="T964">
        <f t="shared" si="142"/>
        <v>107100</v>
      </c>
      <c r="U964" t="str">
        <f t="shared" si="143"/>
        <v>OK</v>
      </c>
    </row>
    <row r="965" spans="1:21" x14ac:dyDescent="0.3">
      <c r="A965" t="s">
        <v>1202</v>
      </c>
      <c r="B965" s="3">
        <v>45883</v>
      </c>
      <c r="C965" t="s">
        <v>136</v>
      </c>
      <c r="D965" t="s">
        <v>202</v>
      </c>
      <c r="E965" t="s">
        <v>44</v>
      </c>
      <c r="F965" t="s">
        <v>16</v>
      </c>
      <c r="G965" t="s">
        <v>104</v>
      </c>
      <c r="H965">
        <v>1</v>
      </c>
      <c r="I965">
        <v>2792</v>
      </c>
      <c r="J965">
        <v>0.05</v>
      </c>
      <c r="K965">
        <v>2652.4</v>
      </c>
      <c r="L965">
        <v>666.67</v>
      </c>
      <c r="M965" t="str">
        <f t="shared" si="135"/>
        <v>Laptop Stand</v>
      </c>
      <c r="N965" t="str">
        <f t="shared" si="136"/>
        <v>Bhubaneswar</v>
      </c>
      <c r="O965" t="str">
        <f t="shared" si="137"/>
        <v>East</v>
      </c>
      <c r="P965" t="str">
        <f t="shared" si="138"/>
        <v>Accessories</v>
      </c>
      <c r="Q965" t="str">
        <f t="shared" si="139"/>
        <v>Accessories</v>
      </c>
      <c r="R965" t="str">
        <f t="shared" si="140"/>
        <v>East</v>
      </c>
      <c r="S965" t="str">
        <f t="shared" si="141"/>
        <v>Bhubaneswar</v>
      </c>
      <c r="T965">
        <f t="shared" si="142"/>
        <v>2652.4</v>
      </c>
      <c r="U965" t="str">
        <f t="shared" si="143"/>
        <v>OK</v>
      </c>
    </row>
    <row r="966" spans="1:21" x14ac:dyDescent="0.3">
      <c r="A966" t="s">
        <v>1203</v>
      </c>
      <c r="B966" s="3">
        <v>45817</v>
      </c>
      <c r="C966" t="s">
        <v>305</v>
      </c>
      <c r="D966" t="s">
        <v>120</v>
      </c>
      <c r="E966" t="s">
        <v>51</v>
      </c>
      <c r="F966" t="s">
        <v>58</v>
      </c>
      <c r="G966" t="s">
        <v>126</v>
      </c>
      <c r="H966">
        <v>1</v>
      </c>
      <c r="I966">
        <v>1865</v>
      </c>
      <c r="J966">
        <v>0</v>
      </c>
      <c r="K966">
        <v>1865</v>
      </c>
      <c r="L966">
        <v>346.23</v>
      </c>
      <c r="M966" t="str">
        <f t="shared" si="135"/>
        <v>Mouse</v>
      </c>
      <c r="N966" t="str">
        <f t="shared" si="136"/>
        <v>Delhi</v>
      </c>
      <c r="O966" t="str">
        <f t="shared" si="137"/>
        <v>North</v>
      </c>
      <c r="P966" t="str">
        <f t="shared" si="138"/>
        <v>Electronics</v>
      </c>
      <c r="Q966" t="str">
        <f t="shared" si="139"/>
        <v>Electronics</v>
      </c>
      <c r="R966" t="str">
        <f t="shared" si="140"/>
        <v>North</v>
      </c>
      <c r="S966" t="str">
        <f t="shared" si="141"/>
        <v>Delhi</v>
      </c>
      <c r="T966">
        <f t="shared" si="142"/>
        <v>1865</v>
      </c>
      <c r="U966" t="str">
        <f t="shared" si="143"/>
        <v>OK</v>
      </c>
    </row>
    <row r="967" spans="1:21" x14ac:dyDescent="0.3">
      <c r="A967" t="s">
        <v>1204</v>
      </c>
      <c r="B967" s="3">
        <v>45977</v>
      </c>
      <c r="C967" t="s">
        <v>382</v>
      </c>
      <c r="D967" t="s">
        <v>14</v>
      </c>
      <c r="E967" t="s">
        <v>15</v>
      </c>
      <c r="F967" t="s">
        <v>27</v>
      </c>
      <c r="G967" t="s">
        <v>40</v>
      </c>
      <c r="H967">
        <v>1</v>
      </c>
      <c r="I967">
        <v>16429</v>
      </c>
      <c r="J967">
        <v>0.1</v>
      </c>
      <c r="K967">
        <v>14786.1</v>
      </c>
      <c r="L967">
        <v>2482.61</v>
      </c>
      <c r="M967" t="str">
        <f t="shared" si="135"/>
        <v>Office Chair</v>
      </c>
      <c r="N967" t="str">
        <f t="shared" si="136"/>
        <v>Chennai</v>
      </c>
      <c r="O967" t="str">
        <f t="shared" si="137"/>
        <v>South</v>
      </c>
      <c r="P967" t="str">
        <f t="shared" si="138"/>
        <v>Furniture</v>
      </c>
      <c r="Q967" t="str">
        <f t="shared" si="139"/>
        <v>Furniture</v>
      </c>
      <c r="R967" t="str">
        <f t="shared" si="140"/>
        <v>South</v>
      </c>
      <c r="S967" t="str">
        <f t="shared" si="141"/>
        <v>Chennai</v>
      </c>
      <c r="T967">
        <f t="shared" si="142"/>
        <v>14786.1</v>
      </c>
      <c r="U967" t="str">
        <f t="shared" si="143"/>
        <v>OK</v>
      </c>
    </row>
    <row r="968" spans="1:21" x14ac:dyDescent="0.3">
      <c r="A968" t="s">
        <v>1205</v>
      </c>
      <c r="B968" s="3">
        <v>45801</v>
      </c>
      <c r="C968" t="s">
        <v>113</v>
      </c>
      <c r="D968" t="s">
        <v>103</v>
      </c>
      <c r="E968" t="s">
        <v>51</v>
      </c>
      <c r="F968" t="s">
        <v>21</v>
      </c>
      <c r="G968" t="s">
        <v>22</v>
      </c>
      <c r="H968">
        <v>1</v>
      </c>
      <c r="I968">
        <v>8320</v>
      </c>
      <c r="J968">
        <v>0</v>
      </c>
      <c r="K968">
        <v>8320</v>
      </c>
      <c r="L968">
        <v>1740.14</v>
      </c>
      <c r="M968" t="str">
        <f t="shared" si="135"/>
        <v>Headphones</v>
      </c>
      <c r="N968" t="str">
        <f t="shared" si="136"/>
        <v>Ahmedabad</v>
      </c>
      <c r="O968" t="str">
        <f t="shared" si="137"/>
        <v>West</v>
      </c>
      <c r="P968" t="str">
        <f t="shared" si="138"/>
        <v>Electronics</v>
      </c>
      <c r="Q968" t="str">
        <f t="shared" si="139"/>
        <v>Electronics</v>
      </c>
      <c r="R968" t="str">
        <f t="shared" si="140"/>
        <v>West</v>
      </c>
      <c r="S968" t="str">
        <f t="shared" si="141"/>
        <v>Ahmedabad</v>
      </c>
      <c r="T968">
        <f t="shared" si="142"/>
        <v>8320</v>
      </c>
      <c r="U968" t="str">
        <f t="shared" si="143"/>
        <v>OK</v>
      </c>
    </row>
    <row r="969" spans="1:21" x14ac:dyDescent="0.3">
      <c r="A969" t="s">
        <v>1206</v>
      </c>
      <c r="B969" s="3">
        <v>45822</v>
      </c>
      <c r="C969" t="s">
        <v>187</v>
      </c>
      <c r="D969" t="s">
        <v>72</v>
      </c>
      <c r="E969" t="s">
        <v>73</v>
      </c>
      <c r="F969" t="s">
        <v>16</v>
      </c>
      <c r="G969" t="s">
        <v>17</v>
      </c>
      <c r="H969">
        <v>2</v>
      </c>
      <c r="I969">
        <v>640</v>
      </c>
      <c r="J969">
        <v>0.05</v>
      </c>
      <c r="K969">
        <v>1216</v>
      </c>
      <c r="L969">
        <v>130.44999999999999</v>
      </c>
      <c r="M969" t="str">
        <f t="shared" si="135"/>
        <v>Desk Organizer</v>
      </c>
      <c r="N969" t="str">
        <f t="shared" si="136"/>
        <v>Guwahati</v>
      </c>
      <c r="O969" t="str">
        <f t="shared" si="137"/>
        <v>East</v>
      </c>
      <c r="P969" t="str">
        <f t="shared" si="138"/>
        <v>Office Supplies</v>
      </c>
      <c r="Q969" t="str">
        <f t="shared" si="139"/>
        <v>Office Supplies</v>
      </c>
      <c r="R969" t="str">
        <f t="shared" si="140"/>
        <v>East</v>
      </c>
      <c r="S969" t="str">
        <f t="shared" si="141"/>
        <v>Guwahati</v>
      </c>
      <c r="T969">
        <f t="shared" si="142"/>
        <v>1216</v>
      </c>
      <c r="U969" t="str">
        <f t="shared" si="143"/>
        <v>OK</v>
      </c>
    </row>
    <row r="970" spans="1:21" x14ac:dyDescent="0.3">
      <c r="A970" t="s">
        <v>1207</v>
      </c>
      <c r="B970" s="3">
        <v>45841</v>
      </c>
      <c r="C970" t="s">
        <v>705</v>
      </c>
      <c r="D970" t="s">
        <v>30</v>
      </c>
      <c r="E970" t="s">
        <v>15</v>
      </c>
      <c r="F970" t="s">
        <v>21</v>
      </c>
      <c r="G970" t="s">
        <v>55</v>
      </c>
      <c r="H970">
        <v>2</v>
      </c>
      <c r="I970">
        <v>7506</v>
      </c>
      <c r="J970">
        <v>0.25</v>
      </c>
      <c r="K970">
        <v>11259</v>
      </c>
      <c r="L970">
        <v>1336.93</v>
      </c>
      <c r="M970" t="str">
        <f t="shared" si="135"/>
        <v>Bookshelf</v>
      </c>
      <c r="N970" t="str">
        <f t="shared" si="136"/>
        <v>Pune</v>
      </c>
      <c r="O970" t="str">
        <f t="shared" si="137"/>
        <v>West</v>
      </c>
      <c r="P970" t="str">
        <f t="shared" si="138"/>
        <v>Furniture</v>
      </c>
      <c r="Q970" t="str">
        <f t="shared" si="139"/>
        <v>Furniture</v>
      </c>
      <c r="R970" t="str">
        <f t="shared" si="140"/>
        <v>West</v>
      </c>
      <c r="S970" t="str">
        <f t="shared" si="141"/>
        <v>Pune</v>
      </c>
      <c r="T970">
        <f t="shared" si="142"/>
        <v>11259</v>
      </c>
      <c r="U970" t="str">
        <f t="shared" si="143"/>
        <v>OK</v>
      </c>
    </row>
    <row r="971" spans="1:21" x14ac:dyDescent="0.3">
      <c r="A971" t="s">
        <v>1208</v>
      </c>
      <c r="B971" s="3">
        <v>45921</v>
      </c>
      <c r="C971" t="s">
        <v>170</v>
      </c>
      <c r="D971" t="s">
        <v>97</v>
      </c>
      <c r="E971" t="s">
        <v>44</v>
      </c>
      <c r="F971" t="s">
        <v>16</v>
      </c>
      <c r="G971" t="s">
        <v>104</v>
      </c>
      <c r="H971">
        <v>3</v>
      </c>
      <c r="I971">
        <v>962</v>
      </c>
      <c r="J971">
        <v>0.05</v>
      </c>
      <c r="K971">
        <v>2741.7</v>
      </c>
      <c r="L971">
        <v>554.29999999999995</v>
      </c>
      <c r="M971" t="str">
        <f t="shared" si="135"/>
        <v>USB Cable</v>
      </c>
      <c r="N971" t="str">
        <f t="shared" si="136"/>
        <v>Bhubaneswar</v>
      </c>
      <c r="O971" t="str">
        <f t="shared" si="137"/>
        <v>East</v>
      </c>
      <c r="P971" t="str">
        <f t="shared" si="138"/>
        <v>Accessories</v>
      </c>
      <c r="Q971" t="str">
        <f t="shared" si="139"/>
        <v>Accessories</v>
      </c>
      <c r="R971" t="str">
        <f t="shared" si="140"/>
        <v>East</v>
      </c>
      <c r="S971" t="str">
        <f t="shared" si="141"/>
        <v>Bhubaneswar</v>
      </c>
      <c r="T971">
        <f t="shared" si="142"/>
        <v>2741.7</v>
      </c>
      <c r="U971" t="str">
        <f t="shared" si="143"/>
        <v>OK</v>
      </c>
    </row>
    <row r="972" spans="1:21" x14ac:dyDescent="0.3">
      <c r="A972" t="s">
        <v>1209</v>
      </c>
      <c r="B972" s="3">
        <v>45901</v>
      </c>
      <c r="C972" t="s">
        <v>436</v>
      </c>
      <c r="D972" t="s">
        <v>120</v>
      </c>
      <c r="E972" t="s">
        <v>51</v>
      </c>
      <c r="F972" t="s">
        <v>27</v>
      </c>
      <c r="G972" t="s">
        <v>28</v>
      </c>
      <c r="H972">
        <v>1</v>
      </c>
      <c r="I972">
        <v>1744</v>
      </c>
      <c r="J972">
        <v>0</v>
      </c>
      <c r="K972">
        <v>1744</v>
      </c>
      <c r="L972">
        <v>318.31</v>
      </c>
      <c r="M972" t="str">
        <f t="shared" si="135"/>
        <v>Mouse</v>
      </c>
      <c r="N972" t="str">
        <f t="shared" si="136"/>
        <v>Bengaluru</v>
      </c>
      <c r="O972" t="str">
        <f t="shared" si="137"/>
        <v>South</v>
      </c>
      <c r="P972" t="str">
        <f t="shared" si="138"/>
        <v>Electronics</v>
      </c>
      <c r="Q972" t="str">
        <f t="shared" si="139"/>
        <v>Electronics</v>
      </c>
      <c r="R972" t="str">
        <f t="shared" si="140"/>
        <v>South</v>
      </c>
      <c r="S972" t="str">
        <f t="shared" si="141"/>
        <v>Bengaluru</v>
      </c>
      <c r="T972">
        <f t="shared" si="142"/>
        <v>1744</v>
      </c>
      <c r="U972" t="str">
        <f t="shared" si="143"/>
        <v>OK</v>
      </c>
    </row>
    <row r="973" spans="1:21" x14ac:dyDescent="0.3">
      <c r="A973" t="s">
        <v>1210</v>
      </c>
      <c r="B973" s="3">
        <v>45764</v>
      </c>
      <c r="C973" t="s">
        <v>421</v>
      </c>
      <c r="D973" t="s">
        <v>153</v>
      </c>
      <c r="E973" t="s">
        <v>26</v>
      </c>
      <c r="F973" t="s">
        <v>21</v>
      </c>
      <c r="G973" t="s">
        <v>22</v>
      </c>
      <c r="H973">
        <v>4</v>
      </c>
      <c r="I973">
        <v>6114</v>
      </c>
      <c r="J973">
        <v>0.1</v>
      </c>
      <c r="K973">
        <v>22010.400000000001</v>
      </c>
      <c r="L973">
        <v>5394.88</v>
      </c>
      <c r="M973" t="str">
        <f t="shared" si="135"/>
        <v>Coffee Maker</v>
      </c>
      <c r="N973" t="str">
        <f t="shared" si="136"/>
        <v>Ahmedabad</v>
      </c>
      <c r="O973" t="str">
        <f t="shared" si="137"/>
        <v>West</v>
      </c>
      <c r="P973" t="str">
        <f t="shared" si="138"/>
        <v>Home Appliances</v>
      </c>
      <c r="Q973" t="str">
        <f t="shared" si="139"/>
        <v>Home Appliances</v>
      </c>
      <c r="R973" t="str">
        <f t="shared" si="140"/>
        <v>West</v>
      </c>
      <c r="S973" t="str">
        <f t="shared" si="141"/>
        <v>Ahmedabad</v>
      </c>
      <c r="T973">
        <f t="shared" si="142"/>
        <v>22010.400000000001</v>
      </c>
      <c r="U973" t="str">
        <f t="shared" si="143"/>
        <v>OK</v>
      </c>
    </row>
    <row r="974" spans="1:21" x14ac:dyDescent="0.3">
      <c r="A974" t="s">
        <v>1211</v>
      </c>
      <c r="B974" s="3">
        <v>45692</v>
      </c>
      <c r="C974" t="s">
        <v>61</v>
      </c>
      <c r="D974" t="s">
        <v>72</v>
      </c>
      <c r="E974" t="s">
        <v>73</v>
      </c>
      <c r="F974" t="s">
        <v>58</v>
      </c>
      <c r="G974" t="s">
        <v>69</v>
      </c>
      <c r="H974">
        <v>3</v>
      </c>
      <c r="I974">
        <v>921</v>
      </c>
      <c r="J974">
        <v>0.1</v>
      </c>
      <c r="K974">
        <v>2486.6999999999998</v>
      </c>
      <c r="L974">
        <v>327.10000000000002</v>
      </c>
      <c r="M974" t="str">
        <f t="shared" si="135"/>
        <v>Desk Organizer</v>
      </c>
      <c r="N974" t="str">
        <f t="shared" si="136"/>
        <v>Jaipur</v>
      </c>
      <c r="O974" t="str">
        <f t="shared" si="137"/>
        <v>North</v>
      </c>
      <c r="P974" t="str">
        <f t="shared" si="138"/>
        <v>Office Supplies</v>
      </c>
      <c r="Q974" t="str">
        <f t="shared" si="139"/>
        <v>Office Supplies</v>
      </c>
      <c r="R974" t="str">
        <f t="shared" si="140"/>
        <v>North</v>
      </c>
      <c r="S974" t="str">
        <f t="shared" si="141"/>
        <v>Jaipur</v>
      </c>
      <c r="T974">
        <f t="shared" si="142"/>
        <v>2486.7000000000003</v>
      </c>
      <c r="U974" t="str">
        <f t="shared" si="143"/>
        <v>OK</v>
      </c>
    </row>
    <row r="975" spans="1:21" x14ac:dyDescent="0.3">
      <c r="A975" t="s">
        <v>1212</v>
      </c>
      <c r="B975" s="3">
        <v>45712</v>
      </c>
      <c r="C975" t="s">
        <v>156</v>
      </c>
      <c r="D975" t="s">
        <v>14</v>
      </c>
      <c r="E975" t="s">
        <v>15</v>
      </c>
      <c r="F975" t="s">
        <v>16</v>
      </c>
      <c r="G975" t="s">
        <v>17</v>
      </c>
      <c r="H975">
        <v>3</v>
      </c>
      <c r="I975">
        <v>11744</v>
      </c>
      <c r="J975">
        <v>0</v>
      </c>
      <c r="K975">
        <v>35232</v>
      </c>
      <c r="L975">
        <v>4999.84</v>
      </c>
      <c r="M975" t="str">
        <f t="shared" si="135"/>
        <v>Office Chair</v>
      </c>
      <c r="N975" t="str">
        <f t="shared" si="136"/>
        <v>Guwahati</v>
      </c>
      <c r="O975" t="str">
        <f t="shared" si="137"/>
        <v>East</v>
      </c>
      <c r="P975" t="str">
        <f t="shared" si="138"/>
        <v>Furniture</v>
      </c>
      <c r="Q975" t="str">
        <f t="shared" si="139"/>
        <v>Furniture</v>
      </c>
      <c r="R975" t="str">
        <f t="shared" si="140"/>
        <v>East</v>
      </c>
      <c r="S975" t="str">
        <f t="shared" si="141"/>
        <v>Guwahati</v>
      </c>
      <c r="T975">
        <f t="shared" si="142"/>
        <v>35232</v>
      </c>
      <c r="U975" t="str">
        <f t="shared" si="143"/>
        <v>OK</v>
      </c>
    </row>
    <row r="976" spans="1:21" x14ac:dyDescent="0.3">
      <c r="A976" t="s">
        <v>1213</v>
      </c>
      <c r="B976" s="3">
        <v>45892</v>
      </c>
      <c r="C976" t="s">
        <v>427</v>
      </c>
      <c r="D976" t="s">
        <v>88</v>
      </c>
      <c r="E976" t="s">
        <v>73</v>
      </c>
      <c r="F976" t="s">
        <v>21</v>
      </c>
      <c r="G976" t="s">
        <v>22</v>
      </c>
      <c r="H976">
        <v>2</v>
      </c>
      <c r="I976">
        <v>466</v>
      </c>
      <c r="J976">
        <v>0.05</v>
      </c>
      <c r="K976">
        <v>885.4</v>
      </c>
      <c r="L976">
        <v>191.2</v>
      </c>
      <c r="M976" t="str">
        <f t="shared" si="135"/>
        <v>Stapler</v>
      </c>
      <c r="N976" t="str">
        <f t="shared" si="136"/>
        <v>Ahmedabad</v>
      </c>
      <c r="O976" t="str">
        <f t="shared" si="137"/>
        <v>West</v>
      </c>
      <c r="P976" t="str">
        <f t="shared" si="138"/>
        <v>Office Supplies</v>
      </c>
      <c r="Q976" t="str">
        <f t="shared" si="139"/>
        <v>Office Supplies</v>
      </c>
      <c r="R976" t="str">
        <f t="shared" si="140"/>
        <v>West</v>
      </c>
      <c r="S976" t="str">
        <f t="shared" si="141"/>
        <v>Ahmedabad</v>
      </c>
      <c r="T976">
        <f t="shared" si="142"/>
        <v>885.4</v>
      </c>
      <c r="U976" t="str">
        <f t="shared" si="143"/>
        <v>OK</v>
      </c>
    </row>
    <row r="977" spans="1:21" x14ac:dyDescent="0.3">
      <c r="A977" t="s">
        <v>1214</v>
      </c>
      <c r="B977" s="3">
        <v>45892</v>
      </c>
      <c r="C977" t="s">
        <v>172</v>
      </c>
      <c r="D977" t="s">
        <v>103</v>
      </c>
      <c r="E977" t="s">
        <v>51</v>
      </c>
      <c r="F977" t="s">
        <v>27</v>
      </c>
      <c r="G977" t="s">
        <v>31</v>
      </c>
      <c r="H977">
        <v>2</v>
      </c>
      <c r="I977">
        <v>2043</v>
      </c>
      <c r="J977">
        <v>0.05</v>
      </c>
      <c r="K977">
        <v>3881.7</v>
      </c>
      <c r="L977">
        <v>1065.0999999999999</v>
      </c>
      <c r="M977" t="str">
        <f t="shared" si="135"/>
        <v>Headphones</v>
      </c>
      <c r="N977" t="str">
        <f t="shared" si="136"/>
        <v>Hyderabad</v>
      </c>
      <c r="O977" t="str">
        <f t="shared" si="137"/>
        <v>South</v>
      </c>
      <c r="P977" t="str">
        <f t="shared" si="138"/>
        <v>Electronics</v>
      </c>
      <c r="Q977" t="str">
        <f t="shared" si="139"/>
        <v>Electronics</v>
      </c>
      <c r="R977" t="str">
        <f t="shared" si="140"/>
        <v>South</v>
      </c>
      <c r="S977" t="str">
        <f t="shared" si="141"/>
        <v>Hyderabad</v>
      </c>
      <c r="T977">
        <f t="shared" si="142"/>
        <v>3881.7</v>
      </c>
      <c r="U977" t="str">
        <f t="shared" si="143"/>
        <v>OK</v>
      </c>
    </row>
    <row r="978" spans="1:21" x14ac:dyDescent="0.3">
      <c r="A978" t="s">
        <v>1215</v>
      </c>
      <c r="B978" s="3">
        <v>45786</v>
      </c>
      <c r="C978" t="s">
        <v>798</v>
      </c>
      <c r="D978" t="s">
        <v>50</v>
      </c>
      <c r="E978" t="s">
        <v>51</v>
      </c>
      <c r="F978" t="s">
        <v>58</v>
      </c>
      <c r="G978" t="s">
        <v>59</v>
      </c>
      <c r="H978">
        <v>1</v>
      </c>
      <c r="I978">
        <v>2497</v>
      </c>
      <c r="J978">
        <v>0</v>
      </c>
      <c r="K978">
        <v>2497</v>
      </c>
      <c r="L978">
        <v>247.18</v>
      </c>
      <c r="M978" t="str">
        <f t="shared" si="135"/>
        <v>Keyboard</v>
      </c>
      <c r="N978" t="str">
        <f t="shared" si="136"/>
        <v>Chandigarh</v>
      </c>
      <c r="O978" t="str">
        <f t="shared" si="137"/>
        <v>North</v>
      </c>
      <c r="P978" t="str">
        <f t="shared" si="138"/>
        <v>Electronics</v>
      </c>
      <c r="Q978" t="str">
        <f t="shared" si="139"/>
        <v>Electronics</v>
      </c>
      <c r="R978" t="str">
        <f t="shared" si="140"/>
        <v>North</v>
      </c>
      <c r="S978" t="str">
        <f t="shared" si="141"/>
        <v>Chandigarh</v>
      </c>
      <c r="T978">
        <f t="shared" si="142"/>
        <v>2497</v>
      </c>
      <c r="U978" t="str">
        <f t="shared" si="143"/>
        <v>OK</v>
      </c>
    </row>
    <row r="979" spans="1:21" x14ac:dyDescent="0.3">
      <c r="A979" t="s">
        <v>1216</v>
      </c>
      <c r="B979" s="3">
        <v>45818</v>
      </c>
      <c r="C979" t="s">
        <v>570</v>
      </c>
      <c r="D979" t="s">
        <v>83</v>
      </c>
      <c r="E979" t="s">
        <v>73</v>
      </c>
      <c r="F979" t="s">
        <v>21</v>
      </c>
      <c r="G979" t="s">
        <v>22</v>
      </c>
      <c r="H979">
        <v>1</v>
      </c>
      <c r="I979">
        <v>581</v>
      </c>
      <c r="J979">
        <v>0.1</v>
      </c>
      <c r="K979">
        <v>522.9</v>
      </c>
      <c r="L979">
        <v>79.41</v>
      </c>
      <c r="M979" t="str">
        <f t="shared" si="135"/>
        <v>Printer Paper</v>
      </c>
      <c r="N979" t="str">
        <f t="shared" si="136"/>
        <v>Ahmedabad</v>
      </c>
      <c r="O979" t="str">
        <f t="shared" si="137"/>
        <v>West</v>
      </c>
      <c r="P979" t="str">
        <f t="shared" si="138"/>
        <v>Office Supplies</v>
      </c>
      <c r="Q979" t="str">
        <f t="shared" si="139"/>
        <v>Office Supplies</v>
      </c>
      <c r="R979" t="str">
        <f t="shared" si="140"/>
        <v>West</v>
      </c>
      <c r="S979" t="str">
        <f t="shared" si="141"/>
        <v>Ahmedabad</v>
      </c>
      <c r="T979">
        <f t="shared" si="142"/>
        <v>522.9</v>
      </c>
      <c r="U979" t="str">
        <f t="shared" si="143"/>
        <v>OK</v>
      </c>
    </row>
    <row r="980" spans="1:21" x14ac:dyDescent="0.3">
      <c r="A980" t="s">
        <v>1217</v>
      </c>
      <c r="B980" s="3">
        <v>45893</v>
      </c>
      <c r="C980" t="s">
        <v>37</v>
      </c>
      <c r="D980" t="s">
        <v>34</v>
      </c>
      <c r="E980" t="s">
        <v>15</v>
      </c>
      <c r="F980" t="s">
        <v>27</v>
      </c>
      <c r="G980" t="s">
        <v>28</v>
      </c>
      <c r="H980">
        <v>5</v>
      </c>
      <c r="I980">
        <v>24854</v>
      </c>
      <c r="J980">
        <v>0.15</v>
      </c>
      <c r="K980">
        <v>105629.5</v>
      </c>
      <c r="L980">
        <v>22467.439999999999</v>
      </c>
      <c r="M980" t="str">
        <f t="shared" si="135"/>
        <v>Desk</v>
      </c>
      <c r="N980" t="str">
        <f t="shared" si="136"/>
        <v>Bengaluru</v>
      </c>
      <c r="O980" t="str">
        <f t="shared" si="137"/>
        <v>South</v>
      </c>
      <c r="P980" t="str">
        <f t="shared" si="138"/>
        <v>Furniture</v>
      </c>
      <c r="Q980" t="str">
        <f t="shared" si="139"/>
        <v>Furniture</v>
      </c>
      <c r="R980" t="str">
        <f t="shared" si="140"/>
        <v>South</v>
      </c>
      <c r="S980" t="str">
        <f t="shared" si="141"/>
        <v>Bengaluru</v>
      </c>
      <c r="T980">
        <f t="shared" si="142"/>
        <v>105629.5</v>
      </c>
      <c r="U980" t="str">
        <f t="shared" si="143"/>
        <v>OK</v>
      </c>
    </row>
    <row r="981" spans="1:21" x14ac:dyDescent="0.3">
      <c r="A981" t="s">
        <v>1218</v>
      </c>
      <c r="B981" s="3">
        <v>45695</v>
      </c>
      <c r="C981" t="s">
        <v>228</v>
      </c>
      <c r="D981" t="s">
        <v>202</v>
      </c>
      <c r="E981" t="s">
        <v>44</v>
      </c>
      <c r="F981" t="s">
        <v>27</v>
      </c>
      <c r="G981" t="s">
        <v>31</v>
      </c>
      <c r="H981">
        <v>4</v>
      </c>
      <c r="I981">
        <v>2278</v>
      </c>
      <c r="J981">
        <v>0.1</v>
      </c>
      <c r="K981">
        <v>8200.7999999999993</v>
      </c>
      <c r="L981">
        <v>2019.98</v>
      </c>
      <c r="M981" t="str">
        <f t="shared" si="135"/>
        <v>Laptop Stand</v>
      </c>
      <c r="N981" t="str">
        <f t="shared" si="136"/>
        <v>Hyderabad</v>
      </c>
      <c r="O981" t="str">
        <f t="shared" si="137"/>
        <v>South</v>
      </c>
      <c r="P981" t="str">
        <f t="shared" si="138"/>
        <v>Accessories</v>
      </c>
      <c r="Q981" t="str">
        <f t="shared" si="139"/>
        <v>Accessories</v>
      </c>
      <c r="R981" t="str">
        <f t="shared" si="140"/>
        <v>South</v>
      </c>
      <c r="S981" t="str">
        <f t="shared" si="141"/>
        <v>Hyderabad</v>
      </c>
      <c r="T981">
        <f t="shared" si="142"/>
        <v>8200.8000000000011</v>
      </c>
      <c r="U981" t="str">
        <f t="shared" si="143"/>
        <v>OK</v>
      </c>
    </row>
    <row r="982" spans="1:21" x14ac:dyDescent="0.3">
      <c r="A982" t="s">
        <v>1219</v>
      </c>
      <c r="B982" s="3">
        <v>45981</v>
      </c>
      <c r="C982" t="s">
        <v>248</v>
      </c>
      <c r="D982" t="s">
        <v>120</v>
      </c>
      <c r="E982" t="s">
        <v>51</v>
      </c>
      <c r="F982" t="s">
        <v>58</v>
      </c>
      <c r="G982" t="s">
        <v>59</v>
      </c>
      <c r="H982">
        <v>4</v>
      </c>
      <c r="I982">
        <v>631</v>
      </c>
      <c r="J982">
        <v>0</v>
      </c>
      <c r="K982">
        <v>2524</v>
      </c>
      <c r="L982">
        <v>549.39</v>
      </c>
      <c r="M982" t="str">
        <f t="shared" si="135"/>
        <v>Mouse</v>
      </c>
      <c r="N982" t="str">
        <f t="shared" si="136"/>
        <v>Chandigarh</v>
      </c>
      <c r="O982" t="str">
        <f t="shared" si="137"/>
        <v>North</v>
      </c>
      <c r="P982" t="str">
        <f t="shared" si="138"/>
        <v>Electronics</v>
      </c>
      <c r="Q982" t="str">
        <f t="shared" si="139"/>
        <v>Electronics</v>
      </c>
      <c r="R982" t="str">
        <f t="shared" si="140"/>
        <v>North</v>
      </c>
      <c r="S982" t="str">
        <f t="shared" si="141"/>
        <v>Chandigarh</v>
      </c>
      <c r="T982">
        <f t="shared" si="142"/>
        <v>2524</v>
      </c>
      <c r="U982" t="str">
        <f t="shared" si="143"/>
        <v>OK</v>
      </c>
    </row>
    <row r="983" spans="1:21" x14ac:dyDescent="0.3">
      <c r="A983" t="s">
        <v>1220</v>
      </c>
      <c r="B983" s="3">
        <v>45879</v>
      </c>
      <c r="C983" t="s">
        <v>217</v>
      </c>
      <c r="D983" t="s">
        <v>34</v>
      </c>
      <c r="E983" t="s">
        <v>15</v>
      </c>
      <c r="F983" t="s">
        <v>58</v>
      </c>
      <c r="G983" t="s">
        <v>59</v>
      </c>
      <c r="H983">
        <v>2</v>
      </c>
      <c r="I983">
        <v>9909</v>
      </c>
      <c r="J983">
        <v>0.2</v>
      </c>
      <c r="K983">
        <v>15854.4</v>
      </c>
      <c r="L983">
        <v>2905.31</v>
      </c>
      <c r="M983" t="str">
        <f t="shared" si="135"/>
        <v>Desk</v>
      </c>
      <c r="N983" t="str">
        <f t="shared" si="136"/>
        <v>Chandigarh</v>
      </c>
      <c r="O983" t="str">
        <f t="shared" si="137"/>
        <v>North</v>
      </c>
      <c r="P983" t="str">
        <f t="shared" si="138"/>
        <v>Furniture</v>
      </c>
      <c r="Q983" t="str">
        <f t="shared" si="139"/>
        <v>Furniture</v>
      </c>
      <c r="R983" t="str">
        <f t="shared" si="140"/>
        <v>North</v>
      </c>
      <c r="S983" t="str">
        <f t="shared" si="141"/>
        <v>Chandigarh</v>
      </c>
      <c r="T983">
        <f t="shared" si="142"/>
        <v>15854.400000000001</v>
      </c>
      <c r="U983" t="str">
        <f t="shared" si="143"/>
        <v>OK</v>
      </c>
    </row>
    <row r="984" spans="1:21" x14ac:dyDescent="0.3">
      <c r="A984" t="s">
        <v>1221</v>
      </c>
      <c r="B984" s="3">
        <v>46019</v>
      </c>
      <c r="C984" t="s">
        <v>421</v>
      </c>
      <c r="D984" t="s">
        <v>14</v>
      </c>
      <c r="E984" t="s">
        <v>15</v>
      </c>
      <c r="F984" t="s">
        <v>58</v>
      </c>
      <c r="G984" t="s">
        <v>126</v>
      </c>
      <c r="H984">
        <v>1</v>
      </c>
      <c r="I984">
        <v>15657</v>
      </c>
      <c r="J984">
        <v>0.1</v>
      </c>
      <c r="K984">
        <v>14091.3</v>
      </c>
      <c r="L984">
        <v>3251.65</v>
      </c>
      <c r="M984" t="str">
        <f t="shared" si="135"/>
        <v>Office Chair</v>
      </c>
      <c r="N984" t="str">
        <f t="shared" si="136"/>
        <v>Delhi</v>
      </c>
      <c r="O984" t="str">
        <f t="shared" si="137"/>
        <v>North</v>
      </c>
      <c r="P984" t="str">
        <f t="shared" si="138"/>
        <v>Furniture</v>
      </c>
      <c r="Q984" t="str">
        <f t="shared" si="139"/>
        <v>Furniture</v>
      </c>
      <c r="R984" t="str">
        <f t="shared" si="140"/>
        <v>North</v>
      </c>
      <c r="S984" t="str">
        <f t="shared" si="141"/>
        <v>Delhi</v>
      </c>
      <c r="T984">
        <f t="shared" si="142"/>
        <v>14091.300000000001</v>
      </c>
      <c r="U984" t="str">
        <f t="shared" si="143"/>
        <v>OK</v>
      </c>
    </row>
    <row r="985" spans="1:21" x14ac:dyDescent="0.3">
      <c r="A985" t="s">
        <v>1222</v>
      </c>
      <c r="B985" s="3">
        <v>45926</v>
      </c>
      <c r="C985" t="s">
        <v>451</v>
      </c>
      <c r="D985" t="s">
        <v>120</v>
      </c>
      <c r="E985" t="s">
        <v>51</v>
      </c>
      <c r="F985" t="s">
        <v>21</v>
      </c>
      <c r="G985" t="s">
        <v>55</v>
      </c>
      <c r="H985">
        <v>3</v>
      </c>
      <c r="I985">
        <v>1216</v>
      </c>
      <c r="J985">
        <v>0.15</v>
      </c>
      <c r="K985">
        <v>3100.8</v>
      </c>
      <c r="L985">
        <v>768.14</v>
      </c>
      <c r="M985" t="str">
        <f t="shared" si="135"/>
        <v>Mouse</v>
      </c>
      <c r="N985" t="str">
        <f t="shared" si="136"/>
        <v>Pune</v>
      </c>
      <c r="O985" t="str">
        <f t="shared" si="137"/>
        <v>West</v>
      </c>
      <c r="P985" t="str">
        <f t="shared" si="138"/>
        <v>Electronics</v>
      </c>
      <c r="Q985" t="str">
        <f t="shared" si="139"/>
        <v>Electronics</v>
      </c>
      <c r="R985" t="str">
        <f t="shared" si="140"/>
        <v>West</v>
      </c>
      <c r="S985" t="str">
        <f t="shared" si="141"/>
        <v>Pune</v>
      </c>
      <c r="T985">
        <f t="shared" si="142"/>
        <v>3100.7999999999997</v>
      </c>
      <c r="U985" t="str">
        <f t="shared" si="143"/>
        <v>OK</v>
      </c>
    </row>
    <row r="986" spans="1:21" x14ac:dyDescent="0.3">
      <c r="A986" t="s">
        <v>1223</v>
      </c>
      <c r="B986" s="3">
        <v>45659</v>
      </c>
      <c r="C986" t="s">
        <v>535</v>
      </c>
      <c r="D986" t="s">
        <v>83</v>
      </c>
      <c r="E986" t="s">
        <v>73</v>
      </c>
      <c r="F986" t="s">
        <v>21</v>
      </c>
      <c r="G986" t="s">
        <v>22</v>
      </c>
      <c r="H986">
        <v>2</v>
      </c>
      <c r="I986">
        <v>875</v>
      </c>
      <c r="J986">
        <v>0.1</v>
      </c>
      <c r="K986">
        <v>1575</v>
      </c>
      <c r="L986">
        <v>207.76</v>
      </c>
      <c r="M986" t="str">
        <f t="shared" si="135"/>
        <v>Printer Paper</v>
      </c>
      <c r="N986" t="str">
        <f t="shared" si="136"/>
        <v>Ahmedabad</v>
      </c>
      <c r="O986" t="str">
        <f t="shared" si="137"/>
        <v>West</v>
      </c>
      <c r="P986" t="str">
        <f t="shared" si="138"/>
        <v>Office Supplies</v>
      </c>
      <c r="Q986" t="str">
        <f t="shared" si="139"/>
        <v>Office Supplies</v>
      </c>
      <c r="R986" t="str">
        <f t="shared" si="140"/>
        <v>West</v>
      </c>
      <c r="S986" t="str">
        <f t="shared" si="141"/>
        <v>Ahmedabad</v>
      </c>
      <c r="T986">
        <f t="shared" si="142"/>
        <v>1575</v>
      </c>
      <c r="U986" t="str">
        <f t="shared" si="143"/>
        <v>OK</v>
      </c>
    </row>
    <row r="987" spans="1:21" x14ac:dyDescent="0.3">
      <c r="A987" t="s">
        <v>1224</v>
      </c>
      <c r="B987" s="3">
        <v>46019</v>
      </c>
      <c r="C987" t="s">
        <v>223</v>
      </c>
      <c r="D987" t="s">
        <v>43</v>
      </c>
      <c r="E987" t="s">
        <v>44</v>
      </c>
      <c r="F987" t="s">
        <v>58</v>
      </c>
      <c r="G987" t="s">
        <v>69</v>
      </c>
      <c r="H987">
        <v>1</v>
      </c>
      <c r="I987">
        <v>1489</v>
      </c>
      <c r="J987">
        <v>0</v>
      </c>
      <c r="K987">
        <v>1489</v>
      </c>
      <c r="L987">
        <v>239.62</v>
      </c>
      <c r="M987" t="str">
        <f t="shared" si="135"/>
        <v>Phone Holder</v>
      </c>
      <c r="N987" t="str">
        <f t="shared" si="136"/>
        <v>Jaipur</v>
      </c>
      <c r="O987" t="str">
        <f t="shared" si="137"/>
        <v>North</v>
      </c>
      <c r="P987" t="str">
        <f t="shared" si="138"/>
        <v>Accessories</v>
      </c>
      <c r="Q987" t="str">
        <f t="shared" si="139"/>
        <v>Accessories</v>
      </c>
      <c r="R987" t="str">
        <f t="shared" si="140"/>
        <v>North</v>
      </c>
      <c r="S987" t="str">
        <f t="shared" si="141"/>
        <v>Jaipur</v>
      </c>
      <c r="T987">
        <f t="shared" si="142"/>
        <v>1489</v>
      </c>
      <c r="U987" t="str">
        <f t="shared" si="143"/>
        <v>OK</v>
      </c>
    </row>
    <row r="988" spans="1:21" x14ac:dyDescent="0.3">
      <c r="A988" t="s">
        <v>1225</v>
      </c>
      <c r="B988" s="3">
        <v>45787</v>
      </c>
      <c r="C988" t="s">
        <v>67</v>
      </c>
      <c r="D988" t="s">
        <v>83</v>
      </c>
      <c r="E988" t="s">
        <v>73</v>
      </c>
      <c r="F988" t="s">
        <v>27</v>
      </c>
      <c r="G988" t="s">
        <v>31</v>
      </c>
      <c r="H988">
        <v>3</v>
      </c>
      <c r="I988">
        <v>541</v>
      </c>
      <c r="J988">
        <v>0.1</v>
      </c>
      <c r="K988">
        <v>1460.7</v>
      </c>
      <c r="L988">
        <v>181.49</v>
      </c>
      <c r="M988" t="str">
        <f t="shared" si="135"/>
        <v>Printer Paper</v>
      </c>
      <c r="N988" t="str">
        <f t="shared" si="136"/>
        <v>Hyderabad</v>
      </c>
      <c r="O988" t="str">
        <f t="shared" si="137"/>
        <v>South</v>
      </c>
      <c r="P988" t="str">
        <f t="shared" si="138"/>
        <v>Office Supplies</v>
      </c>
      <c r="Q988" t="str">
        <f t="shared" si="139"/>
        <v>Office Supplies</v>
      </c>
      <c r="R988" t="str">
        <f t="shared" si="140"/>
        <v>South</v>
      </c>
      <c r="S988" t="str">
        <f t="shared" si="141"/>
        <v>Hyderabad</v>
      </c>
      <c r="T988">
        <f t="shared" si="142"/>
        <v>1460.7</v>
      </c>
      <c r="U988" t="str">
        <f t="shared" si="143"/>
        <v>OK</v>
      </c>
    </row>
    <row r="989" spans="1:21" x14ac:dyDescent="0.3">
      <c r="A989" t="s">
        <v>1226</v>
      </c>
      <c r="B989" s="3">
        <v>45795</v>
      </c>
      <c r="C989" t="s">
        <v>248</v>
      </c>
      <c r="D989" t="s">
        <v>307</v>
      </c>
      <c r="E989" t="s">
        <v>73</v>
      </c>
      <c r="F989" t="s">
        <v>27</v>
      </c>
      <c r="G989" t="s">
        <v>31</v>
      </c>
      <c r="H989">
        <v>3</v>
      </c>
      <c r="I989">
        <v>156</v>
      </c>
      <c r="J989">
        <v>0.05</v>
      </c>
      <c r="K989">
        <v>444.6</v>
      </c>
      <c r="L989">
        <v>65.489999999999995</v>
      </c>
      <c r="M989" t="str">
        <f t="shared" si="135"/>
        <v>Notebook</v>
      </c>
      <c r="N989" t="str">
        <f t="shared" si="136"/>
        <v>Hyderabad</v>
      </c>
      <c r="O989" t="str">
        <f t="shared" si="137"/>
        <v>South</v>
      </c>
      <c r="P989" t="str">
        <f t="shared" si="138"/>
        <v>Office Supplies</v>
      </c>
      <c r="Q989" t="str">
        <f t="shared" si="139"/>
        <v>Office Supplies</v>
      </c>
      <c r="R989" t="str">
        <f t="shared" si="140"/>
        <v>South</v>
      </c>
      <c r="S989" t="str">
        <f t="shared" si="141"/>
        <v>Hyderabad</v>
      </c>
      <c r="T989">
        <f t="shared" si="142"/>
        <v>444.59999999999997</v>
      </c>
      <c r="U989" t="str">
        <f t="shared" si="143"/>
        <v>OK</v>
      </c>
    </row>
    <row r="990" spans="1:21" x14ac:dyDescent="0.3">
      <c r="A990" t="s">
        <v>1227</v>
      </c>
      <c r="B990" s="3">
        <v>46014</v>
      </c>
      <c r="C990" t="s">
        <v>119</v>
      </c>
      <c r="D990" t="s">
        <v>30</v>
      </c>
      <c r="E990" t="s">
        <v>15</v>
      </c>
      <c r="F990" t="s">
        <v>27</v>
      </c>
      <c r="G990" t="s">
        <v>40</v>
      </c>
      <c r="H990">
        <v>1</v>
      </c>
      <c r="I990">
        <v>11877</v>
      </c>
      <c r="J990">
        <v>0.15</v>
      </c>
      <c r="K990">
        <v>10095.450000000001</v>
      </c>
      <c r="L990">
        <v>927.73</v>
      </c>
      <c r="M990" t="str">
        <f t="shared" si="135"/>
        <v>Bookshelf</v>
      </c>
      <c r="N990" t="str">
        <f t="shared" si="136"/>
        <v>Chennai</v>
      </c>
      <c r="O990" t="str">
        <f t="shared" si="137"/>
        <v>South</v>
      </c>
      <c r="P990" t="str">
        <f t="shared" si="138"/>
        <v>Furniture</v>
      </c>
      <c r="Q990" t="str">
        <f t="shared" si="139"/>
        <v>Furniture</v>
      </c>
      <c r="R990" t="str">
        <f t="shared" si="140"/>
        <v>South</v>
      </c>
      <c r="S990" t="str">
        <f t="shared" si="141"/>
        <v>Chennai</v>
      </c>
      <c r="T990">
        <f t="shared" si="142"/>
        <v>10095.449999999999</v>
      </c>
      <c r="U990" t="str">
        <f t="shared" si="143"/>
        <v>OK</v>
      </c>
    </row>
    <row r="991" spans="1:21" x14ac:dyDescent="0.3">
      <c r="A991" t="s">
        <v>1228</v>
      </c>
      <c r="B991" s="3">
        <v>45678</v>
      </c>
      <c r="C991" t="s">
        <v>328</v>
      </c>
      <c r="D991" t="s">
        <v>25</v>
      </c>
      <c r="E991" t="s">
        <v>26</v>
      </c>
      <c r="F991" t="s">
        <v>58</v>
      </c>
      <c r="G991" t="s">
        <v>126</v>
      </c>
      <c r="H991">
        <v>1</v>
      </c>
      <c r="I991">
        <v>9257</v>
      </c>
      <c r="J991">
        <v>0.15</v>
      </c>
      <c r="K991">
        <v>7868.45</v>
      </c>
      <c r="L991">
        <v>1174.71</v>
      </c>
      <c r="M991" t="str">
        <f t="shared" si="135"/>
        <v>Microwave</v>
      </c>
      <c r="N991" t="str">
        <f t="shared" si="136"/>
        <v>Delhi</v>
      </c>
      <c r="O991" t="str">
        <f t="shared" si="137"/>
        <v>North</v>
      </c>
      <c r="P991" t="str">
        <f t="shared" si="138"/>
        <v>Home Appliances</v>
      </c>
      <c r="Q991" t="str">
        <f t="shared" si="139"/>
        <v>Home Appliances</v>
      </c>
      <c r="R991" t="str">
        <f t="shared" si="140"/>
        <v>North</v>
      </c>
      <c r="S991" t="str">
        <f t="shared" si="141"/>
        <v>Delhi</v>
      </c>
      <c r="T991">
        <f t="shared" si="142"/>
        <v>7868.45</v>
      </c>
      <c r="U991" t="str">
        <f t="shared" si="143"/>
        <v>OK</v>
      </c>
    </row>
    <row r="992" spans="1:21" x14ac:dyDescent="0.3">
      <c r="A992" t="s">
        <v>1229</v>
      </c>
      <c r="B992" s="3">
        <v>45771</v>
      </c>
      <c r="C992" t="s">
        <v>39</v>
      </c>
      <c r="D992" t="s">
        <v>80</v>
      </c>
      <c r="E992" t="s">
        <v>51</v>
      </c>
      <c r="F992" t="s">
        <v>21</v>
      </c>
      <c r="G992" t="s">
        <v>55</v>
      </c>
      <c r="H992">
        <v>4</v>
      </c>
      <c r="I992">
        <v>49091</v>
      </c>
      <c r="J992">
        <v>0.15</v>
      </c>
      <c r="K992">
        <v>166909.4</v>
      </c>
      <c r="L992">
        <v>40251.629999999997</v>
      </c>
      <c r="M992" t="str">
        <f t="shared" si="135"/>
        <v>Laptop</v>
      </c>
      <c r="N992" t="str">
        <f t="shared" si="136"/>
        <v>Pune</v>
      </c>
      <c r="O992" t="str">
        <f t="shared" si="137"/>
        <v>West</v>
      </c>
      <c r="P992" t="str">
        <f t="shared" si="138"/>
        <v>Electronics</v>
      </c>
      <c r="Q992" t="str">
        <f t="shared" si="139"/>
        <v>Electronics</v>
      </c>
      <c r="R992" t="str">
        <f t="shared" si="140"/>
        <v>West</v>
      </c>
      <c r="S992" t="str">
        <f t="shared" si="141"/>
        <v>Pune</v>
      </c>
      <c r="T992">
        <f t="shared" si="142"/>
        <v>166909.4</v>
      </c>
      <c r="U992" t="str">
        <f t="shared" si="143"/>
        <v>OK</v>
      </c>
    </row>
    <row r="993" spans="1:21" x14ac:dyDescent="0.3">
      <c r="A993" t="s">
        <v>1230</v>
      </c>
      <c r="B993" s="3">
        <v>45906</v>
      </c>
      <c r="C993" t="s">
        <v>33</v>
      </c>
      <c r="D993" t="s">
        <v>120</v>
      </c>
      <c r="E993" t="s">
        <v>51</v>
      </c>
      <c r="F993" t="s">
        <v>16</v>
      </c>
      <c r="G993" t="s">
        <v>104</v>
      </c>
      <c r="H993">
        <v>1</v>
      </c>
      <c r="I993">
        <v>1671</v>
      </c>
      <c r="J993">
        <v>0.2</v>
      </c>
      <c r="K993">
        <v>1336.8</v>
      </c>
      <c r="L993">
        <v>281.39</v>
      </c>
      <c r="M993" t="str">
        <f t="shared" si="135"/>
        <v>Mouse</v>
      </c>
      <c r="N993" t="str">
        <f t="shared" si="136"/>
        <v>Bhubaneswar</v>
      </c>
      <c r="O993" t="str">
        <f t="shared" si="137"/>
        <v>East</v>
      </c>
      <c r="P993" t="str">
        <f t="shared" si="138"/>
        <v>Electronics</v>
      </c>
      <c r="Q993" t="str">
        <f t="shared" si="139"/>
        <v>Electronics</v>
      </c>
      <c r="R993" t="str">
        <f t="shared" si="140"/>
        <v>East</v>
      </c>
      <c r="S993" t="str">
        <f t="shared" si="141"/>
        <v>Bhubaneswar</v>
      </c>
      <c r="T993">
        <f t="shared" si="142"/>
        <v>1336.8000000000002</v>
      </c>
      <c r="U993" t="str">
        <f t="shared" si="143"/>
        <v>OK</v>
      </c>
    </row>
    <row r="994" spans="1:21" x14ac:dyDescent="0.3">
      <c r="A994" t="s">
        <v>1231</v>
      </c>
      <c r="B994" s="3">
        <v>45743</v>
      </c>
      <c r="C994" t="s">
        <v>19</v>
      </c>
      <c r="D994" t="s">
        <v>34</v>
      </c>
      <c r="E994" t="s">
        <v>15</v>
      </c>
      <c r="F994" t="s">
        <v>21</v>
      </c>
      <c r="G994" t="s">
        <v>35</v>
      </c>
      <c r="H994">
        <v>2</v>
      </c>
      <c r="I994">
        <v>18372</v>
      </c>
      <c r="J994">
        <v>0.05</v>
      </c>
      <c r="K994">
        <v>34906.800000000003</v>
      </c>
      <c r="L994">
        <v>9415.44</v>
      </c>
      <c r="M994" t="str">
        <f t="shared" si="135"/>
        <v>Desk</v>
      </c>
      <c r="N994" t="str">
        <f t="shared" si="136"/>
        <v>Mumbai</v>
      </c>
      <c r="O994" t="str">
        <f t="shared" si="137"/>
        <v>West</v>
      </c>
      <c r="P994" t="str">
        <f t="shared" si="138"/>
        <v>Furniture</v>
      </c>
      <c r="Q994" t="str">
        <f t="shared" si="139"/>
        <v>Furniture</v>
      </c>
      <c r="R994" t="str">
        <f t="shared" si="140"/>
        <v>West</v>
      </c>
      <c r="S994" t="str">
        <f t="shared" si="141"/>
        <v>Mumbai</v>
      </c>
      <c r="T994">
        <f t="shared" si="142"/>
        <v>34906.799999999996</v>
      </c>
      <c r="U994" t="str">
        <f t="shared" si="143"/>
        <v>OK</v>
      </c>
    </row>
    <row r="995" spans="1:21" x14ac:dyDescent="0.3">
      <c r="A995" t="s">
        <v>1232</v>
      </c>
      <c r="B995" s="3">
        <v>45920</v>
      </c>
      <c r="C995" t="s">
        <v>131</v>
      </c>
      <c r="D995" t="s">
        <v>97</v>
      </c>
      <c r="E995" t="s">
        <v>44</v>
      </c>
      <c r="F995" t="s">
        <v>27</v>
      </c>
      <c r="G995" t="s">
        <v>31</v>
      </c>
      <c r="H995">
        <v>1</v>
      </c>
      <c r="I995">
        <v>677</v>
      </c>
      <c r="J995">
        <v>0.1</v>
      </c>
      <c r="K995">
        <v>609.29999999999995</v>
      </c>
      <c r="L995">
        <v>101.82</v>
      </c>
      <c r="M995" t="str">
        <f t="shared" si="135"/>
        <v>USB Cable</v>
      </c>
      <c r="N995" t="str">
        <f t="shared" si="136"/>
        <v>Hyderabad</v>
      </c>
      <c r="O995" t="str">
        <f t="shared" si="137"/>
        <v>South</v>
      </c>
      <c r="P995" t="str">
        <f t="shared" si="138"/>
        <v>Accessories</v>
      </c>
      <c r="Q995" t="str">
        <f t="shared" si="139"/>
        <v>Accessories</v>
      </c>
      <c r="R995" t="str">
        <f t="shared" si="140"/>
        <v>South</v>
      </c>
      <c r="S995" t="str">
        <f t="shared" si="141"/>
        <v>Hyderabad</v>
      </c>
      <c r="T995">
        <f t="shared" si="142"/>
        <v>609.30000000000007</v>
      </c>
      <c r="U995" t="str">
        <f t="shared" si="143"/>
        <v>OK</v>
      </c>
    </row>
    <row r="996" spans="1:21" x14ac:dyDescent="0.3">
      <c r="A996" t="s">
        <v>1233</v>
      </c>
      <c r="B996" s="3">
        <v>45744</v>
      </c>
      <c r="C996" t="s">
        <v>371</v>
      </c>
      <c r="D996" t="s">
        <v>307</v>
      </c>
      <c r="E996" t="s">
        <v>73</v>
      </c>
      <c r="F996" t="s">
        <v>58</v>
      </c>
      <c r="G996" t="s">
        <v>59</v>
      </c>
      <c r="H996">
        <v>1</v>
      </c>
      <c r="I996">
        <v>285</v>
      </c>
      <c r="J996">
        <v>0.15</v>
      </c>
      <c r="K996">
        <v>242.25</v>
      </c>
      <c r="L996">
        <v>45.2</v>
      </c>
      <c r="M996" t="str">
        <f t="shared" si="135"/>
        <v>Notebook</v>
      </c>
      <c r="N996" t="str">
        <f t="shared" si="136"/>
        <v>Chandigarh</v>
      </c>
      <c r="O996" t="str">
        <f t="shared" si="137"/>
        <v>North</v>
      </c>
      <c r="P996" t="str">
        <f t="shared" si="138"/>
        <v>Office Supplies</v>
      </c>
      <c r="Q996" t="str">
        <f t="shared" si="139"/>
        <v>Office Supplies</v>
      </c>
      <c r="R996" t="str">
        <f t="shared" si="140"/>
        <v>North</v>
      </c>
      <c r="S996" t="str">
        <f t="shared" si="141"/>
        <v>Chandigarh</v>
      </c>
      <c r="T996">
        <f t="shared" si="142"/>
        <v>242.25</v>
      </c>
      <c r="U996" t="str">
        <f t="shared" si="143"/>
        <v>OK</v>
      </c>
    </row>
    <row r="997" spans="1:21" x14ac:dyDescent="0.3">
      <c r="A997" t="s">
        <v>1234</v>
      </c>
      <c r="B997" s="3">
        <v>45922</v>
      </c>
      <c r="C997" t="s">
        <v>100</v>
      </c>
      <c r="D997" t="s">
        <v>153</v>
      </c>
      <c r="E997" t="s">
        <v>26</v>
      </c>
      <c r="F997" t="s">
        <v>16</v>
      </c>
      <c r="G997" t="s">
        <v>52</v>
      </c>
      <c r="H997">
        <v>3</v>
      </c>
      <c r="I997">
        <v>9197</v>
      </c>
      <c r="J997">
        <v>0.05</v>
      </c>
      <c r="K997">
        <v>26211.45</v>
      </c>
      <c r="L997">
        <v>4877.8100000000004</v>
      </c>
      <c r="M997" t="str">
        <f t="shared" si="135"/>
        <v>Coffee Maker</v>
      </c>
      <c r="N997" t="str">
        <f t="shared" si="136"/>
        <v>Kolkata</v>
      </c>
      <c r="O997" t="str">
        <f t="shared" si="137"/>
        <v>East</v>
      </c>
      <c r="P997" t="str">
        <f t="shared" si="138"/>
        <v>Home Appliances</v>
      </c>
      <c r="Q997" t="str">
        <f t="shared" si="139"/>
        <v>Home Appliances</v>
      </c>
      <c r="R997" t="str">
        <f t="shared" si="140"/>
        <v>East</v>
      </c>
      <c r="S997" t="str">
        <f t="shared" si="141"/>
        <v>Kolkata</v>
      </c>
      <c r="T997">
        <f t="shared" si="142"/>
        <v>26211.449999999997</v>
      </c>
      <c r="U997" t="str">
        <f t="shared" si="143"/>
        <v>OK</v>
      </c>
    </row>
    <row r="998" spans="1:21" x14ac:dyDescent="0.3">
      <c r="A998" t="s">
        <v>1235</v>
      </c>
      <c r="B998" s="3">
        <v>45734</v>
      </c>
      <c r="C998" t="s">
        <v>71</v>
      </c>
      <c r="D998" t="s">
        <v>307</v>
      </c>
      <c r="E998" t="s">
        <v>73</v>
      </c>
      <c r="F998" t="s">
        <v>21</v>
      </c>
      <c r="G998" t="s">
        <v>55</v>
      </c>
      <c r="H998">
        <v>2</v>
      </c>
      <c r="I998">
        <v>297</v>
      </c>
      <c r="J998">
        <v>0.25</v>
      </c>
      <c r="K998">
        <v>445.5</v>
      </c>
      <c r="L998">
        <v>83.07</v>
      </c>
      <c r="M998" t="str">
        <f t="shared" si="135"/>
        <v>Notebook</v>
      </c>
      <c r="N998" t="str">
        <f t="shared" si="136"/>
        <v>Pune</v>
      </c>
      <c r="O998" t="str">
        <f t="shared" si="137"/>
        <v>West</v>
      </c>
      <c r="P998" t="str">
        <f t="shared" si="138"/>
        <v>Office Supplies</v>
      </c>
      <c r="Q998" t="str">
        <f t="shared" si="139"/>
        <v>Office Supplies</v>
      </c>
      <c r="R998" t="str">
        <f t="shared" si="140"/>
        <v>West</v>
      </c>
      <c r="S998" t="str">
        <f t="shared" si="141"/>
        <v>Pune</v>
      </c>
      <c r="T998">
        <f t="shared" si="142"/>
        <v>445.5</v>
      </c>
      <c r="U998" t="str">
        <f t="shared" si="143"/>
        <v>OK</v>
      </c>
    </row>
    <row r="999" spans="1:21" x14ac:dyDescent="0.3">
      <c r="A999" t="s">
        <v>1236</v>
      </c>
      <c r="B999" s="3">
        <v>45978</v>
      </c>
      <c r="C999" t="s">
        <v>503</v>
      </c>
      <c r="D999" t="s">
        <v>103</v>
      </c>
      <c r="E999" t="s">
        <v>51</v>
      </c>
      <c r="F999" t="s">
        <v>21</v>
      </c>
      <c r="G999" t="s">
        <v>55</v>
      </c>
      <c r="H999">
        <v>1</v>
      </c>
      <c r="I999">
        <v>7497</v>
      </c>
      <c r="J999">
        <v>0.15</v>
      </c>
      <c r="K999">
        <v>6372.45</v>
      </c>
      <c r="L999">
        <v>1001.95</v>
      </c>
      <c r="M999" t="str">
        <f t="shared" si="135"/>
        <v>Headphones</v>
      </c>
      <c r="N999" t="str">
        <f t="shared" si="136"/>
        <v>Pune</v>
      </c>
      <c r="O999" t="str">
        <f t="shared" si="137"/>
        <v>West</v>
      </c>
      <c r="P999" t="str">
        <f t="shared" si="138"/>
        <v>Electronics</v>
      </c>
      <c r="Q999" t="str">
        <f t="shared" si="139"/>
        <v>Electronics</v>
      </c>
      <c r="R999" t="str">
        <f t="shared" si="140"/>
        <v>West</v>
      </c>
      <c r="S999" t="str">
        <f t="shared" si="141"/>
        <v>Pune</v>
      </c>
      <c r="T999">
        <f t="shared" si="142"/>
        <v>6372.45</v>
      </c>
      <c r="U999" t="str">
        <f t="shared" si="143"/>
        <v>OK</v>
      </c>
    </row>
    <row r="1000" spans="1:21" x14ac:dyDescent="0.3">
      <c r="A1000" t="s">
        <v>1237</v>
      </c>
      <c r="B1000" s="3">
        <v>45885</v>
      </c>
      <c r="C1000" t="s">
        <v>228</v>
      </c>
      <c r="D1000" t="s">
        <v>68</v>
      </c>
      <c r="E1000" t="s">
        <v>44</v>
      </c>
      <c r="F1000" t="s">
        <v>16</v>
      </c>
      <c r="G1000" t="s">
        <v>52</v>
      </c>
      <c r="H1000">
        <v>3</v>
      </c>
      <c r="I1000">
        <v>6577</v>
      </c>
      <c r="J1000">
        <v>0.1</v>
      </c>
      <c r="K1000">
        <v>17757.900000000001</v>
      </c>
      <c r="L1000">
        <v>2504.63</v>
      </c>
      <c r="M1000" t="str">
        <f t="shared" si="135"/>
        <v>Webcam</v>
      </c>
      <c r="N1000" t="str">
        <f t="shared" si="136"/>
        <v>Kolkata</v>
      </c>
      <c r="O1000" t="str">
        <f t="shared" si="137"/>
        <v>East</v>
      </c>
      <c r="P1000" t="str">
        <f t="shared" si="138"/>
        <v>Accessories</v>
      </c>
      <c r="Q1000" t="str">
        <f t="shared" si="139"/>
        <v>Accessories</v>
      </c>
      <c r="R1000" t="str">
        <f t="shared" si="140"/>
        <v>East</v>
      </c>
      <c r="S1000" t="str">
        <f t="shared" si="141"/>
        <v>Kolkata</v>
      </c>
      <c r="T1000">
        <f t="shared" si="142"/>
        <v>17757.900000000001</v>
      </c>
      <c r="U1000" t="str">
        <f t="shared" si="143"/>
        <v>OK</v>
      </c>
    </row>
    <row r="1001" spans="1:21" x14ac:dyDescent="0.3">
      <c r="A1001" t="s">
        <v>1238</v>
      </c>
      <c r="B1001" s="3">
        <v>45824</v>
      </c>
      <c r="C1001" t="s">
        <v>389</v>
      </c>
      <c r="D1001" t="s">
        <v>120</v>
      </c>
      <c r="E1001" t="s">
        <v>51</v>
      </c>
      <c r="F1001" t="s">
        <v>16</v>
      </c>
      <c r="G1001" t="s">
        <v>104</v>
      </c>
      <c r="H1001">
        <v>1</v>
      </c>
      <c r="I1001">
        <v>1888</v>
      </c>
      <c r="J1001">
        <v>0.1</v>
      </c>
      <c r="K1001">
        <v>1699.2</v>
      </c>
      <c r="L1001">
        <v>405.73</v>
      </c>
      <c r="M1001" t="str">
        <f t="shared" si="135"/>
        <v>Mouse</v>
      </c>
      <c r="N1001" t="str">
        <f t="shared" si="136"/>
        <v>Bhubaneswar</v>
      </c>
      <c r="O1001" t="str">
        <f t="shared" si="137"/>
        <v>East</v>
      </c>
      <c r="P1001" t="str">
        <f t="shared" si="138"/>
        <v>Electronics</v>
      </c>
      <c r="Q1001" t="str">
        <f t="shared" si="139"/>
        <v>Electronics</v>
      </c>
      <c r="R1001" t="str">
        <f t="shared" si="140"/>
        <v>East</v>
      </c>
      <c r="S1001" t="str">
        <f t="shared" si="141"/>
        <v>Bhubaneswar</v>
      </c>
      <c r="T1001">
        <f t="shared" si="142"/>
        <v>1699.2</v>
      </c>
      <c r="U1001" t="str">
        <f t="shared" si="143"/>
        <v>OK</v>
      </c>
    </row>
    <row r="1002" spans="1:21" x14ac:dyDescent="0.3">
      <c r="A1002" t="s">
        <v>1239</v>
      </c>
      <c r="B1002" s="3">
        <v>45981</v>
      </c>
      <c r="C1002" t="s">
        <v>102</v>
      </c>
      <c r="D1002" t="s">
        <v>153</v>
      </c>
      <c r="E1002" t="s">
        <v>26</v>
      </c>
      <c r="F1002" t="s">
        <v>16</v>
      </c>
      <c r="G1002" t="s">
        <v>52</v>
      </c>
      <c r="H1002">
        <v>1</v>
      </c>
      <c r="I1002">
        <v>2502</v>
      </c>
      <c r="J1002">
        <v>0</v>
      </c>
      <c r="K1002">
        <v>2502</v>
      </c>
      <c r="L1002">
        <v>667.34</v>
      </c>
      <c r="M1002" t="str">
        <f t="shared" si="135"/>
        <v>Coffee Maker</v>
      </c>
      <c r="N1002" t="str">
        <f t="shared" si="136"/>
        <v>Kolkata</v>
      </c>
      <c r="O1002" t="str">
        <f t="shared" si="137"/>
        <v>East</v>
      </c>
      <c r="P1002" t="str">
        <f t="shared" si="138"/>
        <v>Home Appliances</v>
      </c>
      <c r="Q1002" t="str">
        <f t="shared" si="139"/>
        <v>Home Appliances</v>
      </c>
      <c r="R1002" t="str">
        <f t="shared" si="140"/>
        <v>East</v>
      </c>
      <c r="S1002" t="str">
        <f t="shared" si="141"/>
        <v>Kolkata</v>
      </c>
      <c r="T1002">
        <f t="shared" si="142"/>
        <v>2502</v>
      </c>
      <c r="U1002" t="str">
        <f t="shared" si="143"/>
        <v>OK</v>
      </c>
    </row>
    <row r="1003" spans="1:21" x14ac:dyDescent="0.3">
      <c r="A1003" t="s">
        <v>1240</v>
      </c>
      <c r="B1003" s="3">
        <v>45662</v>
      </c>
      <c r="C1003" t="s">
        <v>792</v>
      </c>
      <c r="D1003" t="s">
        <v>92</v>
      </c>
      <c r="E1003" t="s">
        <v>51</v>
      </c>
      <c r="F1003" t="s">
        <v>58</v>
      </c>
      <c r="G1003" t="s">
        <v>69</v>
      </c>
      <c r="H1003">
        <v>2</v>
      </c>
      <c r="I1003">
        <v>21650</v>
      </c>
      <c r="J1003">
        <v>0</v>
      </c>
      <c r="K1003">
        <v>43300</v>
      </c>
      <c r="L1003">
        <v>6153.6</v>
      </c>
      <c r="M1003" t="str">
        <f t="shared" si="135"/>
        <v>Monitor</v>
      </c>
      <c r="N1003" t="str">
        <f t="shared" si="136"/>
        <v>Jaipur</v>
      </c>
      <c r="O1003" t="str">
        <f t="shared" si="137"/>
        <v>North</v>
      </c>
      <c r="P1003" t="str">
        <f t="shared" si="138"/>
        <v>Electronics</v>
      </c>
      <c r="Q1003" t="str">
        <f t="shared" si="139"/>
        <v>Electronics</v>
      </c>
      <c r="R1003" t="str">
        <f t="shared" si="140"/>
        <v>North</v>
      </c>
      <c r="S1003" t="str">
        <f t="shared" si="141"/>
        <v>Jaipur</v>
      </c>
      <c r="T1003">
        <f t="shared" si="142"/>
        <v>43300</v>
      </c>
      <c r="U1003" t="str">
        <f t="shared" si="143"/>
        <v>OK</v>
      </c>
    </row>
    <row r="1004" spans="1:21" x14ac:dyDescent="0.3">
      <c r="A1004" t="s">
        <v>1241</v>
      </c>
      <c r="B1004" s="3">
        <v>45782</v>
      </c>
      <c r="C1004" t="s">
        <v>580</v>
      </c>
      <c r="D1004" t="s">
        <v>88</v>
      </c>
      <c r="E1004" t="s">
        <v>73</v>
      </c>
      <c r="F1004" t="s">
        <v>27</v>
      </c>
      <c r="G1004" t="s">
        <v>40</v>
      </c>
      <c r="H1004">
        <v>3</v>
      </c>
      <c r="I1004">
        <v>422</v>
      </c>
      <c r="J1004">
        <v>0.05</v>
      </c>
      <c r="K1004">
        <v>1202.7</v>
      </c>
      <c r="L1004">
        <v>324.95999999999998</v>
      </c>
      <c r="M1004" t="str">
        <f t="shared" si="135"/>
        <v>Stapler</v>
      </c>
      <c r="N1004" t="str">
        <f t="shared" si="136"/>
        <v>Chennai</v>
      </c>
      <c r="O1004" t="str">
        <f t="shared" si="137"/>
        <v>South</v>
      </c>
      <c r="P1004" t="str">
        <f t="shared" si="138"/>
        <v>Office Supplies</v>
      </c>
      <c r="Q1004" t="str">
        <f t="shared" si="139"/>
        <v>Office Supplies</v>
      </c>
      <c r="R1004" t="str">
        <f t="shared" si="140"/>
        <v>South</v>
      </c>
      <c r="S1004" t="str">
        <f t="shared" si="141"/>
        <v>Chennai</v>
      </c>
      <c r="T1004">
        <f t="shared" si="142"/>
        <v>1202.7</v>
      </c>
      <c r="U1004" t="str">
        <f t="shared" si="143"/>
        <v>OK</v>
      </c>
    </row>
    <row r="1005" spans="1:21" x14ac:dyDescent="0.3">
      <c r="A1005" t="s">
        <v>1242</v>
      </c>
      <c r="B1005" s="3">
        <v>45976</v>
      </c>
      <c r="C1005" t="s">
        <v>805</v>
      </c>
      <c r="D1005" t="s">
        <v>50</v>
      </c>
      <c r="E1005" t="s">
        <v>51</v>
      </c>
      <c r="F1005" t="s">
        <v>21</v>
      </c>
      <c r="G1005" t="s">
        <v>22</v>
      </c>
      <c r="H1005">
        <v>1</v>
      </c>
      <c r="I1005">
        <v>1452</v>
      </c>
      <c r="J1005">
        <v>0.1</v>
      </c>
      <c r="K1005">
        <v>1306.8</v>
      </c>
      <c r="L1005">
        <v>155.97</v>
      </c>
      <c r="M1005" t="str">
        <f t="shared" si="135"/>
        <v>Keyboard</v>
      </c>
      <c r="N1005" t="str">
        <f t="shared" si="136"/>
        <v>Ahmedabad</v>
      </c>
      <c r="O1005" t="str">
        <f t="shared" si="137"/>
        <v>West</v>
      </c>
      <c r="P1005" t="str">
        <f t="shared" si="138"/>
        <v>Electronics</v>
      </c>
      <c r="Q1005" t="str">
        <f t="shared" si="139"/>
        <v>Electronics</v>
      </c>
      <c r="R1005" t="str">
        <f t="shared" si="140"/>
        <v>West</v>
      </c>
      <c r="S1005" t="str">
        <f t="shared" si="141"/>
        <v>Ahmedabad</v>
      </c>
      <c r="T1005">
        <f t="shared" si="142"/>
        <v>1306.8</v>
      </c>
      <c r="U1005" t="str">
        <f t="shared" si="143"/>
        <v>OK</v>
      </c>
    </row>
    <row r="1006" spans="1:21" x14ac:dyDescent="0.3">
      <c r="A1006" t="s">
        <v>1243</v>
      </c>
      <c r="B1006" s="3">
        <v>45987</v>
      </c>
      <c r="C1006" t="s">
        <v>143</v>
      </c>
      <c r="D1006" t="s">
        <v>43</v>
      </c>
      <c r="E1006" t="s">
        <v>44</v>
      </c>
      <c r="F1006" t="s">
        <v>16</v>
      </c>
      <c r="G1006" t="s">
        <v>17</v>
      </c>
      <c r="H1006">
        <v>4</v>
      </c>
      <c r="I1006">
        <v>451</v>
      </c>
      <c r="J1006">
        <v>0.1</v>
      </c>
      <c r="K1006">
        <v>1623.6</v>
      </c>
      <c r="L1006">
        <v>315.64999999999998</v>
      </c>
      <c r="M1006" t="str">
        <f t="shared" si="135"/>
        <v>Phone Holder</v>
      </c>
      <c r="N1006" t="str">
        <f t="shared" si="136"/>
        <v>Guwahati</v>
      </c>
      <c r="O1006" t="str">
        <f t="shared" si="137"/>
        <v>East</v>
      </c>
      <c r="P1006" t="str">
        <f t="shared" si="138"/>
        <v>Accessories</v>
      </c>
      <c r="Q1006" t="str">
        <f t="shared" si="139"/>
        <v>Accessories</v>
      </c>
      <c r="R1006" t="str">
        <f t="shared" si="140"/>
        <v>East</v>
      </c>
      <c r="S1006" t="str">
        <f t="shared" si="141"/>
        <v>Guwahati</v>
      </c>
      <c r="T1006">
        <f t="shared" si="142"/>
        <v>1623.6000000000001</v>
      </c>
      <c r="U1006" t="str">
        <f t="shared" si="143"/>
        <v>OK</v>
      </c>
    </row>
    <row r="1007" spans="1:21" x14ac:dyDescent="0.3">
      <c r="A1007" t="s">
        <v>1244</v>
      </c>
      <c r="B1007" s="3">
        <v>45832</v>
      </c>
      <c r="C1007" t="s">
        <v>96</v>
      </c>
      <c r="D1007" t="s">
        <v>80</v>
      </c>
      <c r="E1007" t="s">
        <v>51</v>
      </c>
      <c r="F1007" t="s">
        <v>58</v>
      </c>
      <c r="G1007" t="s">
        <v>126</v>
      </c>
      <c r="H1007">
        <v>1</v>
      </c>
      <c r="I1007">
        <v>45780</v>
      </c>
      <c r="J1007">
        <v>0.15</v>
      </c>
      <c r="K1007">
        <v>38913</v>
      </c>
      <c r="L1007">
        <v>3954.88</v>
      </c>
      <c r="M1007" t="str">
        <f t="shared" si="135"/>
        <v>Laptop</v>
      </c>
      <c r="N1007" t="str">
        <f t="shared" si="136"/>
        <v>Delhi</v>
      </c>
      <c r="O1007" t="str">
        <f t="shared" si="137"/>
        <v>North</v>
      </c>
      <c r="P1007" t="str">
        <f t="shared" si="138"/>
        <v>Electronics</v>
      </c>
      <c r="Q1007" t="str">
        <f t="shared" si="139"/>
        <v>Electronics</v>
      </c>
      <c r="R1007" t="str">
        <f t="shared" si="140"/>
        <v>North</v>
      </c>
      <c r="S1007" t="str">
        <f t="shared" si="141"/>
        <v>Delhi</v>
      </c>
      <c r="T1007">
        <f t="shared" si="142"/>
        <v>38913</v>
      </c>
      <c r="U1007" t="str">
        <f t="shared" si="143"/>
        <v>OK</v>
      </c>
    </row>
    <row r="1008" spans="1:21" x14ac:dyDescent="0.3">
      <c r="A1008" t="s">
        <v>1245</v>
      </c>
      <c r="B1008" s="3">
        <v>45939</v>
      </c>
      <c r="C1008" t="s">
        <v>403</v>
      </c>
      <c r="D1008" t="s">
        <v>120</v>
      </c>
      <c r="E1008" t="s">
        <v>51</v>
      </c>
      <c r="F1008" t="s">
        <v>21</v>
      </c>
      <c r="G1008" t="s">
        <v>55</v>
      </c>
      <c r="H1008">
        <v>2</v>
      </c>
      <c r="I1008">
        <v>937</v>
      </c>
      <c r="J1008">
        <v>0.1</v>
      </c>
      <c r="K1008">
        <v>1686.6</v>
      </c>
      <c r="L1008">
        <v>232.13</v>
      </c>
      <c r="M1008" t="str">
        <f t="shared" si="135"/>
        <v>Mouse</v>
      </c>
      <c r="N1008" t="str">
        <f t="shared" si="136"/>
        <v>Pune</v>
      </c>
      <c r="O1008" t="str">
        <f t="shared" si="137"/>
        <v>West</v>
      </c>
      <c r="P1008" t="str">
        <f t="shared" si="138"/>
        <v>Electronics</v>
      </c>
      <c r="Q1008" t="str">
        <f t="shared" si="139"/>
        <v>Electronics</v>
      </c>
      <c r="R1008" t="str">
        <f t="shared" si="140"/>
        <v>West</v>
      </c>
      <c r="S1008" t="str">
        <f t="shared" si="141"/>
        <v>Pune</v>
      </c>
      <c r="T1008">
        <f t="shared" si="142"/>
        <v>1686.6000000000001</v>
      </c>
      <c r="U1008" t="str">
        <f t="shared" si="143"/>
        <v>OK</v>
      </c>
    </row>
    <row r="1009" spans="1:21" x14ac:dyDescent="0.3">
      <c r="A1009" t="s">
        <v>1246</v>
      </c>
      <c r="B1009" s="3">
        <v>45832</v>
      </c>
      <c r="C1009" t="s">
        <v>640</v>
      </c>
      <c r="D1009" t="s">
        <v>50</v>
      </c>
      <c r="E1009" t="s">
        <v>51</v>
      </c>
      <c r="F1009" t="s">
        <v>58</v>
      </c>
      <c r="G1009" t="s">
        <v>126</v>
      </c>
      <c r="H1009">
        <v>1</v>
      </c>
      <c r="I1009">
        <v>1213</v>
      </c>
      <c r="J1009">
        <v>0</v>
      </c>
      <c r="K1009">
        <v>1213</v>
      </c>
      <c r="L1009">
        <v>338.62</v>
      </c>
      <c r="M1009" t="str">
        <f t="shared" si="135"/>
        <v>Keyboard</v>
      </c>
      <c r="N1009" t="str">
        <f t="shared" si="136"/>
        <v>Delhi</v>
      </c>
      <c r="O1009" t="str">
        <f t="shared" si="137"/>
        <v>North</v>
      </c>
      <c r="P1009" t="str">
        <f t="shared" si="138"/>
        <v>Electronics</v>
      </c>
      <c r="Q1009" t="str">
        <f t="shared" si="139"/>
        <v>Electronics</v>
      </c>
      <c r="R1009" t="str">
        <f t="shared" si="140"/>
        <v>North</v>
      </c>
      <c r="S1009" t="str">
        <f t="shared" si="141"/>
        <v>Delhi</v>
      </c>
      <c r="T1009">
        <f t="shared" si="142"/>
        <v>1213</v>
      </c>
      <c r="U1009" t="str">
        <f t="shared" si="143"/>
        <v>OK</v>
      </c>
    </row>
    <row r="1010" spans="1:21" x14ac:dyDescent="0.3">
      <c r="A1010" t="s">
        <v>1247</v>
      </c>
      <c r="B1010" s="3">
        <v>45910</v>
      </c>
      <c r="C1010" t="s">
        <v>176</v>
      </c>
      <c r="D1010" t="s">
        <v>43</v>
      </c>
      <c r="E1010" t="s">
        <v>44</v>
      </c>
      <c r="F1010" t="s">
        <v>16</v>
      </c>
      <c r="G1010" t="s">
        <v>52</v>
      </c>
      <c r="H1010">
        <v>1</v>
      </c>
      <c r="I1010">
        <v>696</v>
      </c>
      <c r="J1010">
        <v>0</v>
      </c>
      <c r="K1010">
        <v>696</v>
      </c>
      <c r="L1010">
        <v>74.5</v>
      </c>
      <c r="M1010" t="str">
        <f t="shared" si="135"/>
        <v>Phone Holder</v>
      </c>
      <c r="N1010" t="str">
        <f t="shared" si="136"/>
        <v>Kolkata</v>
      </c>
      <c r="O1010" t="str">
        <f t="shared" si="137"/>
        <v>East</v>
      </c>
      <c r="P1010" t="str">
        <f t="shared" si="138"/>
        <v>Accessories</v>
      </c>
      <c r="Q1010" t="str">
        <f t="shared" si="139"/>
        <v>Accessories</v>
      </c>
      <c r="R1010" t="str">
        <f t="shared" si="140"/>
        <v>East</v>
      </c>
      <c r="S1010" t="str">
        <f t="shared" si="141"/>
        <v>Kolkata</v>
      </c>
      <c r="T1010">
        <f t="shared" si="142"/>
        <v>696</v>
      </c>
      <c r="U1010" t="str">
        <f t="shared" si="143"/>
        <v>OK</v>
      </c>
    </row>
    <row r="1011" spans="1:21" x14ac:dyDescent="0.3">
      <c r="A1011" t="s">
        <v>1248</v>
      </c>
      <c r="B1011" s="3">
        <v>45857</v>
      </c>
      <c r="C1011" t="s">
        <v>208</v>
      </c>
      <c r="D1011" t="s">
        <v>34</v>
      </c>
      <c r="E1011" t="s">
        <v>15</v>
      </c>
      <c r="F1011" t="s">
        <v>27</v>
      </c>
      <c r="G1011" t="s">
        <v>28</v>
      </c>
      <c r="H1011">
        <v>2</v>
      </c>
      <c r="I1011">
        <v>12212</v>
      </c>
      <c r="J1011">
        <v>0.1</v>
      </c>
      <c r="K1011">
        <v>21981.599999999999</v>
      </c>
      <c r="L1011">
        <v>2048.21</v>
      </c>
      <c r="M1011" t="str">
        <f t="shared" si="135"/>
        <v>Desk</v>
      </c>
      <c r="N1011" t="str">
        <f t="shared" si="136"/>
        <v>Bengaluru</v>
      </c>
      <c r="O1011" t="str">
        <f t="shared" si="137"/>
        <v>South</v>
      </c>
      <c r="P1011" t="str">
        <f t="shared" si="138"/>
        <v>Furniture</v>
      </c>
      <c r="Q1011" t="str">
        <f t="shared" si="139"/>
        <v>Furniture</v>
      </c>
      <c r="R1011" t="str">
        <f t="shared" si="140"/>
        <v>South</v>
      </c>
      <c r="S1011" t="str">
        <f t="shared" si="141"/>
        <v>Bengaluru</v>
      </c>
      <c r="T1011">
        <f t="shared" si="142"/>
        <v>21981.600000000002</v>
      </c>
      <c r="U1011" t="str">
        <f t="shared" si="143"/>
        <v>OK</v>
      </c>
    </row>
    <row r="1012" spans="1:21" x14ac:dyDescent="0.3">
      <c r="A1012" t="s">
        <v>1249</v>
      </c>
      <c r="B1012" s="3">
        <v>45670</v>
      </c>
      <c r="C1012" t="s">
        <v>131</v>
      </c>
      <c r="D1012" t="s">
        <v>80</v>
      </c>
      <c r="E1012" t="s">
        <v>51</v>
      </c>
      <c r="F1012" t="s">
        <v>27</v>
      </c>
      <c r="G1012" t="s">
        <v>28</v>
      </c>
      <c r="H1012">
        <v>1</v>
      </c>
      <c r="I1012">
        <v>75842</v>
      </c>
      <c r="J1012">
        <v>0.05</v>
      </c>
      <c r="K1012">
        <v>72049.899999999994</v>
      </c>
      <c r="L1012">
        <v>19407.97</v>
      </c>
      <c r="M1012" t="str">
        <f t="shared" si="135"/>
        <v>Laptop</v>
      </c>
      <c r="N1012" t="str">
        <f t="shared" si="136"/>
        <v>Bengaluru</v>
      </c>
      <c r="O1012" t="str">
        <f t="shared" si="137"/>
        <v>South</v>
      </c>
      <c r="P1012" t="str">
        <f t="shared" si="138"/>
        <v>Electronics</v>
      </c>
      <c r="Q1012" t="str">
        <f t="shared" si="139"/>
        <v>Electronics</v>
      </c>
      <c r="R1012" t="str">
        <f t="shared" si="140"/>
        <v>South</v>
      </c>
      <c r="S1012" t="str">
        <f t="shared" si="141"/>
        <v>Bengaluru</v>
      </c>
      <c r="T1012">
        <f t="shared" si="142"/>
        <v>72049.899999999994</v>
      </c>
      <c r="U1012" t="str">
        <f t="shared" si="143"/>
        <v>OK</v>
      </c>
    </row>
    <row r="1013" spans="1:21" x14ac:dyDescent="0.3">
      <c r="A1013" t="s">
        <v>1250</v>
      </c>
      <c r="B1013" s="3">
        <v>45969</v>
      </c>
      <c r="C1013" t="s">
        <v>448</v>
      </c>
      <c r="D1013" t="s">
        <v>43</v>
      </c>
      <c r="E1013" t="s">
        <v>44</v>
      </c>
      <c r="F1013" t="s">
        <v>21</v>
      </c>
      <c r="G1013" t="s">
        <v>22</v>
      </c>
      <c r="H1013">
        <v>4</v>
      </c>
      <c r="I1013">
        <v>1378</v>
      </c>
      <c r="J1013">
        <v>0.15</v>
      </c>
      <c r="K1013">
        <v>4685.2</v>
      </c>
      <c r="L1013">
        <v>718.71</v>
      </c>
      <c r="M1013" t="str">
        <f t="shared" si="135"/>
        <v>Phone Holder</v>
      </c>
      <c r="N1013" t="str">
        <f t="shared" si="136"/>
        <v>Ahmedabad</v>
      </c>
      <c r="O1013" t="str">
        <f t="shared" si="137"/>
        <v>West</v>
      </c>
      <c r="P1013" t="str">
        <f t="shared" si="138"/>
        <v>Accessories</v>
      </c>
      <c r="Q1013" t="str">
        <f t="shared" si="139"/>
        <v>Accessories</v>
      </c>
      <c r="R1013" t="str">
        <f t="shared" si="140"/>
        <v>West</v>
      </c>
      <c r="S1013" t="str">
        <f t="shared" si="141"/>
        <v>Ahmedabad</v>
      </c>
      <c r="T1013">
        <f t="shared" si="142"/>
        <v>4685.2</v>
      </c>
      <c r="U1013" t="str">
        <f t="shared" si="143"/>
        <v>OK</v>
      </c>
    </row>
    <row r="1014" spans="1:21" x14ac:dyDescent="0.3">
      <c r="A1014" t="s">
        <v>1251</v>
      </c>
      <c r="B1014" s="3">
        <v>45955</v>
      </c>
      <c r="C1014" t="s">
        <v>24</v>
      </c>
      <c r="D1014" t="s">
        <v>25</v>
      </c>
      <c r="E1014" t="s">
        <v>26</v>
      </c>
      <c r="F1014" t="s">
        <v>16</v>
      </c>
      <c r="G1014" t="s">
        <v>52</v>
      </c>
      <c r="H1014">
        <v>4</v>
      </c>
      <c r="I1014">
        <v>15652</v>
      </c>
      <c r="J1014">
        <v>0</v>
      </c>
      <c r="K1014">
        <v>62608</v>
      </c>
      <c r="L1014">
        <v>8129.07</v>
      </c>
      <c r="M1014" t="str">
        <f t="shared" si="135"/>
        <v>Microwave</v>
      </c>
      <c r="N1014" t="str">
        <f t="shared" si="136"/>
        <v>Kolkata</v>
      </c>
      <c r="O1014" t="str">
        <f t="shared" si="137"/>
        <v>East</v>
      </c>
      <c r="P1014" t="str">
        <f t="shared" si="138"/>
        <v>Home Appliances</v>
      </c>
      <c r="Q1014" t="str">
        <f t="shared" si="139"/>
        <v>Home Appliances</v>
      </c>
      <c r="R1014" t="str">
        <f t="shared" si="140"/>
        <v>East</v>
      </c>
      <c r="S1014" t="str">
        <f t="shared" si="141"/>
        <v>Kolkata</v>
      </c>
      <c r="T1014">
        <f t="shared" si="142"/>
        <v>62608</v>
      </c>
      <c r="U1014" t="str">
        <f t="shared" si="143"/>
        <v>OK</v>
      </c>
    </row>
    <row r="1015" spans="1:21" x14ac:dyDescent="0.3">
      <c r="A1015" t="s">
        <v>1252</v>
      </c>
      <c r="B1015" s="3">
        <v>45716</v>
      </c>
      <c r="C1015" t="s">
        <v>415</v>
      </c>
      <c r="D1015" t="s">
        <v>30</v>
      </c>
      <c r="E1015" t="s">
        <v>15</v>
      </c>
      <c r="F1015" t="s">
        <v>58</v>
      </c>
      <c r="G1015" t="s">
        <v>69</v>
      </c>
      <c r="H1015">
        <v>1</v>
      </c>
      <c r="I1015">
        <v>10099</v>
      </c>
      <c r="J1015">
        <v>0.1</v>
      </c>
      <c r="K1015">
        <v>9089.1</v>
      </c>
      <c r="L1015">
        <v>1096.1300000000001</v>
      </c>
      <c r="M1015" t="str">
        <f t="shared" si="135"/>
        <v>Bookshelf</v>
      </c>
      <c r="N1015" t="str">
        <f t="shared" si="136"/>
        <v>Jaipur</v>
      </c>
      <c r="O1015" t="str">
        <f t="shared" si="137"/>
        <v>North</v>
      </c>
      <c r="P1015" t="str">
        <f t="shared" si="138"/>
        <v>Furniture</v>
      </c>
      <c r="Q1015" t="str">
        <f t="shared" si="139"/>
        <v>Furniture</v>
      </c>
      <c r="R1015" t="str">
        <f t="shared" si="140"/>
        <v>North</v>
      </c>
      <c r="S1015" t="str">
        <f t="shared" si="141"/>
        <v>Jaipur</v>
      </c>
      <c r="T1015">
        <f t="shared" si="142"/>
        <v>9089.1</v>
      </c>
      <c r="U1015" t="str">
        <f t="shared" si="143"/>
        <v>OK</v>
      </c>
    </row>
    <row r="1016" spans="1:21" x14ac:dyDescent="0.3">
      <c r="A1016" t="s">
        <v>1253</v>
      </c>
      <c r="B1016" s="3">
        <v>46009</v>
      </c>
      <c r="C1016" t="s">
        <v>501</v>
      </c>
      <c r="D1016" t="s">
        <v>47</v>
      </c>
      <c r="E1016" t="s">
        <v>26</v>
      </c>
      <c r="F1016" t="s">
        <v>58</v>
      </c>
      <c r="G1016" t="s">
        <v>69</v>
      </c>
      <c r="H1016">
        <v>2</v>
      </c>
      <c r="I1016">
        <v>17541</v>
      </c>
      <c r="J1016">
        <v>0.15</v>
      </c>
      <c r="K1016">
        <v>29819.7</v>
      </c>
      <c r="L1016">
        <v>6137.6</v>
      </c>
      <c r="M1016" t="str">
        <f t="shared" si="135"/>
        <v>Air Purifier</v>
      </c>
      <c r="N1016" t="str">
        <f t="shared" si="136"/>
        <v>Jaipur</v>
      </c>
      <c r="O1016" t="str">
        <f t="shared" si="137"/>
        <v>North</v>
      </c>
      <c r="P1016" t="str">
        <f t="shared" si="138"/>
        <v>Home Appliances</v>
      </c>
      <c r="Q1016" t="str">
        <f t="shared" si="139"/>
        <v>Home Appliances</v>
      </c>
      <c r="R1016" t="str">
        <f t="shared" si="140"/>
        <v>North</v>
      </c>
      <c r="S1016" t="str">
        <f t="shared" si="141"/>
        <v>Jaipur</v>
      </c>
      <c r="T1016">
        <f t="shared" si="142"/>
        <v>29819.7</v>
      </c>
      <c r="U1016" t="str">
        <f t="shared" si="143"/>
        <v>OK</v>
      </c>
    </row>
    <row r="1017" spans="1:21" x14ac:dyDescent="0.3">
      <c r="A1017" t="s">
        <v>1254</v>
      </c>
      <c r="B1017" s="3">
        <v>45975</v>
      </c>
      <c r="C1017" t="s">
        <v>136</v>
      </c>
      <c r="D1017" t="s">
        <v>92</v>
      </c>
      <c r="E1017" t="s">
        <v>51</v>
      </c>
      <c r="F1017" t="s">
        <v>27</v>
      </c>
      <c r="G1017" t="s">
        <v>40</v>
      </c>
      <c r="H1017">
        <v>1</v>
      </c>
      <c r="I1017">
        <v>19711</v>
      </c>
      <c r="J1017">
        <v>0</v>
      </c>
      <c r="K1017">
        <v>19711</v>
      </c>
      <c r="L1017">
        <v>3906.22</v>
      </c>
      <c r="M1017" t="str">
        <f t="shared" si="135"/>
        <v>Monitor</v>
      </c>
      <c r="N1017" t="str">
        <f t="shared" si="136"/>
        <v>Chennai</v>
      </c>
      <c r="O1017" t="str">
        <f t="shared" si="137"/>
        <v>South</v>
      </c>
      <c r="P1017" t="str">
        <f t="shared" si="138"/>
        <v>Electronics</v>
      </c>
      <c r="Q1017" t="str">
        <f t="shared" si="139"/>
        <v>Electronics</v>
      </c>
      <c r="R1017" t="str">
        <f t="shared" si="140"/>
        <v>South</v>
      </c>
      <c r="S1017" t="str">
        <f t="shared" si="141"/>
        <v>Chennai</v>
      </c>
      <c r="T1017">
        <f t="shared" si="142"/>
        <v>19711</v>
      </c>
      <c r="U1017" t="str">
        <f t="shared" si="143"/>
        <v>OK</v>
      </c>
    </row>
    <row r="1018" spans="1:21" x14ac:dyDescent="0.3">
      <c r="A1018" t="s">
        <v>1255</v>
      </c>
      <c r="B1018" s="3">
        <v>45931</v>
      </c>
      <c r="C1018" t="s">
        <v>234</v>
      </c>
      <c r="D1018" t="s">
        <v>72</v>
      </c>
      <c r="E1018" t="s">
        <v>73</v>
      </c>
      <c r="F1018" t="s">
        <v>21</v>
      </c>
      <c r="G1018" t="s">
        <v>55</v>
      </c>
      <c r="H1018">
        <v>1</v>
      </c>
      <c r="I1018">
        <v>485</v>
      </c>
      <c r="J1018">
        <v>0.25</v>
      </c>
      <c r="K1018">
        <v>363.75</v>
      </c>
      <c r="L1018">
        <v>36.619999999999997</v>
      </c>
      <c r="M1018" t="str">
        <f t="shared" si="135"/>
        <v>Desk Organizer</v>
      </c>
      <c r="N1018" t="str">
        <f t="shared" si="136"/>
        <v>Pune</v>
      </c>
      <c r="O1018" t="str">
        <f t="shared" si="137"/>
        <v>West</v>
      </c>
      <c r="P1018" t="str">
        <f t="shared" si="138"/>
        <v>Office Supplies</v>
      </c>
      <c r="Q1018" t="str">
        <f t="shared" si="139"/>
        <v>Office Supplies</v>
      </c>
      <c r="R1018" t="str">
        <f t="shared" si="140"/>
        <v>West</v>
      </c>
      <c r="S1018" t="str">
        <f t="shared" si="141"/>
        <v>Pune</v>
      </c>
      <c r="T1018">
        <f t="shared" si="142"/>
        <v>363.75</v>
      </c>
      <c r="U1018" t="str">
        <f t="shared" si="143"/>
        <v>OK</v>
      </c>
    </row>
    <row r="1019" spans="1:21" x14ac:dyDescent="0.3">
      <c r="A1019" t="s">
        <v>1256</v>
      </c>
      <c r="B1019" s="3">
        <v>45713</v>
      </c>
      <c r="C1019" t="s">
        <v>363</v>
      </c>
      <c r="D1019" t="s">
        <v>97</v>
      </c>
      <c r="E1019" t="s">
        <v>44</v>
      </c>
      <c r="F1019" t="s">
        <v>21</v>
      </c>
      <c r="G1019" t="s">
        <v>35</v>
      </c>
      <c r="H1019">
        <v>2</v>
      </c>
      <c r="I1019">
        <v>702</v>
      </c>
      <c r="J1019">
        <v>0.2</v>
      </c>
      <c r="K1019">
        <v>1123.2</v>
      </c>
      <c r="L1019">
        <v>97.66</v>
      </c>
      <c r="M1019" t="str">
        <f t="shared" si="135"/>
        <v>USB Cable</v>
      </c>
      <c r="N1019" t="str">
        <f t="shared" si="136"/>
        <v>Mumbai</v>
      </c>
      <c r="O1019" t="str">
        <f t="shared" si="137"/>
        <v>West</v>
      </c>
      <c r="P1019" t="str">
        <f t="shared" si="138"/>
        <v>Accessories</v>
      </c>
      <c r="Q1019" t="str">
        <f t="shared" si="139"/>
        <v>Accessories</v>
      </c>
      <c r="R1019" t="str">
        <f t="shared" si="140"/>
        <v>West</v>
      </c>
      <c r="S1019" t="str">
        <f t="shared" si="141"/>
        <v>Mumbai</v>
      </c>
      <c r="T1019">
        <f t="shared" si="142"/>
        <v>1123.2</v>
      </c>
      <c r="U1019" t="str">
        <f t="shared" si="143"/>
        <v>OK</v>
      </c>
    </row>
    <row r="1020" spans="1:21" x14ac:dyDescent="0.3">
      <c r="A1020" t="s">
        <v>1257</v>
      </c>
      <c r="B1020" s="3">
        <v>45984</v>
      </c>
      <c r="C1020" t="s">
        <v>96</v>
      </c>
      <c r="D1020" t="s">
        <v>65</v>
      </c>
      <c r="E1020" t="s">
        <v>26</v>
      </c>
      <c r="F1020" t="s">
        <v>58</v>
      </c>
      <c r="G1020" t="s">
        <v>126</v>
      </c>
      <c r="H1020">
        <v>1</v>
      </c>
      <c r="I1020">
        <v>3891</v>
      </c>
      <c r="J1020">
        <v>0.1</v>
      </c>
      <c r="K1020">
        <v>3501.9</v>
      </c>
      <c r="L1020">
        <v>373.84</v>
      </c>
      <c r="M1020" t="str">
        <f t="shared" si="135"/>
        <v>Electric Kettle</v>
      </c>
      <c r="N1020" t="str">
        <f t="shared" si="136"/>
        <v>Delhi</v>
      </c>
      <c r="O1020" t="str">
        <f t="shared" si="137"/>
        <v>North</v>
      </c>
      <c r="P1020" t="str">
        <f t="shared" si="138"/>
        <v>Home Appliances</v>
      </c>
      <c r="Q1020" t="str">
        <f t="shared" si="139"/>
        <v>Home Appliances</v>
      </c>
      <c r="R1020" t="str">
        <f t="shared" si="140"/>
        <v>North</v>
      </c>
      <c r="S1020" t="str">
        <f t="shared" si="141"/>
        <v>Delhi</v>
      </c>
      <c r="T1020">
        <f t="shared" si="142"/>
        <v>3501.9</v>
      </c>
      <c r="U1020" t="str">
        <f t="shared" si="143"/>
        <v>OK</v>
      </c>
    </row>
    <row r="1021" spans="1:21" x14ac:dyDescent="0.3">
      <c r="A1021" t="s">
        <v>1258</v>
      </c>
      <c r="B1021" s="3">
        <v>45841</v>
      </c>
      <c r="C1021" t="s">
        <v>792</v>
      </c>
      <c r="D1021" t="s">
        <v>65</v>
      </c>
      <c r="E1021" t="s">
        <v>26</v>
      </c>
      <c r="F1021" t="s">
        <v>27</v>
      </c>
      <c r="G1021" t="s">
        <v>31</v>
      </c>
      <c r="H1021">
        <v>2</v>
      </c>
      <c r="I1021">
        <v>2514</v>
      </c>
      <c r="J1021">
        <v>0</v>
      </c>
      <c r="K1021">
        <v>5028</v>
      </c>
      <c r="L1021">
        <v>739.68</v>
      </c>
      <c r="M1021" t="str">
        <f t="shared" si="135"/>
        <v>Electric Kettle</v>
      </c>
      <c r="N1021" t="str">
        <f t="shared" si="136"/>
        <v>Hyderabad</v>
      </c>
      <c r="O1021" t="str">
        <f t="shared" si="137"/>
        <v>South</v>
      </c>
      <c r="P1021" t="str">
        <f t="shared" si="138"/>
        <v>Home Appliances</v>
      </c>
      <c r="Q1021" t="str">
        <f t="shared" si="139"/>
        <v>Home Appliances</v>
      </c>
      <c r="R1021" t="str">
        <f t="shared" si="140"/>
        <v>South</v>
      </c>
      <c r="S1021" t="str">
        <f t="shared" si="141"/>
        <v>Hyderabad</v>
      </c>
      <c r="T1021">
        <f t="shared" si="142"/>
        <v>5028</v>
      </c>
      <c r="U1021" t="str">
        <f t="shared" si="143"/>
        <v>OK</v>
      </c>
    </row>
    <row r="1022" spans="1:21" x14ac:dyDescent="0.3">
      <c r="A1022" t="s">
        <v>1259</v>
      </c>
      <c r="B1022" s="3">
        <v>45771</v>
      </c>
      <c r="C1022" t="s">
        <v>206</v>
      </c>
      <c r="D1022" t="s">
        <v>50</v>
      </c>
      <c r="E1022" t="s">
        <v>51</v>
      </c>
      <c r="F1022" t="s">
        <v>16</v>
      </c>
      <c r="G1022" t="s">
        <v>104</v>
      </c>
      <c r="H1022">
        <v>3</v>
      </c>
      <c r="I1022">
        <v>1144</v>
      </c>
      <c r="J1022">
        <v>0.2</v>
      </c>
      <c r="K1022">
        <v>2745.6</v>
      </c>
      <c r="L1022">
        <v>588.80999999999995</v>
      </c>
      <c r="M1022" t="str">
        <f t="shared" si="135"/>
        <v>Keyboard</v>
      </c>
      <c r="N1022" t="str">
        <f t="shared" si="136"/>
        <v>Bhubaneswar</v>
      </c>
      <c r="O1022" t="str">
        <f t="shared" si="137"/>
        <v>East</v>
      </c>
      <c r="P1022" t="str">
        <f t="shared" si="138"/>
        <v>Electronics</v>
      </c>
      <c r="Q1022" t="str">
        <f t="shared" si="139"/>
        <v>Electronics</v>
      </c>
      <c r="R1022" t="str">
        <f t="shared" si="140"/>
        <v>East</v>
      </c>
      <c r="S1022" t="str">
        <f t="shared" si="141"/>
        <v>Bhubaneswar</v>
      </c>
      <c r="T1022">
        <f t="shared" si="142"/>
        <v>2745.6000000000004</v>
      </c>
      <c r="U1022" t="str">
        <f t="shared" si="143"/>
        <v>OK</v>
      </c>
    </row>
    <row r="1023" spans="1:21" x14ac:dyDescent="0.3">
      <c r="A1023" t="s">
        <v>1260</v>
      </c>
      <c r="B1023" s="3">
        <v>45821</v>
      </c>
      <c r="C1023" t="s">
        <v>90</v>
      </c>
      <c r="D1023" t="s">
        <v>25</v>
      </c>
      <c r="E1023" t="s">
        <v>26</v>
      </c>
      <c r="F1023" t="s">
        <v>21</v>
      </c>
      <c r="G1023" t="s">
        <v>55</v>
      </c>
      <c r="H1023">
        <v>1</v>
      </c>
      <c r="I1023">
        <v>8272</v>
      </c>
      <c r="J1023">
        <v>0.15</v>
      </c>
      <c r="K1023">
        <v>7031.2</v>
      </c>
      <c r="L1023">
        <v>1745.76</v>
      </c>
      <c r="M1023" t="str">
        <f t="shared" si="135"/>
        <v>Microwave</v>
      </c>
      <c r="N1023" t="str">
        <f t="shared" si="136"/>
        <v>Pune</v>
      </c>
      <c r="O1023" t="str">
        <f t="shared" si="137"/>
        <v>West</v>
      </c>
      <c r="P1023" t="str">
        <f t="shared" si="138"/>
        <v>Home Appliances</v>
      </c>
      <c r="Q1023" t="str">
        <f t="shared" si="139"/>
        <v>Home Appliances</v>
      </c>
      <c r="R1023" t="str">
        <f t="shared" si="140"/>
        <v>West</v>
      </c>
      <c r="S1023" t="str">
        <f t="shared" si="141"/>
        <v>Pune</v>
      </c>
      <c r="T1023">
        <f t="shared" si="142"/>
        <v>7031.2</v>
      </c>
      <c r="U1023" t="str">
        <f t="shared" si="143"/>
        <v>OK</v>
      </c>
    </row>
    <row r="1024" spans="1:21" x14ac:dyDescent="0.3">
      <c r="A1024" t="s">
        <v>1261</v>
      </c>
      <c r="B1024" s="3">
        <v>45954</v>
      </c>
      <c r="C1024" t="s">
        <v>1262</v>
      </c>
      <c r="D1024" t="s">
        <v>68</v>
      </c>
      <c r="E1024" t="s">
        <v>44</v>
      </c>
      <c r="F1024" t="s">
        <v>27</v>
      </c>
      <c r="G1024" t="s">
        <v>40</v>
      </c>
      <c r="H1024">
        <v>1</v>
      </c>
      <c r="I1024">
        <v>4772</v>
      </c>
      <c r="J1024">
        <v>0.1</v>
      </c>
      <c r="K1024">
        <v>4294.8</v>
      </c>
      <c r="L1024">
        <v>549.96</v>
      </c>
      <c r="M1024" t="str">
        <f t="shared" si="135"/>
        <v>Webcam</v>
      </c>
      <c r="N1024" t="str">
        <f t="shared" si="136"/>
        <v>Chennai</v>
      </c>
      <c r="O1024" t="str">
        <f t="shared" si="137"/>
        <v>South</v>
      </c>
      <c r="P1024" t="str">
        <f t="shared" si="138"/>
        <v>Accessories</v>
      </c>
      <c r="Q1024" t="str">
        <f t="shared" si="139"/>
        <v>Accessories</v>
      </c>
      <c r="R1024" t="str">
        <f t="shared" si="140"/>
        <v>South</v>
      </c>
      <c r="S1024" t="str">
        <f t="shared" si="141"/>
        <v>Chennai</v>
      </c>
      <c r="T1024">
        <f t="shared" si="142"/>
        <v>4294.8</v>
      </c>
      <c r="U1024" t="str">
        <f t="shared" si="143"/>
        <v>OK</v>
      </c>
    </row>
    <row r="1025" spans="1:21" x14ac:dyDescent="0.3">
      <c r="A1025" t="s">
        <v>1263</v>
      </c>
      <c r="B1025" s="3">
        <v>45900</v>
      </c>
      <c r="C1025" t="s">
        <v>507</v>
      </c>
      <c r="D1025" t="s">
        <v>120</v>
      </c>
      <c r="E1025" t="s">
        <v>51</v>
      </c>
      <c r="F1025" t="s">
        <v>27</v>
      </c>
      <c r="G1025" t="s">
        <v>40</v>
      </c>
      <c r="H1025">
        <v>1</v>
      </c>
      <c r="I1025">
        <v>1153</v>
      </c>
      <c r="J1025">
        <v>0.1</v>
      </c>
      <c r="K1025">
        <v>1037.7</v>
      </c>
      <c r="L1025">
        <v>181.96</v>
      </c>
      <c r="M1025" t="str">
        <f t="shared" si="135"/>
        <v>Mouse</v>
      </c>
      <c r="N1025" t="str">
        <f t="shared" si="136"/>
        <v>Chennai</v>
      </c>
      <c r="O1025" t="str">
        <f t="shared" si="137"/>
        <v>South</v>
      </c>
      <c r="P1025" t="str">
        <f t="shared" si="138"/>
        <v>Electronics</v>
      </c>
      <c r="Q1025" t="str">
        <f t="shared" si="139"/>
        <v>Electronics</v>
      </c>
      <c r="R1025" t="str">
        <f t="shared" si="140"/>
        <v>South</v>
      </c>
      <c r="S1025" t="str">
        <f t="shared" si="141"/>
        <v>Chennai</v>
      </c>
      <c r="T1025">
        <f t="shared" si="142"/>
        <v>1037.7</v>
      </c>
      <c r="U1025" t="str">
        <f t="shared" si="143"/>
        <v>OK</v>
      </c>
    </row>
    <row r="1026" spans="1:21" x14ac:dyDescent="0.3">
      <c r="A1026" t="s">
        <v>1264</v>
      </c>
      <c r="B1026" s="3">
        <v>45779</v>
      </c>
      <c r="C1026" t="s">
        <v>313</v>
      </c>
      <c r="D1026" t="s">
        <v>25</v>
      </c>
      <c r="E1026" t="s">
        <v>26</v>
      </c>
      <c r="F1026" t="s">
        <v>27</v>
      </c>
      <c r="G1026" t="s">
        <v>31</v>
      </c>
      <c r="H1026">
        <v>4</v>
      </c>
      <c r="I1026">
        <v>10577</v>
      </c>
      <c r="J1026">
        <v>0</v>
      </c>
      <c r="K1026">
        <v>42308</v>
      </c>
      <c r="L1026">
        <v>4838.97</v>
      </c>
      <c r="M1026" t="str">
        <f t="shared" si="135"/>
        <v>Microwave</v>
      </c>
      <c r="N1026" t="str">
        <f t="shared" si="136"/>
        <v>Hyderabad</v>
      </c>
      <c r="O1026" t="str">
        <f t="shared" si="137"/>
        <v>South</v>
      </c>
      <c r="P1026" t="str">
        <f t="shared" si="138"/>
        <v>Home Appliances</v>
      </c>
      <c r="Q1026" t="str">
        <f t="shared" si="139"/>
        <v>Home Appliances</v>
      </c>
      <c r="R1026" t="str">
        <f t="shared" si="140"/>
        <v>South</v>
      </c>
      <c r="S1026" t="str">
        <f t="shared" si="141"/>
        <v>Hyderabad</v>
      </c>
      <c r="T1026">
        <f t="shared" si="142"/>
        <v>42308</v>
      </c>
      <c r="U1026" t="str">
        <f t="shared" si="143"/>
        <v>OK</v>
      </c>
    </row>
    <row r="1027" spans="1:21" x14ac:dyDescent="0.3">
      <c r="A1027" t="s">
        <v>1265</v>
      </c>
      <c r="B1027" s="3">
        <v>45937</v>
      </c>
      <c r="C1027" t="s">
        <v>156</v>
      </c>
      <c r="D1027" t="s">
        <v>153</v>
      </c>
      <c r="E1027" t="s">
        <v>26</v>
      </c>
      <c r="F1027" t="s">
        <v>58</v>
      </c>
      <c r="G1027" t="s">
        <v>69</v>
      </c>
      <c r="H1027">
        <v>1</v>
      </c>
      <c r="I1027">
        <v>5809</v>
      </c>
      <c r="J1027">
        <v>0</v>
      </c>
      <c r="K1027">
        <v>5809</v>
      </c>
      <c r="L1027">
        <v>1423.56</v>
      </c>
      <c r="M1027" t="str">
        <f t="shared" ref="M1027:M1090" si="144">TRIM(D1027)</f>
        <v>Coffee Maker</v>
      </c>
      <c r="N1027" t="str">
        <f t="shared" ref="N1027:N1090" si="145">TRIM(G1027)</f>
        <v>Jaipur</v>
      </c>
      <c r="O1027" t="str">
        <f t="shared" ref="O1027:O1090" si="146">TRIM(F:F)</f>
        <v>North</v>
      </c>
      <c r="P1027" t="str">
        <f t="shared" ref="P1027:P1090" si="147">TRIM(E1027)</f>
        <v>Home Appliances</v>
      </c>
      <c r="Q1027" t="str">
        <f t="shared" ref="Q1027:Q1090" si="148">PROPER(E1027)</f>
        <v>Home Appliances</v>
      </c>
      <c r="R1027" t="str">
        <f t="shared" ref="R1027:R1090" si="149">PROPER(F1027)</f>
        <v>North</v>
      </c>
      <c r="S1027" t="str">
        <f t="shared" ref="S1027:S1090" si="150">PROPER(G1027)</f>
        <v>Jaipur</v>
      </c>
      <c r="T1027">
        <f t="shared" ref="T1027:T1090" si="151">H1027*I1027*(1-J1027)</f>
        <v>5809</v>
      </c>
      <c r="U1027" t="str">
        <f t="shared" ref="U1027:U1090" si="152">IF(ROUND(K1027,2)=ROUND(T1027,2),"OK","CHECK")</f>
        <v>OK</v>
      </c>
    </row>
    <row r="1028" spans="1:21" x14ac:dyDescent="0.3">
      <c r="A1028" t="s">
        <v>1266</v>
      </c>
      <c r="B1028" s="3">
        <v>45719</v>
      </c>
      <c r="C1028" t="s">
        <v>546</v>
      </c>
      <c r="D1028" t="s">
        <v>83</v>
      </c>
      <c r="E1028" t="s">
        <v>73</v>
      </c>
      <c r="F1028" t="s">
        <v>21</v>
      </c>
      <c r="G1028" t="s">
        <v>22</v>
      </c>
      <c r="H1028">
        <v>1</v>
      </c>
      <c r="I1028">
        <v>529</v>
      </c>
      <c r="J1028">
        <v>0</v>
      </c>
      <c r="K1028">
        <v>529</v>
      </c>
      <c r="L1028">
        <v>102.23</v>
      </c>
      <c r="M1028" t="str">
        <f t="shared" si="144"/>
        <v>Printer Paper</v>
      </c>
      <c r="N1028" t="str">
        <f t="shared" si="145"/>
        <v>Ahmedabad</v>
      </c>
      <c r="O1028" t="str">
        <f t="shared" si="146"/>
        <v>West</v>
      </c>
      <c r="P1028" t="str">
        <f t="shared" si="147"/>
        <v>Office Supplies</v>
      </c>
      <c r="Q1028" t="str">
        <f t="shared" si="148"/>
        <v>Office Supplies</v>
      </c>
      <c r="R1028" t="str">
        <f t="shared" si="149"/>
        <v>West</v>
      </c>
      <c r="S1028" t="str">
        <f t="shared" si="150"/>
        <v>Ahmedabad</v>
      </c>
      <c r="T1028">
        <f t="shared" si="151"/>
        <v>529</v>
      </c>
      <c r="U1028" t="str">
        <f t="shared" si="152"/>
        <v>OK</v>
      </c>
    </row>
    <row r="1029" spans="1:21" x14ac:dyDescent="0.3">
      <c r="A1029" t="s">
        <v>1267</v>
      </c>
      <c r="B1029" s="3">
        <v>45998</v>
      </c>
      <c r="C1029" t="s">
        <v>1109</v>
      </c>
      <c r="D1029" t="s">
        <v>202</v>
      </c>
      <c r="E1029" t="s">
        <v>44</v>
      </c>
      <c r="F1029" t="s">
        <v>58</v>
      </c>
      <c r="G1029" t="s">
        <v>69</v>
      </c>
      <c r="H1029">
        <v>3</v>
      </c>
      <c r="I1029">
        <v>3036</v>
      </c>
      <c r="J1029">
        <v>0.1</v>
      </c>
      <c r="K1029">
        <v>8197.2000000000007</v>
      </c>
      <c r="L1029">
        <v>950.54</v>
      </c>
      <c r="M1029" t="str">
        <f t="shared" si="144"/>
        <v>Laptop Stand</v>
      </c>
      <c r="N1029" t="str">
        <f t="shared" si="145"/>
        <v>Jaipur</v>
      </c>
      <c r="O1029" t="str">
        <f t="shared" si="146"/>
        <v>North</v>
      </c>
      <c r="P1029" t="str">
        <f t="shared" si="147"/>
        <v>Accessories</v>
      </c>
      <c r="Q1029" t="str">
        <f t="shared" si="148"/>
        <v>Accessories</v>
      </c>
      <c r="R1029" t="str">
        <f t="shared" si="149"/>
        <v>North</v>
      </c>
      <c r="S1029" t="str">
        <f t="shared" si="150"/>
        <v>Jaipur</v>
      </c>
      <c r="T1029">
        <f t="shared" si="151"/>
        <v>8197.2000000000007</v>
      </c>
      <c r="U1029" t="str">
        <f t="shared" si="152"/>
        <v>OK</v>
      </c>
    </row>
    <row r="1030" spans="1:21" x14ac:dyDescent="0.3">
      <c r="A1030" t="s">
        <v>1268</v>
      </c>
      <c r="B1030" s="3">
        <v>45765</v>
      </c>
      <c r="C1030" t="s">
        <v>321</v>
      </c>
      <c r="D1030" t="s">
        <v>43</v>
      </c>
      <c r="E1030" t="s">
        <v>44</v>
      </c>
      <c r="F1030" t="s">
        <v>16</v>
      </c>
      <c r="G1030" t="s">
        <v>104</v>
      </c>
      <c r="H1030">
        <v>4</v>
      </c>
      <c r="I1030">
        <v>418</v>
      </c>
      <c r="J1030">
        <v>0.05</v>
      </c>
      <c r="K1030">
        <v>1588.4</v>
      </c>
      <c r="L1030">
        <v>432.78</v>
      </c>
      <c r="M1030" t="str">
        <f t="shared" si="144"/>
        <v>Phone Holder</v>
      </c>
      <c r="N1030" t="str">
        <f t="shared" si="145"/>
        <v>Bhubaneswar</v>
      </c>
      <c r="O1030" t="str">
        <f t="shared" si="146"/>
        <v>East</v>
      </c>
      <c r="P1030" t="str">
        <f t="shared" si="147"/>
        <v>Accessories</v>
      </c>
      <c r="Q1030" t="str">
        <f t="shared" si="148"/>
        <v>Accessories</v>
      </c>
      <c r="R1030" t="str">
        <f t="shared" si="149"/>
        <v>East</v>
      </c>
      <c r="S1030" t="str">
        <f t="shared" si="150"/>
        <v>Bhubaneswar</v>
      </c>
      <c r="T1030">
        <f t="shared" si="151"/>
        <v>1588.3999999999999</v>
      </c>
      <c r="U1030" t="str">
        <f t="shared" si="152"/>
        <v>OK</v>
      </c>
    </row>
    <row r="1031" spans="1:21" x14ac:dyDescent="0.3">
      <c r="A1031" t="s">
        <v>1269</v>
      </c>
      <c r="B1031" s="3">
        <v>45892</v>
      </c>
      <c r="C1031" t="s">
        <v>570</v>
      </c>
      <c r="D1031" t="s">
        <v>43</v>
      </c>
      <c r="E1031" t="s">
        <v>44</v>
      </c>
      <c r="F1031" t="s">
        <v>58</v>
      </c>
      <c r="G1031" t="s">
        <v>69</v>
      </c>
      <c r="H1031">
        <v>4</v>
      </c>
      <c r="I1031">
        <v>865</v>
      </c>
      <c r="J1031">
        <v>0.1</v>
      </c>
      <c r="K1031">
        <v>3114</v>
      </c>
      <c r="L1031">
        <v>871.74</v>
      </c>
      <c r="M1031" t="str">
        <f t="shared" si="144"/>
        <v>Phone Holder</v>
      </c>
      <c r="N1031" t="str">
        <f t="shared" si="145"/>
        <v>Jaipur</v>
      </c>
      <c r="O1031" t="str">
        <f t="shared" si="146"/>
        <v>North</v>
      </c>
      <c r="P1031" t="str">
        <f t="shared" si="147"/>
        <v>Accessories</v>
      </c>
      <c r="Q1031" t="str">
        <f t="shared" si="148"/>
        <v>Accessories</v>
      </c>
      <c r="R1031" t="str">
        <f t="shared" si="149"/>
        <v>North</v>
      </c>
      <c r="S1031" t="str">
        <f t="shared" si="150"/>
        <v>Jaipur</v>
      </c>
      <c r="T1031">
        <f t="shared" si="151"/>
        <v>3114</v>
      </c>
      <c r="U1031" t="str">
        <f t="shared" si="152"/>
        <v>OK</v>
      </c>
    </row>
    <row r="1032" spans="1:21" x14ac:dyDescent="0.3">
      <c r="A1032" t="s">
        <v>1270</v>
      </c>
      <c r="B1032" s="3">
        <v>45870</v>
      </c>
      <c r="C1032" t="s">
        <v>719</v>
      </c>
      <c r="D1032" t="s">
        <v>120</v>
      </c>
      <c r="E1032" t="s">
        <v>51</v>
      </c>
      <c r="F1032" t="s">
        <v>21</v>
      </c>
      <c r="G1032" t="s">
        <v>55</v>
      </c>
      <c r="H1032">
        <v>3</v>
      </c>
      <c r="I1032">
        <v>1571</v>
      </c>
      <c r="J1032">
        <v>0.2</v>
      </c>
      <c r="K1032">
        <v>3770.4</v>
      </c>
      <c r="L1032">
        <v>952.38</v>
      </c>
      <c r="M1032" t="str">
        <f t="shared" si="144"/>
        <v>Mouse</v>
      </c>
      <c r="N1032" t="str">
        <f t="shared" si="145"/>
        <v>Pune</v>
      </c>
      <c r="O1032" t="str">
        <f t="shared" si="146"/>
        <v>West</v>
      </c>
      <c r="P1032" t="str">
        <f t="shared" si="147"/>
        <v>Electronics</v>
      </c>
      <c r="Q1032" t="str">
        <f t="shared" si="148"/>
        <v>Electronics</v>
      </c>
      <c r="R1032" t="str">
        <f t="shared" si="149"/>
        <v>West</v>
      </c>
      <c r="S1032" t="str">
        <f t="shared" si="150"/>
        <v>Pune</v>
      </c>
      <c r="T1032">
        <f t="shared" si="151"/>
        <v>3770.4</v>
      </c>
      <c r="U1032" t="str">
        <f t="shared" si="152"/>
        <v>OK</v>
      </c>
    </row>
    <row r="1033" spans="1:21" x14ac:dyDescent="0.3">
      <c r="A1033" t="s">
        <v>1271</v>
      </c>
      <c r="B1033" s="3">
        <v>45943</v>
      </c>
      <c r="C1033" t="s">
        <v>398</v>
      </c>
      <c r="D1033" t="s">
        <v>80</v>
      </c>
      <c r="E1033" t="s">
        <v>51</v>
      </c>
      <c r="F1033" t="s">
        <v>58</v>
      </c>
      <c r="G1033" t="s">
        <v>59</v>
      </c>
      <c r="H1033">
        <v>2</v>
      </c>
      <c r="I1033">
        <v>66525</v>
      </c>
      <c r="J1033">
        <v>0.05</v>
      </c>
      <c r="K1033">
        <v>126397.5</v>
      </c>
      <c r="L1033">
        <v>17537.95</v>
      </c>
      <c r="M1033" t="str">
        <f t="shared" si="144"/>
        <v>Laptop</v>
      </c>
      <c r="N1033" t="str">
        <f t="shared" si="145"/>
        <v>Chandigarh</v>
      </c>
      <c r="O1033" t="str">
        <f t="shared" si="146"/>
        <v>North</v>
      </c>
      <c r="P1033" t="str">
        <f t="shared" si="147"/>
        <v>Electronics</v>
      </c>
      <c r="Q1033" t="str">
        <f t="shared" si="148"/>
        <v>Electronics</v>
      </c>
      <c r="R1033" t="str">
        <f t="shared" si="149"/>
        <v>North</v>
      </c>
      <c r="S1033" t="str">
        <f t="shared" si="150"/>
        <v>Chandigarh</v>
      </c>
      <c r="T1033">
        <f t="shared" si="151"/>
        <v>126397.5</v>
      </c>
      <c r="U1033" t="str">
        <f t="shared" si="152"/>
        <v>OK</v>
      </c>
    </row>
    <row r="1034" spans="1:21" x14ac:dyDescent="0.3">
      <c r="A1034" t="s">
        <v>1272</v>
      </c>
      <c r="B1034" s="3">
        <v>45675</v>
      </c>
      <c r="C1034" t="s">
        <v>878</v>
      </c>
      <c r="D1034" t="s">
        <v>50</v>
      </c>
      <c r="E1034" t="s">
        <v>51</v>
      </c>
      <c r="F1034" t="s">
        <v>16</v>
      </c>
      <c r="G1034" t="s">
        <v>17</v>
      </c>
      <c r="H1034">
        <v>1</v>
      </c>
      <c r="I1034">
        <v>2385</v>
      </c>
      <c r="J1034">
        <v>0</v>
      </c>
      <c r="K1034">
        <v>2385</v>
      </c>
      <c r="L1034">
        <v>586.54999999999995</v>
      </c>
      <c r="M1034" t="str">
        <f t="shared" si="144"/>
        <v>Keyboard</v>
      </c>
      <c r="N1034" t="str">
        <f t="shared" si="145"/>
        <v>Guwahati</v>
      </c>
      <c r="O1034" t="str">
        <f t="shared" si="146"/>
        <v>East</v>
      </c>
      <c r="P1034" t="str">
        <f t="shared" si="147"/>
        <v>Electronics</v>
      </c>
      <c r="Q1034" t="str">
        <f t="shared" si="148"/>
        <v>Electronics</v>
      </c>
      <c r="R1034" t="str">
        <f t="shared" si="149"/>
        <v>East</v>
      </c>
      <c r="S1034" t="str">
        <f t="shared" si="150"/>
        <v>Guwahati</v>
      </c>
      <c r="T1034">
        <f t="shared" si="151"/>
        <v>2385</v>
      </c>
      <c r="U1034" t="str">
        <f t="shared" si="152"/>
        <v>OK</v>
      </c>
    </row>
    <row r="1035" spans="1:21" x14ac:dyDescent="0.3">
      <c r="A1035" t="s">
        <v>1273</v>
      </c>
      <c r="B1035" s="3">
        <v>45938</v>
      </c>
      <c r="C1035" t="s">
        <v>391</v>
      </c>
      <c r="D1035" t="s">
        <v>65</v>
      </c>
      <c r="E1035" t="s">
        <v>26</v>
      </c>
      <c r="F1035" t="s">
        <v>21</v>
      </c>
      <c r="G1035" t="s">
        <v>35</v>
      </c>
      <c r="H1035">
        <v>2</v>
      </c>
      <c r="I1035">
        <v>4356</v>
      </c>
      <c r="J1035">
        <v>0.15</v>
      </c>
      <c r="K1035">
        <v>7405.2</v>
      </c>
      <c r="L1035">
        <v>2028.37</v>
      </c>
      <c r="M1035" t="str">
        <f t="shared" si="144"/>
        <v>Electric Kettle</v>
      </c>
      <c r="N1035" t="str">
        <f t="shared" si="145"/>
        <v>Mumbai</v>
      </c>
      <c r="O1035" t="str">
        <f t="shared" si="146"/>
        <v>West</v>
      </c>
      <c r="P1035" t="str">
        <f t="shared" si="147"/>
        <v>Home Appliances</v>
      </c>
      <c r="Q1035" t="str">
        <f t="shared" si="148"/>
        <v>Home Appliances</v>
      </c>
      <c r="R1035" t="str">
        <f t="shared" si="149"/>
        <v>West</v>
      </c>
      <c r="S1035" t="str">
        <f t="shared" si="150"/>
        <v>Mumbai</v>
      </c>
      <c r="T1035">
        <f t="shared" si="151"/>
        <v>7405.2</v>
      </c>
      <c r="U1035" t="str">
        <f t="shared" si="152"/>
        <v>OK</v>
      </c>
    </row>
    <row r="1036" spans="1:21" x14ac:dyDescent="0.3">
      <c r="A1036" t="s">
        <v>1274</v>
      </c>
      <c r="B1036" s="3">
        <v>45821</v>
      </c>
      <c r="C1036" t="s">
        <v>278</v>
      </c>
      <c r="D1036" t="s">
        <v>83</v>
      </c>
      <c r="E1036" t="s">
        <v>73</v>
      </c>
      <c r="F1036" t="s">
        <v>21</v>
      </c>
      <c r="G1036" t="s">
        <v>22</v>
      </c>
      <c r="H1036">
        <v>2</v>
      </c>
      <c r="I1036">
        <v>542</v>
      </c>
      <c r="J1036">
        <v>0.15</v>
      </c>
      <c r="K1036">
        <v>921.4</v>
      </c>
      <c r="L1036">
        <v>250.04</v>
      </c>
      <c r="M1036" t="str">
        <f t="shared" si="144"/>
        <v>Printer Paper</v>
      </c>
      <c r="N1036" t="str">
        <f t="shared" si="145"/>
        <v>Ahmedabad</v>
      </c>
      <c r="O1036" t="str">
        <f t="shared" si="146"/>
        <v>West</v>
      </c>
      <c r="P1036" t="str">
        <f t="shared" si="147"/>
        <v>Office Supplies</v>
      </c>
      <c r="Q1036" t="str">
        <f t="shared" si="148"/>
        <v>Office Supplies</v>
      </c>
      <c r="R1036" t="str">
        <f t="shared" si="149"/>
        <v>West</v>
      </c>
      <c r="S1036" t="str">
        <f t="shared" si="150"/>
        <v>Ahmedabad</v>
      </c>
      <c r="T1036">
        <f t="shared" si="151"/>
        <v>921.4</v>
      </c>
      <c r="U1036" t="str">
        <f t="shared" si="152"/>
        <v>OK</v>
      </c>
    </row>
    <row r="1037" spans="1:21" x14ac:dyDescent="0.3">
      <c r="A1037" t="s">
        <v>1275</v>
      </c>
      <c r="B1037" s="3">
        <v>45888</v>
      </c>
      <c r="C1037" t="s">
        <v>346</v>
      </c>
      <c r="D1037" t="s">
        <v>97</v>
      </c>
      <c r="E1037" t="s">
        <v>44</v>
      </c>
      <c r="F1037" t="s">
        <v>27</v>
      </c>
      <c r="G1037" t="s">
        <v>40</v>
      </c>
      <c r="H1037">
        <v>3</v>
      </c>
      <c r="I1037">
        <v>1058</v>
      </c>
      <c r="J1037">
        <v>0.05</v>
      </c>
      <c r="K1037">
        <v>3015.3</v>
      </c>
      <c r="L1037">
        <v>281.31</v>
      </c>
      <c r="M1037" t="str">
        <f t="shared" si="144"/>
        <v>USB Cable</v>
      </c>
      <c r="N1037" t="str">
        <f t="shared" si="145"/>
        <v>Chennai</v>
      </c>
      <c r="O1037" t="str">
        <f t="shared" si="146"/>
        <v>South</v>
      </c>
      <c r="P1037" t="str">
        <f t="shared" si="147"/>
        <v>Accessories</v>
      </c>
      <c r="Q1037" t="str">
        <f t="shared" si="148"/>
        <v>Accessories</v>
      </c>
      <c r="R1037" t="str">
        <f t="shared" si="149"/>
        <v>South</v>
      </c>
      <c r="S1037" t="str">
        <f t="shared" si="150"/>
        <v>Chennai</v>
      </c>
      <c r="T1037">
        <f t="shared" si="151"/>
        <v>3015.2999999999997</v>
      </c>
      <c r="U1037" t="str">
        <f t="shared" si="152"/>
        <v>OK</v>
      </c>
    </row>
    <row r="1038" spans="1:21" x14ac:dyDescent="0.3">
      <c r="A1038" t="s">
        <v>1276</v>
      </c>
      <c r="B1038" s="3">
        <v>45692</v>
      </c>
      <c r="C1038" t="s">
        <v>187</v>
      </c>
      <c r="D1038" t="s">
        <v>65</v>
      </c>
      <c r="E1038" t="s">
        <v>26</v>
      </c>
      <c r="F1038" t="s">
        <v>16</v>
      </c>
      <c r="G1038" t="s">
        <v>17</v>
      </c>
      <c r="H1038">
        <v>2</v>
      </c>
      <c r="I1038">
        <v>1641</v>
      </c>
      <c r="J1038">
        <v>0</v>
      </c>
      <c r="K1038">
        <v>3282</v>
      </c>
      <c r="L1038">
        <v>771.54</v>
      </c>
      <c r="M1038" t="str">
        <f t="shared" si="144"/>
        <v>Electric Kettle</v>
      </c>
      <c r="N1038" t="str">
        <f t="shared" si="145"/>
        <v>Guwahati</v>
      </c>
      <c r="O1038" t="str">
        <f t="shared" si="146"/>
        <v>East</v>
      </c>
      <c r="P1038" t="str">
        <f t="shared" si="147"/>
        <v>Home Appliances</v>
      </c>
      <c r="Q1038" t="str">
        <f t="shared" si="148"/>
        <v>Home Appliances</v>
      </c>
      <c r="R1038" t="str">
        <f t="shared" si="149"/>
        <v>East</v>
      </c>
      <c r="S1038" t="str">
        <f t="shared" si="150"/>
        <v>Guwahati</v>
      </c>
      <c r="T1038">
        <f t="shared" si="151"/>
        <v>3282</v>
      </c>
      <c r="U1038" t="str">
        <f t="shared" si="152"/>
        <v>OK</v>
      </c>
    </row>
    <row r="1039" spans="1:21" x14ac:dyDescent="0.3">
      <c r="A1039" t="s">
        <v>1277</v>
      </c>
      <c r="B1039" s="3">
        <v>45799</v>
      </c>
      <c r="C1039" t="s">
        <v>339</v>
      </c>
      <c r="D1039" t="s">
        <v>88</v>
      </c>
      <c r="E1039" t="s">
        <v>73</v>
      </c>
      <c r="F1039" t="s">
        <v>21</v>
      </c>
      <c r="G1039" t="s">
        <v>35</v>
      </c>
      <c r="H1039">
        <v>2</v>
      </c>
      <c r="I1039">
        <v>554</v>
      </c>
      <c r="J1039">
        <v>0.05</v>
      </c>
      <c r="K1039">
        <v>1052.5999999999999</v>
      </c>
      <c r="L1039">
        <v>249.11</v>
      </c>
      <c r="M1039" t="str">
        <f t="shared" si="144"/>
        <v>Stapler</v>
      </c>
      <c r="N1039" t="str">
        <f t="shared" si="145"/>
        <v>Mumbai</v>
      </c>
      <c r="O1039" t="str">
        <f t="shared" si="146"/>
        <v>West</v>
      </c>
      <c r="P1039" t="str">
        <f t="shared" si="147"/>
        <v>Office Supplies</v>
      </c>
      <c r="Q1039" t="str">
        <f t="shared" si="148"/>
        <v>Office Supplies</v>
      </c>
      <c r="R1039" t="str">
        <f t="shared" si="149"/>
        <v>West</v>
      </c>
      <c r="S1039" t="str">
        <f t="shared" si="150"/>
        <v>Mumbai</v>
      </c>
      <c r="T1039">
        <f t="shared" si="151"/>
        <v>1052.5999999999999</v>
      </c>
      <c r="U1039" t="str">
        <f t="shared" si="152"/>
        <v>OK</v>
      </c>
    </row>
    <row r="1040" spans="1:21" x14ac:dyDescent="0.3">
      <c r="A1040" t="s">
        <v>1278</v>
      </c>
      <c r="B1040" s="3">
        <v>45862</v>
      </c>
      <c r="C1040" t="s">
        <v>49</v>
      </c>
      <c r="D1040" t="s">
        <v>103</v>
      </c>
      <c r="E1040" t="s">
        <v>51</v>
      </c>
      <c r="F1040" t="s">
        <v>58</v>
      </c>
      <c r="G1040" t="s">
        <v>126</v>
      </c>
      <c r="H1040">
        <v>1</v>
      </c>
      <c r="I1040">
        <v>5784</v>
      </c>
      <c r="J1040">
        <v>0</v>
      </c>
      <c r="K1040">
        <v>5784</v>
      </c>
      <c r="L1040">
        <v>1460.38</v>
      </c>
      <c r="M1040" t="str">
        <f t="shared" si="144"/>
        <v>Headphones</v>
      </c>
      <c r="N1040" t="str">
        <f t="shared" si="145"/>
        <v>Delhi</v>
      </c>
      <c r="O1040" t="str">
        <f t="shared" si="146"/>
        <v>North</v>
      </c>
      <c r="P1040" t="str">
        <f t="shared" si="147"/>
        <v>Electronics</v>
      </c>
      <c r="Q1040" t="str">
        <f t="shared" si="148"/>
        <v>Electronics</v>
      </c>
      <c r="R1040" t="str">
        <f t="shared" si="149"/>
        <v>North</v>
      </c>
      <c r="S1040" t="str">
        <f t="shared" si="150"/>
        <v>Delhi</v>
      </c>
      <c r="T1040">
        <f t="shared" si="151"/>
        <v>5784</v>
      </c>
      <c r="U1040" t="str">
        <f t="shared" si="152"/>
        <v>OK</v>
      </c>
    </row>
    <row r="1041" spans="1:21" x14ac:dyDescent="0.3">
      <c r="A1041" t="s">
        <v>1279</v>
      </c>
      <c r="B1041" s="3">
        <v>45869</v>
      </c>
      <c r="C1041" t="s">
        <v>194</v>
      </c>
      <c r="D1041" t="s">
        <v>50</v>
      </c>
      <c r="E1041" t="s">
        <v>51</v>
      </c>
      <c r="F1041" t="s">
        <v>21</v>
      </c>
      <c r="G1041" t="s">
        <v>22</v>
      </c>
      <c r="H1041">
        <v>1</v>
      </c>
      <c r="I1041">
        <v>1529</v>
      </c>
      <c r="J1041">
        <v>0</v>
      </c>
      <c r="K1041">
        <v>1529</v>
      </c>
      <c r="L1041">
        <v>322.32</v>
      </c>
      <c r="M1041" t="str">
        <f t="shared" si="144"/>
        <v>Keyboard</v>
      </c>
      <c r="N1041" t="str">
        <f t="shared" si="145"/>
        <v>Ahmedabad</v>
      </c>
      <c r="O1041" t="str">
        <f t="shared" si="146"/>
        <v>West</v>
      </c>
      <c r="P1041" t="str">
        <f t="shared" si="147"/>
        <v>Electronics</v>
      </c>
      <c r="Q1041" t="str">
        <f t="shared" si="148"/>
        <v>Electronics</v>
      </c>
      <c r="R1041" t="str">
        <f t="shared" si="149"/>
        <v>West</v>
      </c>
      <c r="S1041" t="str">
        <f t="shared" si="150"/>
        <v>Ahmedabad</v>
      </c>
      <c r="T1041">
        <f t="shared" si="151"/>
        <v>1529</v>
      </c>
      <c r="U1041" t="str">
        <f t="shared" si="152"/>
        <v>OK</v>
      </c>
    </row>
    <row r="1042" spans="1:21" x14ac:dyDescent="0.3">
      <c r="A1042" t="s">
        <v>1280</v>
      </c>
      <c r="B1042" s="3">
        <v>45799</v>
      </c>
      <c r="C1042" t="s">
        <v>13</v>
      </c>
      <c r="D1042" t="s">
        <v>120</v>
      </c>
      <c r="E1042" t="s">
        <v>51</v>
      </c>
      <c r="F1042" t="s">
        <v>27</v>
      </c>
      <c r="G1042" t="s">
        <v>28</v>
      </c>
      <c r="H1042">
        <v>3</v>
      </c>
      <c r="I1042">
        <v>611</v>
      </c>
      <c r="J1042">
        <v>0.15</v>
      </c>
      <c r="K1042">
        <v>1558.05</v>
      </c>
      <c r="L1042">
        <v>334.52</v>
      </c>
      <c r="M1042" t="str">
        <f t="shared" si="144"/>
        <v>Mouse</v>
      </c>
      <c r="N1042" t="str">
        <f t="shared" si="145"/>
        <v>Bengaluru</v>
      </c>
      <c r="O1042" t="str">
        <f t="shared" si="146"/>
        <v>South</v>
      </c>
      <c r="P1042" t="str">
        <f t="shared" si="147"/>
        <v>Electronics</v>
      </c>
      <c r="Q1042" t="str">
        <f t="shared" si="148"/>
        <v>Electronics</v>
      </c>
      <c r="R1042" t="str">
        <f t="shared" si="149"/>
        <v>South</v>
      </c>
      <c r="S1042" t="str">
        <f t="shared" si="150"/>
        <v>Bengaluru</v>
      </c>
      <c r="T1042">
        <f t="shared" si="151"/>
        <v>1558.05</v>
      </c>
      <c r="U1042" t="str">
        <f t="shared" si="152"/>
        <v>OK</v>
      </c>
    </row>
    <row r="1043" spans="1:21" x14ac:dyDescent="0.3">
      <c r="A1043" t="s">
        <v>1281</v>
      </c>
      <c r="B1043" s="3">
        <v>45713</v>
      </c>
      <c r="C1043" t="s">
        <v>636</v>
      </c>
      <c r="D1043" t="s">
        <v>153</v>
      </c>
      <c r="E1043" t="s">
        <v>26</v>
      </c>
      <c r="F1043" t="s">
        <v>16</v>
      </c>
      <c r="G1043" t="s">
        <v>52</v>
      </c>
      <c r="H1043">
        <v>3</v>
      </c>
      <c r="I1043">
        <v>3984</v>
      </c>
      <c r="J1043">
        <v>0.15</v>
      </c>
      <c r="K1043">
        <v>10159.200000000001</v>
      </c>
      <c r="L1043">
        <v>1226.78</v>
      </c>
      <c r="M1043" t="str">
        <f t="shared" si="144"/>
        <v>Coffee Maker</v>
      </c>
      <c r="N1043" t="str">
        <f t="shared" si="145"/>
        <v>Kolkata</v>
      </c>
      <c r="O1043" t="str">
        <f t="shared" si="146"/>
        <v>East</v>
      </c>
      <c r="P1043" t="str">
        <f t="shared" si="147"/>
        <v>Home Appliances</v>
      </c>
      <c r="Q1043" t="str">
        <f t="shared" si="148"/>
        <v>Home Appliances</v>
      </c>
      <c r="R1043" t="str">
        <f t="shared" si="149"/>
        <v>East</v>
      </c>
      <c r="S1043" t="str">
        <f t="shared" si="150"/>
        <v>Kolkata</v>
      </c>
      <c r="T1043">
        <f t="shared" si="151"/>
        <v>10159.199999999999</v>
      </c>
      <c r="U1043" t="str">
        <f t="shared" si="152"/>
        <v>OK</v>
      </c>
    </row>
    <row r="1044" spans="1:21" x14ac:dyDescent="0.3">
      <c r="A1044" t="s">
        <v>1282</v>
      </c>
      <c r="B1044" s="3">
        <v>45927</v>
      </c>
      <c r="C1044" t="s">
        <v>156</v>
      </c>
      <c r="D1044" t="s">
        <v>97</v>
      </c>
      <c r="E1044" t="s">
        <v>44</v>
      </c>
      <c r="F1044" t="s">
        <v>27</v>
      </c>
      <c r="G1044" t="s">
        <v>31</v>
      </c>
      <c r="H1044">
        <v>5</v>
      </c>
      <c r="I1044">
        <v>490</v>
      </c>
      <c r="J1044">
        <v>0.05</v>
      </c>
      <c r="K1044">
        <v>2327.5</v>
      </c>
      <c r="L1044">
        <v>428.34</v>
      </c>
      <c r="M1044" t="str">
        <f t="shared" si="144"/>
        <v>USB Cable</v>
      </c>
      <c r="N1044" t="str">
        <f t="shared" si="145"/>
        <v>Hyderabad</v>
      </c>
      <c r="O1044" t="str">
        <f t="shared" si="146"/>
        <v>South</v>
      </c>
      <c r="P1044" t="str">
        <f t="shared" si="147"/>
        <v>Accessories</v>
      </c>
      <c r="Q1044" t="str">
        <f t="shared" si="148"/>
        <v>Accessories</v>
      </c>
      <c r="R1044" t="str">
        <f t="shared" si="149"/>
        <v>South</v>
      </c>
      <c r="S1044" t="str">
        <f t="shared" si="150"/>
        <v>Hyderabad</v>
      </c>
      <c r="T1044">
        <f t="shared" si="151"/>
        <v>2327.5</v>
      </c>
      <c r="U1044" t="str">
        <f t="shared" si="152"/>
        <v>OK</v>
      </c>
    </row>
    <row r="1045" spans="1:21" x14ac:dyDescent="0.3">
      <c r="A1045" t="s">
        <v>1283</v>
      </c>
      <c r="B1045" s="3">
        <v>45929</v>
      </c>
      <c r="C1045" t="s">
        <v>300</v>
      </c>
      <c r="D1045" t="s">
        <v>202</v>
      </c>
      <c r="E1045" t="s">
        <v>44</v>
      </c>
      <c r="F1045" t="s">
        <v>58</v>
      </c>
      <c r="G1045" t="s">
        <v>69</v>
      </c>
      <c r="H1045">
        <v>2</v>
      </c>
      <c r="I1045">
        <v>1345</v>
      </c>
      <c r="J1045">
        <v>0.15</v>
      </c>
      <c r="K1045">
        <v>2286.5</v>
      </c>
      <c r="L1045">
        <v>505.28</v>
      </c>
      <c r="M1045" t="str">
        <f t="shared" si="144"/>
        <v>Laptop Stand</v>
      </c>
      <c r="N1045" t="str">
        <f t="shared" si="145"/>
        <v>Jaipur</v>
      </c>
      <c r="O1045" t="str">
        <f t="shared" si="146"/>
        <v>North</v>
      </c>
      <c r="P1045" t="str">
        <f t="shared" si="147"/>
        <v>Accessories</v>
      </c>
      <c r="Q1045" t="str">
        <f t="shared" si="148"/>
        <v>Accessories</v>
      </c>
      <c r="R1045" t="str">
        <f t="shared" si="149"/>
        <v>North</v>
      </c>
      <c r="S1045" t="str">
        <f t="shared" si="150"/>
        <v>Jaipur</v>
      </c>
      <c r="T1045">
        <f t="shared" si="151"/>
        <v>2286.5</v>
      </c>
      <c r="U1045" t="str">
        <f t="shared" si="152"/>
        <v>OK</v>
      </c>
    </row>
    <row r="1046" spans="1:21" x14ac:dyDescent="0.3">
      <c r="A1046" t="s">
        <v>1284</v>
      </c>
      <c r="B1046" s="3">
        <v>45686</v>
      </c>
      <c r="C1046" t="s">
        <v>141</v>
      </c>
      <c r="D1046" t="s">
        <v>47</v>
      </c>
      <c r="E1046" t="s">
        <v>26</v>
      </c>
      <c r="F1046" t="s">
        <v>16</v>
      </c>
      <c r="G1046" t="s">
        <v>17</v>
      </c>
      <c r="H1046">
        <v>1</v>
      </c>
      <c r="I1046">
        <v>10719</v>
      </c>
      <c r="J1046">
        <v>0.2</v>
      </c>
      <c r="K1046">
        <v>8575.2000000000007</v>
      </c>
      <c r="L1046">
        <v>2284.66</v>
      </c>
      <c r="M1046" t="str">
        <f t="shared" si="144"/>
        <v>Air Purifier</v>
      </c>
      <c r="N1046" t="str">
        <f t="shared" si="145"/>
        <v>Guwahati</v>
      </c>
      <c r="O1046" t="str">
        <f t="shared" si="146"/>
        <v>East</v>
      </c>
      <c r="P1046" t="str">
        <f t="shared" si="147"/>
        <v>Home Appliances</v>
      </c>
      <c r="Q1046" t="str">
        <f t="shared" si="148"/>
        <v>Home Appliances</v>
      </c>
      <c r="R1046" t="str">
        <f t="shared" si="149"/>
        <v>East</v>
      </c>
      <c r="S1046" t="str">
        <f t="shared" si="150"/>
        <v>Guwahati</v>
      </c>
      <c r="T1046">
        <f t="shared" si="151"/>
        <v>8575.2000000000007</v>
      </c>
      <c r="U1046" t="str">
        <f t="shared" si="152"/>
        <v>OK</v>
      </c>
    </row>
    <row r="1047" spans="1:21" x14ac:dyDescent="0.3">
      <c r="A1047" t="s">
        <v>1285</v>
      </c>
      <c r="B1047" s="3">
        <v>45733</v>
      </c>
      <c r="C1047" t="s">
        <v>542</v>
      </c>
      <c r="D1047" t="s">
        <v>103</v>
      </c>
      <c r="E1047" t="s">
        <v>51</v>
      </c>
      <c r="F1047" t="s">
        <v>16</v>
      </c>
      <c r="G1047" t="s">
        <v>52</v>
      </c>
      <c r="H1047">
        <v>1</v>
      </c>
      <c r="I1047">
        <v>7434</v>
      </c>
      <c r="J1047">
        <v>0.2</v>
      </c>
      <c r="K1047">
        <v>5947.2</v>
      </c>
      <c r="L1047">
        <v>1595.2</v>
      </c>
      <c r="M1047" t="str">
        <f t="shared" si="144"/>
        <v>Headphones</v>
      </c>
      <c r="N1047" t="str">
        <f t="shared" si="145"/>
        <v>Kolkata</v>
      </c>
      <c r="O1047" t="str">
        <f t="shared" si="146"/>
        <v>East</v>
      </c>
      <c r="P1047" t="str">
        <f t="shared" si="147"/>
        <v>Electronics</v>
      </c>
      <c r="Q1047" t="str">
        <f t="shared" si="148"/>
        <v>Electronics</v>
      </c>
      <c r="R1047" t="str">
        <f t="shared" si="149"/>
        <v>East</v>
      </c>
      <c r="S1047" t="str">
        <f t="shared" si="150"/>
        <v>Kolkata</v>
      </c>
      <c r="T1047">
        <f t="shared" si="151"/>
        <v>5947.2000000000007</v>
      </c>
      <c r="U1047" t="str">
        <f t="shared" si="152"/>
        <v>OK</v>
      </c>
    </row>
    <row r="1048" spans="1:21" x14ac:dyDescent="0.3">
      <c r="A1048" t="s">
        <v>1286</v>
      </c>
      <c r="B1048" s="3">
        <v>45818</v>
      </c>
      <c r="C1048" t="s">
        <v>805</v>
      </c>
      <c r="D1048" t="s">
        <v>120</v>
      </c>
      <c r="E1048" t="s">
        <v>51</v>
      </c>
      <c r="F1048" t="s">
        <v>27</v>
      </c>
      <c r="G1048" t="s">
        <v>28</v>
      </c>
      <c r="H1048">
        <v>1</v>
      </c>
      <c r="I1048">
        <v>969</v>
      </c>
      <c r="J1048">
        <v>0.05</v>
      </c>
      <c r="K1048">
        <v>920.55</v>
      </c>
      <c r="L1048">
        <v>130.59</v>
      </c>
      <c r="M1048" t="str">
        <f t="shared" si="144"/>
        <v>Mouse</v>
      </c>
      <c r="N1048" t="str">
        <f t="shared" si="145"/>
        <v>Bengaluru</v>
      </c>
      <c r="O1048" t="str">
        <f t="shared" si="146"/>
        <v>South</v>
      </c>
      <c r="P1048" t="str">
        <f t="shared" si="147"/>
        <v>Electronics</v>
      </c>
      <c r="Q1048" t="str">
        <f t="shared" si="148"/>
        <v>Electronics</v>
      </c>
      <c r="R1048" t="str">
        <f t="shared" si="149"/>
        <v>South</v>
      </c>
      <c r="S1048" t="str">
        <f t="shared" si="150"/>
        <v>Bengaluru</v>
      </c>
      <c r="T1048">
        <f t="shared" si="151"/>
        <v>920.55</v>
      </c>
      <c r="U1048" t="str">
        <f t="shared" si="152"/>
        <v>OK</v>
      </c>
    </row>
    <row r="1049" spans="1:21" x14ac:dyDescent="0.3">
      <c r="A1049" t="s">
        <v>1287</v>
      </c>
      <c r="B1049" s="3">
        <v>45717</v>
      </c>
      <c r="C1049" t="s">
        <v>719</v>
      </c>
      <c r="D1049" t="s">
        <v>83</v>
      </c>
      <c r="E1049" t="s">
        <v>73</v>
      </c>
      <c r="F1049" t="s">
        <v>58</v>
      </c>
      <c r="G1049" t="s">
        <v>126</v>
      </c>
      <c r="H1049">
        <v>4</v>
      </c>
      <c r="I1049">
        <v>437</v>
      </c>
      <c r="J1049">
        <v>0</v>
      </c>
      <c r="K1049">
        <v>1748</v>
      </c>
      <c r="L1049">
        <v>367.67</v>
      </c>
      <c r="M1049" t="str">
        <f t="shared" si="144"/>
        <v>Printer Paper</v>
      </c>
      <c r="N1049" t="str">
        <f t="shared" si="145"/>
        <v>Delhi</v>
      </c>
      <c r="O1049" t="str">
        <f t="shared" si="146"/>
        <v>North</v>
      </c>
      <c r="P1049" t="str">
        <f t="shared" si="147"/>
        <v>Office Supplies</v>
      </c>
      <c r="Q1049" t="str">
        <f t="shared" si="148"/>
        <v>Office Supplies</v>
      </c>
      <c r="R1049" t="str">
        <f t="shared" si="149"/>
        <v>North</v>
      </c>
      <c r="S1049" t="str">
        <f t="shared" si="150"/>
        <v>Delhi</v>
      </c>
      <c r="T1049">
        <f t="shared" si="151"/>
        <v>1748</v>
      </c>
      <c r="U1049" t="str">
        <f t="shared" si="152"/>
        <v>OK</v>
      </c>
    </row>
    <row r="1050" spans="1:21" x14ac:dyDescent="0.3">
      <c r="A1050" t="s">
        <v>1288</v>
      </c>
      <c r="B1050" s="3">
        <v>45714</v>
      </c>
      <c r="C1050" t="s">
        <v>665</v>
      </c>
      <c r="D1050" t="s">
        <v>83</v>
      </c>
      <c r="E1050" t="s">
        <v>73</v>
      </c>
      <c r="F1050" t="s">
        <v>21</v>
      </c>
      <c r="G1050" t="s">
        <v>35</v>
      </c>
      <c r="H1050">
        <v>2</v>
      </c>
      <c r="I1050">
        <v>421</v>
      </c>
      <c r="J1050">
        <v>0.05</v>
      </c>
      <c r="K1050">
        <v>799.9</v>
      </c>
      <c r="L1050">
        <v>90.03</v>
      </c>
      <c r="M1050" t="str">
        <f t="shared" si="144"/>
        <v>Printer Paper</v>
      </c>
      <c r="N1050" t="str">
        <f t="shared" si="145"/>
        <v>Mumbai</v>
      </c>
      <c r="O1050" t="str">
        <f t="shared" si="146"/>
        <v>West</v>
      </c>
      <c r="P1050" t="str">
        <f t="shared" si="147"/>
        <v>Office Supplies</v>
      </c>
      <c r="Q1050" t="str">
        <f t="shared" si="148"/>
        <v>Office Supplies</v>
      </c>
      <c r="R1050" t="str">
        <f t="shared" si="149"/>
        <v>West</v>
      </c>
      <c r="S1050" t="str">
        <f t="shared" si="150"/>
        <v>Mumbai</v>
      </c>
      <c r="T1050">
        <f t="shared" si="151"/>
        <v>799.9</v>
      </c>
      <c r="U1050" t="str">
        <f t="shared" si="152"/>
        <v>OK</v>
      </c>
    </row>
    <row r="1051" spans="1:21" x14ac:dyDescent="0.3">
      <c r="A1051" t="s">
        <v>1289</v>
      </c>
      <c r="B1051" s="3">
        <v>45683</v>
      </c>
      <c r="C1051" t="s">
        <v>415</v>
      </c>
      <c r="D1051" t="s">
        <v>14</v>
      </c>
      <c r="E1051" t="s">
        <v>15</v>
      </c>
      <c r="F1051" t="s">
        <v>58</v>
      </c>
      <c r="G1051" t="s">
        <v>69</v>
      </c>
      <c r="H1051">
        <v>2</v>
      </c>
      <c r="I1051">
        <v>14372</v>
      </c>
      <c r="J1051">
        <v>0.1</v>
      </c>
      <c r="K1051">
        <v>25869.599999999999</v>
      </c>
      <c r="L1051">
        <v>4096.07</v>
      </c>
      <c r="M1051" t="str">
        <f t="shared" si="144"/>
        <v>Office Chair</v>
      </c>
      <c r="N1051" t="str">
        <f t="shared" si="145"/>
        <v>Jaipur</v>
      </c>
      <c r="O1051" t="str">
        <f t="shared" si="146"/>
        <v>North</v>
      </c>
      <c r="P1051" t="str">
        <f t="shared" si="147"/>
        <v>Furniture</v>
      </c>
      <c r="Q1051" t="str">
        <f t="shared" si="148"/>
        <v>Furniture</v>
      </c>
      <c r="R1051" t="str">
        <f t="shared" si="149"/>
        <v>North</v>
      </c>
      <c r="S1051" t="str">
        <f t="shared" si="150"/>
        <v>Jaipur</v>
      </c>
      <c r="T1051">
        <f t="shared" si="151"/>
        <v>25869.600000000002</v>
      </c>
      <c r="U1051" t="str">
        <f t="shared" si="152"/>
        <v>OK</v>
      </c>
    </row>
    <row r="1052" spans="1:21" x14ac:dyDescent="0.3">
      <c r="A1052" t="s">
        <v>1290</v>
      </c>
      <c r="B1052" s="3">
        <v>45700</v>
      </c>
      <c r="C1052" t="s">
        <v>503</v>
      </c>
      <c r="D1052" t="s">
        <v>153</v>
      </c>
      <c r="E1052" t="s">
        <v>26</v>
      </c>
      <c r="F1052" t="s">
        <v>16</v>
      </c>
      <c r="G1052" t="s">
        <v>52</v>
      </c>
      <c r="H1052">
        <v>3</v>
      </c>
      <c r="I1052">
        <v>6560</v>
      </c>
      <c r="J1052">
        <v>0.05</v>
      </c>
      <c r="K1052">
        <v>18696</v>
      </c>
      <c r="L1052">
        <v>2005.15</v>
      </c>
      <c r="M1052" t="str">
        <f t="shared" si="144"/>
        <v>Coffee Maker</v>
      </c>
      <c r="N1052" t="str">
        <f t="shared" si="145"/>
        <v>Kolkata</v>
      </c>
      <c r="O1052" t="str">
        <f t="shared" si="146"/>
        <v>East</v>
      </c>
      <c r="P1052" t="str">
        <f t="shared" si="147"/>
        <v>Home Appliances</v>
      </c>
      <c r="Q1052" t="str">
        <f t="shared" si="148"/>
        <v>Home Appliances</v>
      </c>
      <c r="R1052" t="str">
        <f t="shared" si="149"/>
        <v>East</v>
      </c>
      <c r="S1052" t="str">
        <f t="shared" si="150"/>
        <v>Kolkata</v>
      </c>
      <c r="T1052">
        <f t="shared" si="151"/>
        <v>18696</v>
      </c>
      <c r="U1052" t="str">
        <f t="shared" si="152"/>
        <v>OK</v>
      </c>
    </row>
    <row r="1053" spans="1:21" x14ac:dyDescent="0.3">
      <c r="A1053" t="s">
        <v>1291</v>
      </c>
      <c r="B1053" s="3">
        <v>45854</v>
      </c>
      <c r="C1053" t="s">
        <v>61</v>
      </c>
      <c r="D1053" t="s">
        <v>68</v>
      </c>
      <c r="E1053" t="s">
        <v>44</v>
      </c>
      <c r="F1053" t="s">
        <v>21</v>
      </c>
      <c r="G1053" t="s">
        <v>35</v>
      </c>
      <c r="H1053">
        <v>1</v>
      </c>
      <c r="I1053">
        <v>7128</v>
      </c>
      <c r="J1053">
        <v>0.1</v>
      </c>
      <c r="K1053">
        <v>6415.2</v>
      </c>
      <c r="L1053">
        <v>943.46</v>
      </c>
      <c r="M1053" t="str">
        <f t="shared" si="144"/>
        <v>Webcam</v>
      </c>
      <c r="N1053" t="str">
        <f t="shared" si="145"/>
        <v>Mumbai</v>
      </c>
      <c r="O1053" t="str">
        <f t="shared" si="146"/>
        <v>West</v>
      </c>
      <c r="P1053" t="str">
        <f t="shared" si="147"/>
        <v>Accessories</v>
      </c>
      <c r="Q1053" t="str">
        <f t="shared" si="148"/>
        <v>Accessories</v>
      </c>
      <c r="R1053" t="str">
        <f t="shared" si="149"/>
        <v>West</v>
      </c>
      <c r="S1053" t="str">
        <f t="shared" si="150"/>
        <v>Mumbai</v>
      </c>
      <c r="T1053">
        <f t="shared" si="151"/>
        <v>6415.2</v>
      </c>
      <c r="U1053" t="str">
        <f t="shared" si="152"/>
        <v>OK</v>
      </c>
    </row>
    <row r="1054" spans="1:21" x14ac:dyDescent="0.3">
      <c r="A1054" t="s">
        <v>1292</v>
      </c>
      <c r="B1054" s="3">
        <v>45897</v>
      </c>
      <c r="C1054" t="s">
        <v>159</v>
      </c>
      <c r="D1054" t="s">
        <v>88</v>
      </c>
      <c r="E1054" t="s">
        <v>73</v>
      </c>
      <c r="F1054" t="s">
        <v>21</v>
      </c>
      <c r="G1054" t="s">
        <v>35</v>
      </c>
      <c r="H1054">
        <v>4</v>
      </c>
      <c r="I1054">
        <v>146</v>
      </c>
      <c r="J1054">
        <v>0.1</v>
      </c>
      <c r="K1054">
        <v>525.6</v>
      </c>
      <c r="L1054">
        <v>85.48</v>
      </c>
      <c r="M1054" t="str">
        <f t="shared" si="144"/>
        <v>Stapler</v>
      </c>
      <c r="N1054" t="str">
        <f t="shared" si="145"/>
        <v>Mumbai</v>
      </c>
      <c r="O1054" t="str">
        <f t="shared" si="146"/>
        <v>West</v>
      </c>
      <c r="P1054" t="str">
        <f t="shared" si="147"/>
        <v>Office Supplies</v>
      </c>
      <c r="Q1054" t="str">
        <f t="shared" si="148"/>
        <v>Office Supplies</v>
      </c>
      <c r="R1054" t="str">
        <f t="shared" si="149"/>
        <v>West</v>
      </c>
      <c r="S1054" t="str">
        <f t="shared" si="150"/>
        <v>Mumbai</v>
      </c>
      <c r="T1054">
        <f t="shared" si="151"/>
        <v>525.6</v>
      </c>
      <c r="U1054" t="str">
        <f t="shared" si="152"/>
        <v>OK</v>
      </c>
    </row>
    <row r="1055" spans="1:21" x14ac:dyDescent="0.3">
      <c r="A1055" t="s">
        <v>1293</v>
      </c>
      <c r="B1055" s="3">
        <v>45720</v>
      </c>
      <c r="C1055" t="s">
        <v>231</v>
      </c>
      <c r="D1055" t="s">
        <v>43</v>
      </c>
      <c r="E1055" t="s">
        <v>44</v>
      </c>
      <c r="F1055" t="s">
        <v>16</v>
      </c>
      <c r="G1055" t="s">
        <v>104</v>
      </c>
      <c r="H1055">
        <v>1</v>
      </c>
      <c r="I1055">
        <v>608</v>
      </c>
      <c r="J1055">
        <v>0.1</v>
      </c>
      <c r="K1055">
        <v>547.20000000000005</v>
      </c>
      <c r="L1055">
        <v>89.67</v>
      </c>
      <c r="M1055" t="str">
        <f t="shared" si="144"/>
        <v>Phone Holder</v>
      </c>
      <c r="N1055" t="str">
        <f t="shared" si="145"/>
        <v>Bhubaneswar</v>
      </c>
      <c r="O1055" t="str">
        <f t="shared" si="146"/>
        <v>East</v>
      </c>
      <c r="P1055" t="str">
        <f t="shared" si="147"/>
        <v>Accessories</v>
      </c>
      <c r="Q1055" t="str">
        <f t="shared" si="148"/>
        <v>Accessories</v>
      </c>
      <c r="R1055" t="str">
        <f t="shared" si="149"/>
        <v>East</v>
      </c>
      <c r="S1055" t="str">
        <f t="shared" si="150"/>
        <v>Bhubaneswar</v>
      </c>
      <c r="T1055">
        <f t="shared" si="151"/>
        <v>547.20000000000005</v>
      </c>
      <c r="U1055" t="str">
        <f t="shared" si="152"/>
        <v>OK</v>
      </c>
    </row>
    <row r="1056" spans="1:21" x14ac:dyDescent="0.3">
      <c r="A1056" t="s">
        <v>1294</v>
      </c>
      <c r="B1056" s="3">
        <v>45917</v>
      </c>
      <c r="C1056" t="s">
        <v>326</v>
      </c>
      <c r="D1056" t="s">
        <v>202</v>
      </c>
      <c r="E1056" t="s">
        <v>44</v>
      </c>
      <c r="F1056" t="s">
        <v>16</v>
      </c>
      <c r="G1056" t="s">
        <v>17</v>
      </c>
      <c r="H1056">
        <v>4</v>
      </c>
      <c r="I1056">
        <v>2065</v>
      </c>
      <c r="J1056">
        <v>0.05</v>
      </c>
      <c r="K1056">
        <v>7847</v>
      </c>
      <c r="L1056">
        <v>1244.8</v>
      </c>
      <c r="M1056" t="str">
        <f t="shared" si="144"/>
        <v>Laptop Stand</v>
      </c>
      <c r="N1056" t="str">
        <f t="shared" si="145"/>
        <v>Guwahati</v>
      </c>
      <c r="O1056" t="str">
        <f t="shared" si="146"/>
        <v>East</v>
      </c>
      <c r="P1056" t="str">
        <f t="shared" si="147"/>
        <v>Accessories</v>
      </c>
      <c r="Q1056" t="str">
        <f t="shared" si="148"/>
        <v>Accessories</v>
      </c>
      <c r="R1056" t="str">
        <f t="shared" si="149"/>
        <v>East</v>
      </c>
      <c r="S1056" t="str">
        <f t="shared" si="150"/>
        <v>Guwahati</v>
      </c>
      <c r="T1056">
        <f t="shared" si="151"/>
        <v>7847</v>
      </c>
      <c r="U1056" t="str">
        <f t="shared" si="152"/>
        <v>OK</v>
      </c>
    </row>
    <row r="1057" spans="1:21" x14ac:dyDescent="0.3">
      <c r="A1057" t="s">
        <v>1295</v>
      </c>
      <c r="B1057" s="3">
        <v>45855</v>
      </c>
      <c r="C1057" t="s">
        <v>448</v>
      </c>
      <c r="D1057" t="s">
        <v>50</v>
      </c>
      <c r="E1057" t="s">
        <v>51</v>
      </c>
      <c r="F1057" t="s">
        <v>27</v>
      </c>
      <c r="G1057" t="s">
        <v>28</v>
      </c>
      <c r="H1057">
        <v>2</v>
      </c>
      <c r="I1057">
        <v>1267</v>
      </c>
      <c r="J1057">
        <v>0.05</v>
      </c>
      <c r="K1057">
        <v>2407.3000000000002</v>
      </c>
      <c r="L1057">
        <v>222.21</v>
      </c>
      <c r="M1057" t="str">
        <f t="shared" si="144"/>
        <v>Keyboard</v>
      </c>
      <c r="N1057" t="str">
        <f t="shared" si="145"/>
        <v>Bengaluru</v>
      </c>
      <c r="O1057" t="str">
        <f t="shared" si="146"/>
        <v>South</v>
      </c>
      <c r="P1057" t="str">
        <f t="shared" si="147"/>
        <v>Electronics</v>
      </c>
      <c r="Q1057" t="str">
        <f t="shared" si="148"/>
        <v>Electronics</v>
      </c>
      <c r="R1057" t="str">
        <f t="shared" si="149"/>
        <v>South</v>
      </c>
      <c r="S1057" t="str">
        <f t="shared" si="150"/>
        <v>Bengaluru</v>
      </c>
      <c r="T1057">
        <f t="shared" si="151"/>
        <v>2407.2999999999997</v>
      </c>
      <c r="U1057" t="str">
        <f t="shared" si="152"/>
        <v>OK</v>
      </c>
    </row>
    <row r="1058" spans="1:21" x14ac:dyDescent="0.3">
      <c r="A1058" t="s">
        <v>1296</v>
      </c>
      <c r="B1058" s="3">
        <v>45706</v>
      </c>
      <c r="C1058" t="s">
        <v>24</v>
      </c>
      <c r="D1058" t="s">
        <v>50</v>
      </c>
      <c r="E1058" t="s">
        <v>51</v>
      </c>
      <c r="F1058" t="s">
        <v>58</v>
      </c>
      <c r="G1058" t="s">
        <v>59</v>
      </c>
      <c r="H1058">
        <v>3</v>
      </c>
      <c r="I1058">
        <v>1172</v>
      </c>
      <c r="J1058">
        <v>0.15</v>
      </c>
      <c r="K1058">
        <v>2988.6</v>
      </c>
      <c r="L1058">
        <v>715.8</v>
      </c>
      <c r="M1058" t="str">
        <f t="shared" si="144"/>
        <v>Keyboard</v>
      </c>
      <c r="N1058" t="str">
        <f t="shared" si="145"/>
        <v>Chandigarh</v>
      </c>
      <c r="O1058" t="str">
        <f t="shared" si="146"/>
        <v>North</v>
      </c>
      <c r="P1058" t="str">
        <f t="shared" si="147"/>
        <v>Electronics</v>
      </c>
      <c r="Q1058" t="str">
        <f t="shared" si="148"/>
        <v>Electronics</v>
      </c>
      <c r="R1058" t="str">
        <f t="shared" si="149"/>
        <v>North</v>
      </c>
      <c r="S1058" t="str">
        <f t="shared" si="150"/>
        <v>Chandigarh</v>
      </c>
      <c r="T1058">
        <f t="shared" si="151"/>
        <v>2988.6</v>
      </c>
      <c r="U1058" t="str">
        <f t="shared" si="152"/>
        <v>OK</v>
      </c>
    </row>
    <row r="1059" spans="1:21" x14ac:dyDescent="0.3">
      <c r="A1059" t="s">
        <v>1297</v>
      </c>
      <c r="B1059" s="3">
        <v>45759</v>
      </c>
      <c r="C1059" t="s">
        <v>246</v>
      </c>
      <c r="D1059" t="s">
        <v>88</v>
      </c>
      <c r="E1059" t="s">
        <v>73</v>
      </c>
      <c r="F1059" t="s">
        <v>21</v>
      </c>
      <c r="G1059" t="s">
        <v>22</v>
      </c>
      <c r="H1059">
        <v>1</v>
      </c>
      <c r="I1059">
        <v>554</v>
      </c>
      <c r="J1059">
        <v>0.15</v>
      </c>
      <c r="K1059">
        <v>470.9</v>
      </c>
      <c r="L1059">
        <v>88.8</v>
      </c>
      <c r="M1059" t="str">
        <f t="shared" si="144"/>
        <v>Stapler</v>
      </c>
      <c r="N1059" t="str">
        <f t="shared" si="145"/>
        <v>Ahmedabad</v>
      </c>
      <c r="O1059" t="str">
        <f t="shared" si="146"/>
        <v>West</v>
      </c>
      <c r="P1059" t="str">
        <f t="shared" si="147"/>
        <v>Office Supplies</v>
      </c>
      <c r="Q1059" t="str">
        <f t="shared" si="148"/>
        <v>Office Supplies</v>
      </c>
      <c r="R1059" t="str">
        <f t="shared" si="149"/>
        <v>West</v>
      </c>
      <c r="S1059" t="str">
        <f t="shared" si="150"/>
        <v>Ahmedabad</v>
      </c>
      <c r="T1059">
        <f t="shared" si="151"/>
        <v>470.9</v>
      </c>
      <c r="U1059" t="str">
        <f t="shared" si="152"/>
        <v>OK</v>
      </c>
    </row>
    <row r="1060" spans="1:21" x14ac:dyDescent="0.3">
      <c r="A1060" t="s">
        <v>1298</v>
      </c>
      <c r="B1060" s="3">
        <v>45939</v>
      </c>
      <c r="C1060" t="s">
        <v>315</v>
      </c>
      <c r="D1060" t="s">
        <v>80</v>
      </c>
      <c r="E1060" t="s">
        <v>51</v>
      </c>
      <c r="F1060" t="s">
        <v>27</v>
      </c>
      <c r="G1060" t="s">
        <v>28</v>
      </c>
      <c r="H1060">
        <v>2</v>
      </c>
      <c r="I1060">
        <v>75112</v>
      </c>
      <c r="J1060">
        <v>0.15</v>
      </c>
      <c r="K1060">
        <v>127690.4</v>
      </c>
      <c r="L1060">
        <v>32673.34</v>
      </c>
      <c r="M1060" t="str">
        <f t="shared" si="144"/>
        <v>Laptop</v>
      </c>
      <c r="N1060" t="str">
        <f t="shared" si="145"/>
        <v>Bengaluru</v>
      </c>
      <c r="O1060" t="str">
        <f t="shared" si="146"/>
        <v>South</v>
      </c>
      <c r="P1060" t="str">
        <f t="shared" si="147"/>
        <v>Electronics</v>
      </c>
      <c r="Q1060" t="str">
        <f t="shared" si="148"/>
        <v>Electronics</v>
      </c>
      <c r="R1060" t="str">
        <f t="shared" si="149"/>
        <v>South</v>
      </c>
      <c r="S1060" t="str">
        <f t="shared" si="150"/>
        <v>Bengaluru</v>
      </c>
      <c r="T1060">
        <f t="shared" si="151"/>
        <v>127690.4</v>
      </c>
      <c r="U1060" t="str">
        <f t="shared" si="152"/>
        <v>OK</v>
      </c>
    </row>
    <row r="1061" spans="1:21" x14ac:dyDescent="0.3">
      <c r="A1061" t="s">
        <v>1299</v>
      </c>
      <c r="B1061" s="3">
        <v>45987</v>
      </c>
      <c r="C1061" t="s">
        <v>116</v>
      </c>
      <c r="D1061" t="s">
        <v>153</v>
      </c>
      <c r="E1061" t="s">
        <v>26</v>
      </c>
      <c r="F1061" t="s">
        <v>58</v>
      </c>
      <c r="G1061" t="s">
        <v>126</v>
      </c>
      <c r="H1061">
        <v>4</v>
      </c>
      <c r="I1061">
        <v>5636</v>
      </c>
      <c r="J1061">
        <v>0.2</v>
      </c>
      <c r="K1061">
        <v>18035.2</v>
      </c>
      <c r="L1061">
        <v>5025.2</v>
      </c>
      <c r="M1061" t="str">
        <f t="shared" si="144"/>
        <v>Coffee Maker</v>
      </c>
      <c r="N1061" t="str">
        <f t="shared" si="145"/>
        <v>Delhi</v>
      </c>
      <c r="O1061" t="str">
        <f t="shared" si="146"/>
        <v>North</v>
      </c>
      <c r="P1061" t="str">
        <f t="shared" si="147"/>
        <v>Home Appliances</v>
      </c>
      <c r="Q1061" t="str">
        <f t="shared" si="148"/>
        <v>Home Appliances</v>
      </c>
      <c r="R1061" t="str">
        <f t="shared" si="149"/>
        <v>North</v>
      </c>
      <c r="S1061" t="str">
        <f t="shared" si="150"/>
        <v>Delhi</v>
      </c>
      <c r="T1061">
        <f t="shared" si="151"/>
        <v>18035.2</v>
      </c>
      <c r="U1061" t="str">
        <f t="shared" si="152"/>
        <v>OK</v>
      </c>
    </row>
    <row r="1062" spans="1:21" x14ac:dyDescent="0.3">
      <c r="A1062" t="s">
        <v>1300</v>
      </c>
      <c r="B1062" s="3">
        <v>45797</v>
      </c>
      <c r="C1062" t="s">
        <v>401</v>
      </c>
      <c r="D1062" t="s">
        <v>68</v>
      </c>
      <c r="E1062" t="s">
        <v>44</v>
      </c>
      <c r="F1062" t="s">
        <v>21</v>
      </c>
      <c r="G1062" t="s">
        <v>55</v>
      </c>
      <c r="H1062">
        <v>3</v>
      </c>
      <c r="I1062">
        <v>4971</v>
      </c>
      <c r="J1062">
        <v>0.1</v>
      </c>
      <c r="K1062">
        <v>13421.7</v>
      </c>
      <c r="L1062">
        <v>1348.14</v>
      </c>
      <c r="M1062" t="str">
        <f t="shared" si="144"/>
        <v>Webcam</v>
      </c>
      <c r="N1062" t="str">
        <f t="shared" si="145"/>
        <v>Pune</v>
      </c>
      <c r="O1062" t="str">
        <f t="shared" si="146"/>
        <v>West</v>
      </c>
      <c r="P1062" t="str">
        <f t="shared" si="147"/>
        <v>Accessories</v>
      </c>
      <c r="Q1062" t="str">
        <f t="shared" si="148"/>
        <v>Accessories</v>
      </c>
      <c r="R1062" t="str">
        <f t="shared" si="149"/>
        <v>West</v>
      </c>
      <c r="S1062" t="str">
        <f t="shared" si="150"/>
        <v>Pune</v>
      </c>
      <c r="T1062">
        <f t="shared" si="151"/>
        <v>13421.7</v>
      </c>
      <c r="U1062" t="str">
        <f t="shared" si="152"/>
        <v>OK</v>
      </c>
    </row>
    <row r="1063" spans="1:21" x14ac:dyDescent="0.3">
      <c r="A1063" t="s">
        <v>1301</v>
      </c>
      <c r="B1063" s="3">
        <v>45803</v>
      </c>
      <c r="C1063" t="s">
        <v>143</v>
      </c>
      <c r="D1063" t="s">
        <v>80</v>
      </c>
      <c r="E1063" t="s">
        <v>51</v>
      </c>
      <c r="F1063" t="s">
        <v>16</v>
      </c>
      <c r="G1063" t="s">
        <v>17</v>
      </c>
      <c r="H1063">
        <v>1</v>
      </c>
      <c r="I1063">
        <v>69180</v>
      </c>
      <c r="J1063">
        <v>0.05</v>
      </c>
      <c r="K1063">
        <v>65721</v>
      </c>
      <c r="L1063">
        <v>16592.38</v>
      </c>
      <c r="M1063" t="str">
        <f t="shared" si="144"/>
        <v>Laptop</v>
      </c>
      <c r="N1063" t="str">
        <f t="shared" si="145"/>
        <v>Guwahati</v>
      </c>
      <c r="O1063" t="str">
        <f t="shared" si="146"/>
        <v>East</v>
      </c>
      <c r="P1063" t="str">
        <f t="shared" si="147"/>
        <v>Electronics</v>
      </c>
      <c r="Q1063" t="str">
        <f t="shared" si="148"/>
        <v>Electronics</v>
      </c>
      <c r="R1063" t="str">
        <f t="shared" si="149"/>
        <v>East</v>
      </c>
      <c r="S1063" t="str">
        <f t="shared" si="150"/>
        <v>Guwahati</v>
      </c>
      <c r="T1063">
        <f t="shared" si="151"/>
        <v>65721</v>
      </c>
      <c r="U1063" t="str">
        <f t="shared" si="152"/>
        <v>OK</v>
      </c>
    </row>
    <row r="1064" spans="1:21" x14ac:dyDescent="0.3">
      <c r="A1064" t="s">
        <v>1302</v>
      </c>
      <c r="B1064" s="3">
        <v>45823</v>
      </c>
      <c r="C1064" t="s">
        <v>295</v>
      </c>
      <c r="D1064" t="s">
        <v>25</v>
      </c>
      <c r="E1064" t="s">
        <v>26</v>
      </c>
      <c r="F1064" t="s">
        <v>27</v>
      </c>
      <c r="G1064" t="s">
        <v>28</v>
      </c>
      <c r="H1064">
        <v>1</v>
      </c>
      <c r="I1064">
        <v>9470</v>
      </c>
      <c r="J1064">
        <v>0.15</v>
      </c>
      <c r="K1064">
        <v>8049.5</v>
      </c>
      <c r="L1064">
        <v>1932.47</v>
      </c>
      <c r="M1064" t="str">
        <f t="shared" si="144"/>
        <v>Microwave</v>
      </c>
      <c r="N1064" t="str">
        <f t="shared" si="145"/>
        <v>Bengaluru</v>
      </c>
      <c r="O1064" t="str">
        <f t="shared" si="146"/>
        <v>South</v>
      </c>
      <c r="P1064" t="str">
        <f t="shared" si="147"/>
        <v>Home Appliances</v>
      </c>
      <c r="Q1064" t="str">
        <f t="shared" si="148"/>
        <v>Home Appliances</v>
      </c>
      <c r="R1064" t="str">
        <f t="shared" si="149"/>
        <v>South</v>
      </c>
      <c r="S1064" t="str">
        <f t="shared" si="150"/>
        <v>Bengaluru</v>
      </c>
      <c r="T1064">
        <f t="shared" si="151"/>
        <v>8049.5</v>
      </c>
      <c r="U1064" t="str">
        <f t="shared" si="152"/>
        <v>OK</v>
      </c>
    </row>
    <row r="1065" spans="1:21" x14ac:dyDescent="0.3">
      <c r="A1065" t="s">
        <v>1303</v>
      </c>
      <c r="B1065" s="3">
        <v>45908</v>
      </c>
      <c r="C1065" t="s">
        <v>255</v>
      </c>
      <c r="D1065" t="s">
        <v>153</v>
      </c>
      <c r="E1065" t="s">
        <v>26</v>
      </c>
      <c r="F1065" t="s">
        <v>16</v>
      </c>
      <c r="G1065" t="s">
        <v>104</v>
      </c>
      <c r="H1065">
        <v>1</v>
      </c>
      <c r="I1065">
        <v>5636</v>
      </c>
      <c r="J1065">
        <v>0.1</v>
      </c>
      <c r="K1065">
        <v>5072.3999999999996</v>
      </c>
      <c r="L1065">
        <v>967.3</v>
      </c>
      <c r="M1065" t="str">
        <f t="shared" si="144"/>
        <v>Coffee Maker</v>
      </c>
      <c r="N1065" t="str">
        <f t="shared" si="145"/>
        <v>Bhubaneswar</v>
      </c>
      <c r="O1065" t="str">
        <f t="shared" si="146"/>
        <v>East</v>
      </c>
      <c r="P1065" t="str">
        <f t="shared" si="147"/>
        <v>Home Appliances</v>
      </c>
      <c r="Q1065" t="str">
        <f t="shared" si="148"/>
        <v>Home Appliances</v>
      </c>
      <c r="R1065" t="str">
        <f t="shared" si="149"/>
        <v>East</v>
      </c>
      <c r="S1065" t="str">
        <f t="shared" si="150"/>
        <v>Bhubaneswar</v>
      </c>
      <c r="T1065">
        <f t="shared" si="151"/>
        <v>5072.4000000000005</v>
      </c>
      <c r="U1065" t="str">
        <f t="shared" si="152"/>
        <v>OK</v>
      </c>
    </row>
    <row r="1066" spans="1:21" x14ac:dyDescent="0.3">
      <c r="A1066" t="s">
        <v>1304</v>
      </c>
      <c r="B1066" s="3">
        <v>45717</v>
      </c>
      <c r="C1066" t="s">
        <v>358</v>
      </c>
      <c r="D1066" t="s">
        <v>20</v>
      </c>
      <c r="E1066" t="s">
        <v>15</v>
      </c>
      <c r="F1066" t="s">
        <v>16</v>
      </c>
      <c r="G1066" t="s">
        <v>52</v>
      </c>
      <c r="H1066">
        <v>1</v>
      </c>
      <c r="I1066">
        <v>12163</v>
      </c>
      <c r="J1066">
        <v>0.15</v>
      </c>
      <c r="K1066">
        <v>10338.549999999999</v>
      </c>
      <c r="L1066">
        <v>2813.59</v>
      </c>
      <c r="M1066" t="str">
        <f t="shared" si="144"/>
        <v>Filing Cabinet</v>
      </c>
      <c r="N1066" t="str">
        <f t="shared" si="145"/>
        <v>Kolkata</v>
      </c>
      <c r="O1066" t="str">
        <f t="shared" si="146"/>
        <v>East</v>
      </c>
      <c r="P1066" t="str">
        <f t="shared" si="147"/>
        <v>Furniture</v>
      </c>
      <c r="Q1066" t="str">
        <f t="shared" si="148"/>
        <v>Furniture</v>
      </c>
      <c r="R1066" t="str">
        <f t="shared" si="149"/>
        <v>East</v>
      </c>
      <c r="S1066" t="str">
        <f t="shared" si="150"/>
        <v>Kolkata</v>
      </c>
      <c r="T1066">
        <f t="shared" si="151"/>
        <v>10338.549999999999</v>
      </c>
      <c r="U1066" t="str">
        <f t="shared" si="152"/>
        <v>OK</v>
      </c>
    </row>
    <row r="1067" spans="1:21" x14ac:dyDescent="0.3">
      <c r="A1067" t="s">
        <v>1305</v>
      </c>
      <c r="B1067" s="3">
        <v>45789</v>
      </c>
      <c r="C1067" t="s">
        <v>136</v>
      </c>
      <c r="D1067" t="s">
        <v>25</v>
      </c>
      <c r="E1067" t="s">
        <v>26</v>
      </c>
      <c r="F1067" t="s">
        <v>58</v>
      </c>
      <c r="G1067" t="s">
        <v>126</v>
      </c>
      <c r="H1067">
        <v>2</v>
      </c>
      <c r="I1067">
        <v>8442</v>
      </c>
      <c r="J1067">
        <v>0</v>
      </c>
      <c r="K1067">
        <v>16884</v>
      </c>
      <c r="L1067">
        <v>4323.7299999999996</v>
      </c>
      <c r="M1067" t="str">
        <f t="shared" si="144"/>
        <v>Microwave</v>
      </c>
      <c r="N1067" t="str">
        <f t="shared" si="145"/>
        <v>Delhi</v>
      </c>
      <c r="O1067" t="str">
        <f t="shared" si="146"/>
        <v>North</v>
      </c>
      <c r="P1067" t="str">
        <f t="shared" si="147"/>
        <v>Home Appliances</v>
      </c>
      <c r="Q1067" t="str">
        <f t="shared" si="148"/>
        <v>Home Appliances</v>
      </c>
      <c r="R1067" t="str">
        <f t="shared" si="149"/>
        <v>North</v>
      </c>
      <c r="S1067" t="str">
        <f t="shared" si="150"/>
        <v>Delhi</v>
      </c>
      <c r="T1067">
        <f t="shared" si="151"/>
        <v>16884</v>
      </c>
      <c r="U1067" t="str">
        <f t="shared" si="152"/>
        <v>OK</v>
      </c>
    </row>
    <row r="1068" spans="1:21" x14ac:dyDescent="0.3">
      <c r="A1068" t="s">
        <v>1306</v>
      </c>
      <c r="B1068" s="3">
        <v>45900</v>
      </c>
      <c r="C1068" t="s">
        <v>123</v>
      </c>
      <c r="D1068" t="s">
        <v>202</v>
      </c>
      <c r="E1068" t="s">
        <v>44</v>
      </c>
      <c r="F1068" t="s">
        <v>16</v>
      </c>
      <c r="G1068" t="s">
        <v>52</v>
      </c>
      <c r="H1068">
        <v>2</v>
      </c>
      <c r="I1068">
        <v>2353</v>
      </c>
      <c r="J1068">
        <v>0.1</v>
      </c>
      <c r="K1068">
        <v>4235.3999999999996</v>
      </c>
      <c r="L1068">
        <v>489.17</v>
      </c>
      <c r="M1068" t="str">
        <f t="shared" si="144"/>
        <v>Laptop Stand</v>
      </c>
      <c r="N1068" t="str">
        <f t="shared" si="145"/>
        <v>Kolkata</v>
      </c>
      <c r="O1068" t="str">
        <f t="shared" si="146"/>
        <v>East</v>
      </c>
      <c r="P1068" t="str">
        <f t="shared" si="147"/>
        <v>Accessories</v>
      </c>
      <c r="Q1068" t="str">
        <f t="shared" si="148"/>
        <v>Accessories</v>
      </c>
      <c r="R1068" t="str">
        <f t="shared" si="149"/>
        <v>East</v>
      </c>
      <c r="S1068" t="str">
        <f t="shared" si="150"/>
        <v>Kolkata</v>
      </c>
      <c r="T1068">
        <f t="shared" si="151"/>
        <v>4235.4000000000005</v>
      </c>
      <c r="U1068" t="str">
        <f t="shared" si="152"/>
        <v>OK</v>
      </c>
    </row>
    <row r="1069" spans="1:21" x14ac:dyDescent="0.3">
      <c r="A1069" t="s">
        <v>1307</v>
      </c>
      <c r="B1069" s="3">
        <v>45923</v>
      </c>
      <c r="C1069" t="s">
        <v>436</v>
      </c>
      <c r="D1069" t="s">
        <v>50</v>
      </c>
      <c r="E1069" t="s">
        <v>51</v>
      </c>
      <c r="F1069" t="s">
        <v>21</v>
      </c>
      <c r="G1069" t="s">
        <v>55</v>
      </c>
      <c r="H1069">
        <v>2</v>
      </c>
      <c r="I1069">
        <v>2274</v>
      </c>
      <c r="J1069">
        <v>0</v>
      </c>
      <c r="K1069">
        <v>4548</v>
      </c>
      <c r="L1069">
        <v>518.80999999999995</v>
      </c>
      <c r="M1069" t="str">
        <f t="shared" si="144"/>
        <v>Keyboard</v>
      </c>
      <c r="N1069" t="str">
        <f t="shared" si="145"/>
        <v>Pune</v>
      </c>
      <c r="O1069" t="str">
        <f t="shared" si="146"/>
        <v>West</v>
      </c>
      <c r="P1069" t="str">
        <f t="shared" si="147"/>
        <v>Electronics</v>
      </c>
      <c r="Q1069" t="str">
        <f t="shared" si="148"/>
        <v>Electronics</v>
      </c>
      <c r="R1069" t="str">
        <f t="shared" si="149"/>
        <v>West</v>
      </c>
      <c r="S1069" t="str">
        <f t="shared" si="150"/>
        <v>Pune</v>
      </c>
      <c r="T1069">
        <f t="shared" si="151"/>
        <v>4548</v>
      </c>
      <c r="U1069" t="str">
        <f t="shared" si="152"/>
        <v>OK</v>
      </c>
    </row>
    <row r="1070" spans="1:21" x14ac:dyDescent="0.3">
      <c r="A1070" t="s">
        <v>1308</v>
      </c>
      <c r="B1070" s="3">
        <v>45744</v>
      </c>
      <c r="C1070" t="s">
        <v>176</v>
      </c>
      <c r="D1070" t="s">
        <v>120</v>
      </c>
      <c r="E1070" t="s">
        <v>51</v>
      </c>
      <c r="F1070" t="s">
        <v>58</v>
      </c>
      <c r="G1070" t="s">
        <v>59</v>
      </c>
      <c r="H1070">
        <v>1</v>
      </c>
      <c r="I1070">
        <v>1855</v>
      </c>
      <c r="J1070">
        <v>0</v>
      </c>
      <c r="K1070">
        <v>1855</v>
      </c>
      <c r="L1070">
        <v>373.31</v>
      </c>
      <c r="M1070" t="str">
        <f t="shared" si="144"/>
        <v>Mouse</v>
      </c>
      <c r="N1070" t="str">
        <f t="shared" si="145"/>
        <v>Chandigarh</v>
      </c>
      <c r="O1070" t="str">
        <f t="shared" si="146"/>
        <v>North</v>
      </c>
      <c r="P1070" t="str">
        <f t="shared" si="147"/>
        <v>Electronics</v>
      </c>
      <c r="Q1070" t="str">
        <f t="shared" si="148"/>
        <v>Electronics</v>
      </c>
      <c r="R1070" t="str">
        <f t="shared" si="149"/>
        <v>North</v>
      </c>
      <c r="S1070" t="str">
        <f t="shared" si="150"/>
        <v>Chandigarh</v>
      </c>
      <c r="T1070">
        <f t="shared" si="151"/>
        <v>1855</v>
      </c>
      <c r="U1070" t="str">
        <f t="shared" si="152"/>
        <v>OK</v>
      </c>
    </row>
    <row r="1071" spans="1:21" x14ac:dyDescent="0.3">
      <c r="A1071" t="s">
        <v>1309</v>
      </c>
      <c r="B1071" s="3">
        <v>45758</v>
      </c>
      <c r="C1071" t="s">
        <v>260</v>
      </c>
      <c r="D1071" t="s">
        <v>65</v>
      </c>
      <c r="E1071" t="s">
        <v>26</v>
      </c>
      <c r="F1071" t="s">
        <v>27</v>
      </c>
      <c r="G1071" t="s">
        <v>40</v>
      </c>
      <c r="H1071">
        <v>2</v>
      </c>
      <c r="I1071">
        <v>2928</v>
      </c>
      <c r="J1071">
        <v>0</v>
      </c>
      <c r="K1071">
        <v>5856</v>
      </c>
      <c r="L1071">
        <v>1394.55</v>
      </c>
      <c r="M1071" t="str">
        <f t="shared" si="144"/>
        <v>Electric Kettle</v>
      </c>
      <c r="N1071" t="str">
        <f t="shared" si="145"/>
        <v>Chennai</v>
      </c>
      <c r="O1071" t="str">
        <f t="shared" si="146"/>
        <v>South</v>
      </c>
      <c r="P1071" t="str">
        <f t="shared" si="147"/>
        <v>Home Appliances</v>
      </c>
      <c r="Q1071" t="str">
        <f t="shared" si="148"/>
        <v>Home Appliances</v>
      </c>
      <c r="R1071" t="str">
        <f t="shared" si="149"/>
        <v>South</v>
      </c>
      <c r="S1071" t="str">
        <f t="shared" si="150"/>
        <v>Chennai</v>
      </c>
      <c r="T1071">
        <f t="shared" si="151"/>
        <v>5856</v>
      </c>
      <c r="U1071" t="str">
        <f t="shared" si="152"/>
        <v>OK</v>
      </c>
    </row>
    <row r="1072" spans="1:21" x14ac:dyDescent="0.3">
      <c r="A1072" t="s">
        <v>1310</v>
      </c>
      <c r="B1072" s="3">
        <v>45747</v>
      </c>
      <c r="C1072" t="s">
        <v>33</v>
      </c>
      <c r="D1072" t="s">
        <v>92</v>
      </c>
      <c r="E1072" t="s">
        <v>51</v>
      </c>
      <c r="F1072" t="s">
        <v>27</v>
      </c>
      <c r="G1072" t="s">
        <v>28</v>
      </c>
      <c r="H1072">
        <v>5</v>
      </c>
      <c r="I1072">
        <v>18432</v>
      </c>
      <c r="J1072">
        <v>0.1</v>
      </c>
      <c r="K1072">
        <v>82944</v>
      </c>
      <c r="L1072">
        <v>16147.56</v>
      </c>
      <c r="M1072" t="str">
        <f t="shared" si="144"/>
        <v>Monitor</v>
      </c>
      <c r="N1072" t="str">
        <f t="shared" si="145"/>
        <v>Bengaluru</v>
      </c>
      <c r="O1072" t="str">
        <f t="shared" si="146"/>
        <v>South</v>
      </c>
      <c r="P1072" t="str">
        <f t="shared" si="147"/>
        <v>Electronics</v>
      </c>
      <c r="Q1072" t="str">
        <f t="shared" si="148"/>
        <v>Electronics</v>
      </c>
      <c r="R1072" t="str">
        <f t="shared" si="149"/>
        <v>South</v>
      </c>
      <c r="S1072" t="str">
        <f t="shared" si="150"/>
        <v>Bengaluru</v>
      </c>
      <c r="T1072">
        <f t="shared" si="151"/>
        <v>82944</v>
      </c>
      <c r="U1072" t="str">
        <f t="shared" si="152"/>
        <v>OK</v>
      </c>
    </row>
    <row r="1073" spans="1:21" x14ac:dyDescent="0.3">
      <c r="A1073" t="s">
        <v>1311</v>
      </c>
      <c r="B1073" s="3">
        <v>45871</v>
      </c>
      <c r="C1073" t="s">
        <v>187</v>
      </c>
      <c r="D1073" t="s">
        <v>34</v>
      </c>
      <c r="E1073" t="s">
        <v>15</v>
      </c>
      <c r="F1073" t="s">
        <v>21</v>
      </c>
      <c r="G1073" t="s">
        <v>55</v>
      </c>
      <c r="H1073">
        <v>3</v>
      </c>
      <c r="I1073">
        <v>23308</v>
      </c>
      <c r="J1073">
        <v>0.15</v>
      </c>
      <c r="K1073">
        <v>59435.4</v>
      </c>
      <c r="L1073">
        <v>12767.42</v>
      </c>
      <c r="M1073" t="str">
        <f t="shared" si="144"/>
        <v>Desk</v>
      </c>
      <c r="N1073" t="str">
        <f t="shared" si="145"/>
        <v>Pune</v>
      </c>
      <c r="O1073" t="str">
        <f t="shared" si="146"/>
        <v>West</v>
      </c>
      <c r="P1073" t="str">
        <f t="shared" si="147"/>
        <v>Furniture</v>
      </c>
      <c r="Q1073" t="str">
        <f t="shared" si="148"/>
        <v>Furniture</v>
      </c>
      <c r="R1073" t="str">
        <f t="shared" si="149"/>
        <v>West</v>
      </c>
      <c r="S1073" t="str">
        <f t="shared" si="150"/>
        <v>Pune</v>
      </c>
      <c r="T1073">
        <f t="shared" si="151"/>
        <v>59435.4</v>
      </c>
      <c r="U1073" t="str">
        <f t="shared" si="152"/>
        <v>OK</v>
      </c>
    </row>
    <row r="1074" spans="1:21" x14ac:dyDescent="0.3">
      <c r="A1074" t="s">
        <v>1312</v>
      </c>
      <c r="B1074" s="3">
        <v>45907</v>
      </c>
      <c r="C1074" t="s">
        <v>358</v>
      </c>
      <c r="D1074" t="s">
        <v>307</v>
      </c>
      <c r="E1074" t="s">
        <v>73</v>
      </c>
      <c r="F1074" t="s">
        <v>21</v>
      </c>
      <c r="G1074" t="s">
        <v>55</v>
      </c>
      <c r="H1074">
        <v>3</v>
      </c>
      <c r="I1074">
        <v>355</v>
      </c>
      <c r="J1074">
        <v>0.15</v>
      </c>
      <c r="K1074">
        <v>905.25</v>
      </c>
      <c r="L1074">
        <v>83.98</v>
      </c>
      <c r="M1074" t="str">
        <f t="shared" si="144"/>
        <v>Notebook</v>
      </c>
      <c r="N1074" t="str">
        <f t="shared" si="145"/>
        <v>Pune</v>
      </c>
      <c r="O1074" t="str">
        <f t="shared" si="146"/>
        <v>West</v>
      </c>
      <c r="P1074" t="str">
        <f t="shared" si="147"/>
        <v>Office Supplies</v>
      </c>
      <c r="Q1074" t="str">
        <f t="shared" si="148"/>
        <v>Office Supplies</v>
      </c>
      <c r="R1074" t="str">
        <f t="shared" si="149"/>
        <v>West</v>
      </c>
      <c r="S1074" t="str">
        <f t="shared" si="150"/>
        <v>Pune</v>
      </c>
      <c r="T1074">
        <f t="shared" si="151"/>
        <v>905.25</v>
      </c>
      <c r="U1074" t="str">
        <f t="shared" si="152"/>
        <v>OK</v>
      </c>
    </row>
    <row r="1075" spans="1:21" x14ac:dyDescent="0.3">
      <c r="A1075" t="s">
        <v>1313</v>
      </c>
      <c r="B1075" s="3">
        <v>45949</v>
      </c>
      <c r="C1075" t="s">
        <v>323</v>
      </c>
      <c r="D1075" t="s">
        <v>83</v>
      </c>
      <c r="E1075" t="s">
        <v>73</v>
      </c>
      <c r="F1075" t="s">
        <v>21</v>
      </c>
      <c r="G1075" t="s">
        <v>35</v>
      </c>
      <c r="H1075">
        <v>1</v>
      </c>
      <c r="I1075">
        <v>740</v>
      </c>
      <c r="J1075">
        <v>0.05</v>
      </c>
      <c r="K1075">
        <v>703</v>
      </c>
      <c r="L1075">
        <v>110.87</v>
      </c>
      <c r="M1075" t="str">
        <f t="shared" si="144"/>
        <v>Printer Paper</v>
      </c>
      <c r="N1075" t="str">
        <f t="shared" si="145"/>
        <v>Mumbai</v>
      </c>
      <c r="O1075" t="str">
        <f t="shared" si="146"/>
        <v>West</v>
      </c>
      <c r="P1075" t="str">
        <f t="shared" si="147"/>
        <v>Office Supplies</v>
      </c>
      <c r="Q1075" t="str">
        <f t="shared" si="148"/>
        <v>Office Supplies</v>
      </c>
      <c r="R1075" t="str">
        <f t="shared" si="149"/>
        <v>West</v>
      </c>
      <c r="S1075" t="str">
        <f t="shared" si="150"/>
        <v>Mumbai</v>
      </c>
      <c r="T1075">
        <f t="shared" si="151"/>
        <v>703</v>
      </c>
      <c r="U1075" t="str">
        <f t="shared" si="152"/>
        <v>OK</v>
      </c>
    </row>
    <row r="1076" spans="1:21" x14ac:dyDescent="0.3">
      <c r="A1076" t="s">
        <v>1314</v>
      </c>
      <c r="B1076" s="3">
        <v>45845</v>
      </c>
      <c r="C1076" t="s">
        <v>287</v>
      </c>
      <c r="D1076" t="s">
        <v>83</v>
      </c>
      <c r="E1076" t="s">
        <v>73</v>
      </c>
      <c r="F1076" t="s">
        <v>58</v>
      </c>
      <c r="G1076" t="s">
        <v>69</v>
      </c>
      <c r="H1076">
        <v>2</v>
      </c>
      <c r="I1076">
        <v>349</v>
      </c>
      <c r="J1076">
        <v>0.15</v>
      </c>
      <c r="K1076">
        <v>593.29999999999995</v>
      </c>
      <c r="L1076">
        <v>108.01</v>
      </c>
      <c r="M1076" t="str">
        <f t="shared" si="144"/>
        <v>Printer Paper</v>
      </c>
      <c r="N1076" t="str">
        <f t="shared" si="145"/>
        <v>Jaipur</v>
      </c>
      <c r="O1076" t="str">
        <f t="shared" si="146"/>
        <v>North</v>
      </c>
      <c r="P1076" t="str">
        <f t="shared" si="147"/>
        <v>Office Supplies</v>
      </c>
      <c r="Q1076" t="str">
        <f t="shared" si="148"/>
        <v>Office Supplies</v>
      </c>
      <c r="R1076" t="str">
        <f t="shared" si="149"/>
        <v>North</v>
      </c>
      <c r="S1076" t="str">
        <f t="shared" si="150"/>
        <v>Jaipur</v>
      </c>
      <c r="T1076">
        <f t="shared" si="151"/>
        <v>593.29999999999995</v>
      </c>
      <c r="U1076" t="str">
        <f t="shared" si="152"/>
        <v>OK</v>
      </c>
    </row>
    <row r="1077" spans="1:21" x14ac:dyDescent="0.3">
      <c r="A1077" t="s">
        <v>1315</v>
      </c>
      <c r="B1077" s="3">
        <v>45700</v>
      </c>
      <c r="C1077" t="s">
        <v>24</v>
      </c>
      <c r="D1077" t="s">
        <v>30</v>
      </c>
      <c r="E1077" t="s">
        <v>15</v>
      </c>
      <c r="F1077" t="s">
        <v>27</v>
      </c>
      <c r="G1077" t="s">
        <v>40</v>
      </c>
      <c r="H1077">
        <v>1</v>
      </c>
      <c r="I1077">
        <v>10112</v>
      </c>
      <c r="J1077">
        <v>0.1</v>
      </c>
      <c r="K1077">
        <v>9100.7999999999993</v>
      </c>
      <c r="L1077">
        <v>1490.27</v>
      </c>
      <c r="M1077" t="str">
        <f t="shared" si="144"/>
        <v>Bookshelf</v>
      </c>
      <c r="N1077" t="str">
        <f t="shared" si="145"/>
        <v>Chennai</v>
      </c>
      <c r="O1077" t="str">
        <f t="shared" si="146"/>
        <v>South</v>
      </c>
      <c r="P1077" t="str">
        <f t="shared" si="147"/>
        <v>Furniture</v>
      </c>
      <c r="Q1077" t="str">
        <f t="shared" si="148"/>
        <v>Furniture</v>
      </c>
      <c r="R1077" t="str">
        <f t="shared" si="149"/>
        <v>South</v>
      </c>
      <c r="S1077" t="str">
        <f t="shared" si="150"/>
        <v>Chennai</v>
      </c>
      <c r="T1077">
        <f t="shared" si="151"/>
        <v>9100.8000000000011</v>
      </c>
      <c r="U1077" t="str">
        <f t="shared" si="152"/>
        <v>OK</v>
      </c>
    </row>
    <row r="1078" spans="1:21" x14ac:dyDescent="0.3">
      <c r="A1078" t="s">
        <v>1316</v>
      </c>
      <c r="B1078" s="3">
        <v>45965</v>
      </c>
      <c r="C1078" t="s">
        <v>323</v>
      </c>
      <c r="D1078" t="s">
        <v>50</v>
      </c>
      <c r="E1078" t="s">
        <v>51</v>
      </c>
      <c r="F1078" t="s">
        <v>21</v>
      </c>
      <c r="G1078" t="s">
        <v>35</v>
      </c>
      <c r="H1078">
        <v>3</v>
      </c>
      <c r="I1078">
        <v>2098</v>
      </c>
      <c r="J1078">
        <v>0.2</v>
      </c>
      <c r="K1078">
        <v>5035.2</v>
      </c>
      <c r="L1078">
        <v>1115.68</v>
      </c>
      <c r="M1078" t="str">
        <f t="shared" si="144"/>
        <v>Keyboard</v>
      </c>
      <c r="N1078" t="str">
        <f t="shared" si="145"/>
        <v>Mumbai</v>
      </c>
      <c r="O1078" t="str">
        <f t="shared" si="146"/>
        <v>West</v>
      </c>
      <c r="P1078" t="str">
        <f t="shared" si="147"/>
        <v>Electronics</v>
      </c>
      <c r="Q1078" t="str">
        <f t="shared" si="148"/>
        <v>Electronics</v>
      </c>
      <c r="R1078" t="str">
        <f t="shared" si="149"/>
        <v>West</v>
      </c>
      <c r="S1078" t="str">
        <f t="shared" si="150"/>
        <v>Mumbai</v>
      </c>
      <c r="T1078">
        <f t="shared" si="151"/>
        <v>5035.2000000000007</v>
      </c>
      <c r="U1078" t="str">
        <f t="shared" si="152"/>
        <v>OK</v>
      </c>
    </row>
    <row r="1079" spans="1:21" x14ac:dyDescent="0.3">
      <c r="A1079" t="s">
        <v>1317</v>
      </c>
      <c r="B1079" s="3">
        <v>45711</v>
      </c>
      <c r="C1079" t="s">
        <v>555</v>
      </c>
      <c r="D1079" t="s">
        <v>80</v>
      </c>
      <c r="E1079" t="s">
        <v>51</v>
      </c>
      <c r="F1079" t="s">
        <v>27</v>
      </c>
      <c r="G1079" t="s">
        <v>31</v>
      </c>
      <c r="H1079">
        <v>3</v>
      </c>
      <c r="I1079">
        <v>54220</v>
      </c>
      <c r="J1079">
        <v>0.05</v>
      </c>
      <c r="K1079">
        <v>154527</v>
      </c>
      <c r="L1079">
        <v>18848.98</v>
      </c>
      <c r="M1079" t="str">
        <f t="shared" si="144"/>
        <v>Laptop</v>
      </c>
      <c r="N1079" t="str">
        <f t="shared" si="145"/>
        <v>Hyderabad</v>
      </c>
      <c r="O1079" t="str">
        <f t="shared" si="146"/>
        <v>South</v>
      </c>
      <c r="P1079" t="str">
        <f t="shared" si="147"/>
        <v>Electronics</v>
      </c>
      <c r="Q1079" t="str">
        <f t="shared" si="148"/>
        <v>Electronics</v>
      </c>
      <c r="R1079" t="str">
        <f t="shared" si="149"/>
        <v>South</v>
      </c>
      <c r="S1079" t="str">
        <f t="shared" si="150"/>
        <v>Hyderabad</v>
      </c>
      <c r="T1079">
        <f t="shared" si="151"/>
        <v>154527</v>
      </c>
      <c r="U1079" t="str">
        <f t="shared" si="152"/>
        <v>OK</v>
      </c>
    </row>
    <row r="1080" spans="1:21" x14ac:dyDescent="0.3">
      <c r="A1080" t="s">
        <v>1318</v>
      </c>
      <c r="B1080" s="3">
        <v>46005</v>
      </c>
      <c r="C1080" t="s">
        <v>246</v>
      </c>
      <c r="D1080" t="s">
        <v>307</v>
      </c>
      <c r="E1080" t="s">
        <v>73</v>
      </c>
      <c r="F1080" t="s">
        <v>58</v>
      </c>
      <c r="G1080" t="s">
        <v>69</v>
      </c>
      <c r="H1080">
        <v>1</v>
      </c>
      <c r="I1080">
        <v>172</v>
      </c>
      <c r="J1080">
        <v>0.1</v>
      </c>
      <c r="K1080">
        <v>154.80000000000001</v>
      </c>
      <c r="L1080">
        <v>14.55</v>
      </c>
      <c r="M1080" t="str">
        <f t="shared" si="144"/>
        <v>Notebook</v>
      </c>
      <c r="N1080" t="str">
        <f t="shared" si="145"/>
        <v>Jaipur</v>
      </c>
      <c r="O1080" t="str">
        <f t="shared" si="146"/>
        <v>North</v>
      </c>
      <c r="P1080" t="str">
        <f t="shared" si="147"/>
        <v>Office Supplies</v>
      </c>
      <c r="Q1080" t="str">
        <f t="shared" si="148"/>
        <v>Office Supplies</v>
      </c>
      <c r="R1080" t="str">
        <f t="shared" si="149"/>
        <v>North</v>
      </c>
      <c r="S1080" t="str">
        <f t="shared" si="150"/>
        <v>Jaipur</v>
      </c>
      <c r="T1080">
        <f t="shared" si="151"/>
        <v>154.80000000000001</v>
      </c>
      <c r="U1080" t="str">
        <f t="shared" si="152"/>
        <v>OK</v>
      </c>
    </row>
    <row r="1081" spans="1:21" x14ac:dyDescent="0.3">
      <c r="A1081" t="s">
        <v>1319</v>
      </c>
      <c r="B1081" s="3">
        <v>45870</v>
      </c>
      <c r="C1081" t="s">
        <v>180</v>
      </c>
      <c r="D1081" t="s">
        <v>80</v>
      </c>
      <c r="E1081" t="s">
        <v>51</v>
      </c>
      <c r="F1081" t="s">
        <v>58</v>
      </c>
      <c r="G1081" t="s">
        <v>59</v>
      </c>
      <c r="H1081">
        <v>3</v>
      </c>
      <c r="I1081">
        <v>64618</v>
      </c>
      <c r="J1081">
        <v>0</v>
      </c>
      <c r="K1081">
        <v>193854</v>
      </c>
      <c r="L1081">
        <v>36260.5</v>
      </c>
      <c r="M1081" t="str">
        <f t="shared" si="144"/>
        <v>Laptop</v>
      </c>
      <c r="N1081" t="str">
        <f t="shared" si="145"/>
        <v>Chandigarh</v>
      </c>
      <c r="O1081" t="str">
        <f t="shared" si="146"/>
        <v>North</v>
      </c>
      <c r="P1081" t="str">
        <f t="shared" si="147"/>
        <v>Electronics</v>
      </c>
      <c r="Q1081" t="str">
        <f t="shared" si="148"/>
        <v>Electronics</v>
      </c>
      <c r="R1081" t="str">
        <f t="shared" si="149"/>
        <v>North</v>
      </c>
      <c r="S1081" t="str">
        <f t="shared" si="150"/>
        <v>Chandigarh</v>
      </c>
      <c r="T1081">
        <f t="shared" si="151"/>
        <v>193854</v>
      </c>
      <c r="U1081" t="str">
        <f t="shared" si="152"/>
        <v>OK</v>
      </c>
    </row>
    <row r="1082" spans="1:21" x14ac:dyDescent="0.3">
      <c r="A1082" t="s">
        <v>1320</v>
      </c>
      <c r="B1082" s="3">
        <v>45831</v>
      </c>
      <c r="C1082" t="s">
        <v>448</v>
      </c>
      <c r="D1082" t="s">
        <v>92</v>
      </c>
      <c r="E1082" t="s">
        <v>51</v>
      </c>
      <c r="F1082" t="s">
        <v>58</v>
      </c>
      <c r="G1082" t="s">
        <v>126</v>
      </c>
      <c r="H1082">
        <v>3</v>
      </c>
      <c r="I1082">
        <v>14424</v>
      </c>
      <c r="J1082">
        <v>0</v>
      </c>
      <c r="K1082">
        <v>43272</v>
      </c>
      <c r="L1082">
        <v>10886.28</v>
      </c>
      <c r="M1082" t="str">
        <f t="shared" si="144"/>
        <v>Monitor</v>
      </c>
      <c r="N1082" t="str">
        <f t="shared" si="145"/>
        <v>Delhi</v>
      </c>
      <c r="O1082" t="str">
        <f t="shared" si="146"/>
        <v>North</v>
      </c>
      <c r="P1082" t="str">
        <f t="shared" si="147"/>
        <v>Electronics</v>
      </c>
      <c r="Q1082" t="str">
        <f t="shared" si="148"/>
        <v>Electronics</v>
      </c>
      <c r="R1082" t="str">
        <f t="shared" si="149"/>
        <v>North</v>
      </c>
      <c r="S1082" t="str">
        <f t="shared" si="150"/>
        <v>Delhi</v>
      </c>
      <c r="T1082">
        <f t="shared" si="151"/>
        <v>43272</v>
      </c>
      <c r="U1082" t="str">
        <f t="shared" si="152"/>
        <v>OK</v>
      </c>
    </row>
    <row r="1083" spans="1:21" x14ac:dyDescent="0.3">
      <c r="A1083" t="s">
        <v>1321</v>
      </c>
      <c r="B1083" s="3">
        <v>45936</v>
      </c>
      <c r="C1083" t="s">
        <v>1262</v>
      </c>
      <c r="D1083" t="s">
        <v>103</v>
      </c>
      <c r="E1083" t="s">
        <v>51</v>
      </c>
      <c r="F1083" t="s">
        <v>16</v>
      </c>
      <c r="G1083" t="s">
        <v>17</v>
      </c>
      <c r="H1083">
        <v>2</v>
      </c>
      <c r="I1083">
        <v>6911</v>
      </c>
      <c r="J1083">
        <v>0</v>
      </c>
      <c r="K1083">
        <v>13822</v>
      </c>
      <c r="L1083">
        <v>2952.88</v>
      </c>
      <c r="M1083" t="str">
        <f t="shared" si="144"/>
        <v>Headphones</v>
      </c>
      <c r="N1083" t="str">
        <f t="shared" si="145"/>
        <v>Guwahati</v>
      </c>
      <c r="O1083" t="str">
        <f t="shared" si="146"/>
        <v>East</v>
      </c>
      <c r="P1083" t="str">
        <f t="shared" si="147"/>
        <v>Electronics</v>
      </c>
      <c r="Q1083" t="str">
        <f t="shared" si="148"/>
        <v>Electronics</v>
      </c>
      <c r="R1083" t="str">
        <f t="shared" si="149"/>
        <v>East</v>
      </c>
      <c r="S1083" t="str">
        <f t="shared" si="150"/>
        <v>Guwahati</v>
      </c>
      <c r="T1083">
        <f t="shared" si="151"/>
        <v>13822</v>
      </c>
      <c r="U1083" t="str">
        <f t="shared" si="152"/>
        <v>OK</v>
      </c>
    </row>
    <row r="1084" spans="1:21" x14ac:dyDescent="0.3">
      <c r="A1084" t="s">
        <v>1322</v>
      </c>
      <c r="B1084" s="3">
        <v>45881</v>
      </c>
      <c r="C1084" t="s">
        <v>240</v>
      </c>
      <c r="D1084" t="s">
        <v>43</v>
      </c>
      <c r="E1084" t="s">
        <v>44</v>
      </c>
      <c r="F1084" t="s">
        <v>27</v>
      </c>
      <c r="G1084" t="s">
        <v>40</v>
      </c>
      <c r="H1084">
        <v>1</v>
      </c>
      <c r="I1084">
        <v>688</v>
      </c>
      <c r="J1084">
        <v>0</v>
      </c>
      <c r="K1084">
        <v>688</v>
      </c>
      <c r="L1084">
        <v>123.89</v>
      </c>
      <c r="M1084" t="str">
        <f t="shared" si="144"/>
        <v>Phone Holder</v>
      </c>
      <c r="N1084" t="str">
        <f t="shared" si="145"/>
        <v>Chennai</v>
      </c>
      <c r="O1084" t="str">
        <f t="shared" si="146"/>
        <v>South</v>
      </c>
      <c r="P1084" t="str">
        <f t="shared" si="147"/>
        <v>Accessories</v>
      </c>
      <c r="Q1084" t="str">
        <f t="shared" si="148"/>
        <v>Accessories</v>
      </c>
      <c r="R1084" t="str">
        <f t="shared" si="149"/>
        <v>South</v>
      </c>
      <c r="S1084" t="str">
        <f t="shared" si="150"/>
        <v>Chennai</v>
      </c>
      <c r="T1084">
        <f t="shared" si="151"/>
        <v>688</v>
      </c>
      <c r="U1084" t="str">
        <f t="shared" si="152"/>
        <v>OK</v>
      </c>
    </row>
    <row r="1085" spans="1:21" x14ac:dyDescent="0.3">
      <c r="A1085" t="s">
        <v>1323</v>
      </c>
      <c r="B1085" s="3">
        <v>46021</v>
      </c>
      <c r="C1085" t="s">
        <v>159</v>
      </c>
      <c r="D1085" t="s">
        <v>103</v>
      </c>
      <c r="E1085" t="s">
        <v>51</v>
      </c>
      <c r="F1085" t="s">
        <v>16</v>
      </c>
      <c r="G1085" t="s">
        <v>104</v>
      </c>
      <c r="H1085">
        <v>1</v>
      </c>
      <c r="I1085">
        <v>5507</v>
      </c>
      <c r="J1085">
        <v>0.15</v>
      </c>
      <c r="K1085">
        <v>4680.95</v>
      </c>
      <c r="L1085">
        <v>638.48</v>
      </c>
      <c r="M1085" t="str">
        <f t="shared" si="144"/>
        <v>Headphones</v>
      </c>
      <c r="N1085" t="str">
        <f t="shared" si="145"/>
        <v>Bhubaneswar</v>
      </c>
      <c r="O1085" t="str">
        <f t="shared" si="146"/>
        <v>East</v>
      </c>
      <c r="P1085" t="str">
        <f t="shared" si="147"/>
        <v>Electronics</v>
      </c>
      <c r="Q1085" t="str">
        <f t="shared" si="148"/>
        <v>Electronics</v>
      </c>
      <c r="R1085" t="str">
        <f t="shared" si="149"/>
        <v>East</v>
      </c>
      <c r="S1085" t="str">
        <f t="shared" si="150"/>
        <v>Bhubaneswar</v>
      </c>
      <c r="T1085">
        <f t="shared" si="151"/>
        <v>4680.95</v>
      </c>
      <c r="U1085" t="str">
        <f t="shared" si="152"/>
        <v>OK</v>
      </c>
    </row>
    <row r="1086" spans="1:21" x14ac:dyDescent="0.3">
      <c r="A1086" t="s">
        <v>1324</v>
      </c>
      <c r="B1086" s="3">
        <v>45856</v>
      </c>
      <c r="C1086" t="s">
        <v>358</v>
      </c>
      <c r="D1086" t="s">
        <v>72</v>
      </c>
      <c r="E1086" t="s">
        <v>73</v>
      </c>
      <c r="F1086" t="s">
        <v>27</v>
      </c>
      <c r="G1086" t="s">
        <v>28</v>
      </c>
      <c r="H1086">
        <v>1</v>
      </c>
      <c r="I1086">
        <v>1053</v>
      </c>
      <c r="J1086">
        <v>0.05</v>
      </c>
      <c r="K1086">
        <v>1000.35</v>
      </c>
      <c r="L1086">
        <v>211</v>
      </c>
      <c r="M1086" t="str">
        <f t="shared" si="144"/>
        <v>Desk Organizer</v>
      </c>
      <c r="N1086" t="str">
        <f t="shared" si="145"/>
        <v>Bengaluru</v>
      </c>
      <c r="O1086" t="str">
        <f t="shared" si="146"/>
        <v>South</v>
      </c>
      <c r="P1086" t="str">
        <f t="shared" si="147"/>
        <v>Office Supplies</v>
      </c>
      <c r="Q1086" t="str">
        <f t="shared" si="148"/>
        <v>Office Supplies</v>
      </c>
      <c r="R1086" t="str">
        <f t="shared" si="149"/>
        <v>South</v>
      </c>
      <c r="S1086" t="str">
        <f t="shared" si="150"/>
        <v>Bengaluru</v>
      </c>
      <c r="T1086">
        <f t="shared" si="151"/>
        <v>1000.3499999999999</v>
      </c>
      <c r="U1086" t="str">
        <f t="shared" si="152"/>
        <v>OK</v>
      </c>
    </row>
    <row r="1087" spans="1:21" x14ac:dyDescent="0.3">
      <c r="A1087" t="s">
        <v>1325</v>
      </c>
      <c r="B1087" s="3">
        <v>45681</v>
      </c>
      <c r="C1087" t="s">
        <v>363</v>
      </c>
      <c r="D1087" t="s">
        <v>120</v>
      </c>
      <c r="E1087" t="s">
        <v>51</v>
      </c>
      <c r="F1087" t="s">
        <v>16</v>
      </c>
      <c r="G1087" t="s">
        <v>17</v>
      </c>
      <c r="H1087">
        <v>5</v>
      </c>
      <c r="I1087">
        <v>629</v>
      </c>
      <c r="J1087">
        <v>0</v>
      </c>
      <c r="K1087">
        <v>3145</v>
      </c>
      <c r="L1087">
        <v>804.2</v>
      </c>
      <c r="M1087" t="str">
        <f t="shared" si="144"/>
        <v>Mouse</v>
      </c>
      <c r="N1087" t="str">
        <f t="shared" si="145"/>
        <v>Guwahati</v>
      </c>
      <c r="O1087" t="str">
        <f t="shared" si="146"/>
        <v>East</v>
      </c>
      <c r="P1087" t="str">
        <f t="shared" si="147"/>
        <v>Electronics</v>
      </c>
      <c r="Q1087" t="str">
        <f t="shared" si="148"/>
        <v>Electronics</v>
      </c>
      <c r="R1087" t="str">
        <f t="shared" si="149"/>
        <v>East</v>
      </c>
      <c r="S1087" t="str">
        <f t="shared" si="150"/>
        <v>Guwahati</v>
      </c>
      <c r="T1087">
        <f t="shared" si="151"/>
        <v>3145</v>
      </c>
      <c r="U1087" t="str">
        <f t="shared" si="152"/>
        <v>OK</v>
      </c>
    </row>
    <row r="1088" spans="1:21" x14ac:dyDescent="0.3">
      <c r="A1088" t="s">
        <v>1326</v>
      </c>
      <c r="B1088" s="3">
        <v>45855</v>
      </c>
      <c r="C1088" t="s">
        <v>551</v>
      </c>
      <c r="D1088" t="s">
        <v>20</v>
      </c>
      <c r="E1088" t="s">
        <v>15</v>
      </c>
      <c r="F1088" t="s">
        <v>58</v>
      </c>
      <c r="G1088" t="s">
        <v>126</v>
      </c>
      <c r="H1088">
        <v>3</v>
      </c>
      <c r="I1088">
        <v>11418</v>
      </c>
      <c r="J1088">
        <v>0</v>
      </c>
      <c r="K1088">
        <v>34254</v>
      </c>
      <c r="L1088">
        <v>7230.44</v>
      </c>
      <c r="M1088" t="str">
        <f t="shared" si="144"/>
        <v>Filing Cabinet</v>
      </c>
      <c r="N1088" t="str">
        <f t="shared" si="145"/>
        <v>Delhi</v>
      </c>
      <c r="O1088" t="str">
        <f t="shared" si="146"/>
        <v>North</v>
      </c>
      <c r="P1088" t="str">
        <f t="shared" si="147"/>
        <v>Furniture</v>
      </c>
      <c r="Q1088" t="str">
        <f t="shared" si="148"/>
        <v>Furniture</v>
      </c>
      <c r="R1088" t="str">
        <f t="shared" si="149"/>
        <v>North</v>
      </c>
      <c r="S1088" t="str">
        <f t="shared" si="150"/>
        <v>Delhi</v>
      </c>
      <c r="T1088">
        <f t="shared" si="151"/>
        <v>34254</v>
      </c>
      <c r="U1088" t="str">
        <f t="shared" si="152"/>
        <v>OK</v>
      </c>
    </row>
    <row r="1089" spans="1:21" x14ac:dyDescent="0.3">
      <c r="A1089" t="s">
        <v>1327</v>
      </c>
      <c r="B1089" s="3">
        <v>45990</v>
      </c>
      <c r="C1089" t="s">
        <v>458</v>
      </c>
      <c r="D1089" t="s">
        <v>153</v>
      </c>
      <c r="E1089" t="s">
        <v>26</v>
      </c>
      <c r="F1089" t="s">
        <v>58</v>
      </c>
      <c r="G1089" t="s">
        <v>59</v>
      </c>
      <c r="H1089">
        <v>2</v>
      </c>
      <c r="I1089">
        <v>9401</v>
      </c>
      <c r="J1089">
        <v>0</v>
      </c>
      <c r="K1089">
        <v>18802</v>
      </c>
      <c r="L1089">
        <v>3660.75</v>
      </c>
      <c r="M1089" t="str">
        <f t="shared" si="144"/>
        <v>Coffee Maker</v>
      </c>
      <c r="N1089" t="str">
        <f t="shared" si="145"/>
        <v>Chandigarh</v>
      </c>
      <c r="O1089" t="str">
        <f t="shared" si="146"/>
        <v>North</v>
      </c>
      <c r="P1089" t="str">
        <f t="shared" si="147"/>
        <v>Home Appliances</v>
      </c>
      <c r="Q1089" t="str">
        <f t="shared" si="148"/>
        <v>Home Appliances</v>
      </c>
      <c r="R1089" t="str">
        <f t="shared" si="149"/>
        <v>North</v>
      </c>
      <c r="S1089" t="str">
        <f t="shared" si="150"/>
        <v>Chandigarh</v>
      </c>
      <c r="T1089">
        <f t="shared" si="151"/>
        <v>18802</v>
      </c>
      <c r="U1089" t="str">
        <f t="shared" si="152"/>
        <v>OK</v>
      </c>
    </row>
    <row r="1090" spans="1:21" x14ac:dyDescent="0.3">
      <c r="A1090" t="s">
        <v>1328</v>
      </c>
      <c r="B1090" s="3">
        <v>45757</v>
      </c>
      <c r="C1090" t="s">
        <v>415</v>
      </c>
      <c r="D1090" t="s">
        <v>47</v>
      </c>
      <c r="E1090" t="s">
        <v>26</v>
      </c>
      <c r="F1090" t="s">
        <v>58</v>
      </c>
      <c r="G1090" t="s">
        <v>69</v>
      </c>
      <c r="H1090">
        <v>3</v>
      </c>
      <c r="I1090">
        <v>20997</v>
      </c>
      <c r="J1090">
        <v>0.1</v>
      </c>
      <c r="K1090">
        <v>56691.9</v>
      </c>
      <c r="L1090">
        <v>9513.23</v>
      </c>
      <c r="M1090" t="str">
        <f t="shared" si="144"/>
        <v>Air Purifier</v>
      </c>
      <c r="N1090" t="str">
        <f t="shared" si="145"/>
        <v>Jaipur</v>
      </c>
      <c r="O1090" t="str">
        <f t="shared" si="146"/>
        <v>North</v>
      </c>
      <c r="P1090" t="str">
        <f t="shared" si="147"/>
        <v>Home Appliances</v>
      </c>
      <c r="Q1090" t="str">
        <f t="shared" si="148"/>
        <v>Home Appliances</v>
      </c>
      <c r="R1090" t="str">
        <f t="shared" si="149"/>
        <v>North</v>
      </c>
      <c r="S1090" t="str">
        <f t="shared" si="150"/>
        <v>Jaipur</v>
      </c>
      <c r="T1090">
        <f t="shared" si="151"/>
        <v>56691.9</v>
      </c>
      <c r="U1090" t="str">
        <f t="shared" si="152"/>
        <v>OK</v>
      </c>
    </row>
    <row r="1091" spans="1:21" x14ac:dyDescent="0.3">
      <c r="A1091" t="s">
        <v>1329</v>
      </c>
      <c r="B1091" s="3">
        <v>45840</v>
      </c>
      <c r="C1091" t="s">
        <v>246</v>
      </c>
      <c r="D1091" t="s">
        <v>80</v>
      </c>
      <c r="E1091" t="s">
        <v>51</v>
      </c>
      <c r="F1091" t="s">
        <v>27</v>
      </c>
      <c r="G1091" t="s">
        <v>28</v>
      </c>
      <c r="H1091">
        <v>1</v>
      </c>
      <c r="I1091">
        <v>81811</v>
      </c>
      <c r="J1091">
        <v>0.05</v>
      </c>
      <c r="K1091">
        <v>77720.45</v>
      </c>
      <c r="L1091">
        <v>21677.15</v>
      </c>
      <c r="M1091" t="str">
        <f t="shared" ref="M1091:M1154" si="153">TRIM(D1091)</f>
        <v>Laptop</v>
      </c>
      <c r="N1091" t="str">
        <f t="shared" ref="N1091:N1154" si="154">TRIM(G1091)</f>
        <v>Bengaluru</v>
      </c>
      <c r="O1091" t="str">
        <f t="shared" ref="O1091:O1154" si="155">TRIM(F:F)</f>
        <v>South</v>
      </c>
      <c r="P1091" t="str">
        <f t="shared" ref="P1091:P1154" si="156">TRIM(E1091)</f>
        <v>Electronics</v>
      </c>
      <c r="Q1091" t="str">
        <f t="shared" ref="Q1091:Q1154" si="157">PROPER(E1091)</f>
        <v>Electronics</v>
      </c>
      <c r="R1091" t="str">
        <f t="shared" ref="R1091:R1154" si="158">PROPER(F1091)</f>
        <v>South</v>
      </c>
      <c r="S1091" t="str">
        <f t="shared" ref="S1091:S1154" si="159">PROPER(G1091)</f>
        <v>Bengaluru</v>
      </c>
      <c r="T1091">
        <f t="shared" ref="T1091:T1154" si="160">H1091*I1091*(1-J1091)</f>
        <v>77720.45</v>
      </c>
      <c r="U1091" t="str">
        <f t="shared" ref="U1091:U1154" si="161">IF(ROUND(K1091,2)=ROUND(T1091,2),"OK","CHECK")</f>
        <v>OK</v>
      </c>
    </row>
    <row r="1092" spans="1:21" x14ac:dyDescent="0.3">
      <c r="A1092" t="s">
        <v>1330</v>
      </c>
      <c r="B1092" s="3">
        <v>45751</v>
      </c>
      <c r="C1092" t="s">
        <v>185</v>
      </c>
      <c r="D1092" t="s">
        <v>120</v>
      </c>
      <c r="E1092" t="s">
        <v>51</v>
      </c>
      <c r="F1092" t="s">
        <v>27</v>
      </c>
      <c r="G1092" t="s">
        <v>28</v>
      </c>
      <c r="H1092">
        <v>2</v>
      </c>
      <c r="I1092">
        <v>1871</v>
      </c>
      <c r="J1092">
        <v>0.15</v>
      </c>
      <c r="K1092">
        <v>3180.7</v>
      </c>
      <c r="L1092">
        <v>646.08000000000004</v>
      </c>
      <c r="M1092" t="str">
        <f t="shared" si="153"/>
        <v>Mouse</v>
      </c>
      <c r="N1092" t="str">
        <f t="shared" si="154"/>
        <v>Bengaluru</v>
      </c>
      <c r="O1092" t="str">
        <f t="shared" si="155"/>
        <v>South</v>
      </c>
      <c r="P1092" t="str">
        <f t="shared" si="156"/>
        <v>Electronics</v>
      </c>
      <c r="Q1092" t="str">
        <f t="shared" si="157"/>
        <v>Electronics</v>
      </c>
      <c r="R1092" t="str">
        <f t="shared" si="158"/>
        <v>South</v>
      </c>
      <c r="S1092" t="str">
        <f t="shared" si="159"/>
        <v>Bengaluru</v>
      </c>
      <c r="T1092">
        <f t="shared" si="160"/>
        <v>3180.7</v>
      </c>
      <c r="U1092" t="str">
        <f t="shared" si="161"/>
        <v>OK</v>
      </c>
    </row>
    <row r="1093" spans="1:21" x14ac:dyDescent="0.3">
      <c r="A1093" t="s">
        <v>1331</v>
      </c>
      <c r="B1093" s="3">
        <v>45685</v>
      </c>
      <c r="C1093" t="s">
        <v>305</v>
      </c>
      <c r="D1093" t="s">
        <v>83</v>
      </c>
      <c r="E1093" t="s">
        <v>73</v>
      </c>
      <c r="F1093" t="s">
        <v>16</v>
      </c>
      <c r="G1093" t="s">
        <v>17</v>
      </c>
      <c r="H1093">
        <v>2</v>
      </c>
      <c r="I1093">
        <v>478</v>
      </c>
      <c r="J1093">
        <v>0.2</v>
      </c>
      <c r="K1093">
        <v>764.8</v>
      </c>
      <c r="L1093">
        <v>81.680000000000007</v>
      </c>
      <c r="M1093" t="str">
        <f t="shared" si="153"/>
        <v>Printer Paper</v>
      </c>
      <c r="N1093" t="str">
        <f t="shared" si="154"/>
        <v>Guwahati</v>
      </c>
      <c r="O1093" t="str">
        <f t="shared" si="155"/>
        <v>East</v>
      </c>
      <c r="P1093" t="str">
        <f t="shared" si="156"/>
        <v>Office Supplies</v>
      </c>
      <c r="Q1093" t="str">
        <f t="shared" si="157"/>
        <v>Office Supplies</v>
      </c>
      <c r="R1093" t="str">
        <f t="shared" si="158"/>
        <v>East</v>
      </c>
      <c r="S1093" t="str">
        <f t="shared" si="159"/>
        <v>Guwahati</v>
      </c>
      <c r="T1093">
        <f t="shared" si="160"/>
        <v>764.80000000000007</v>
      </c>
      <c r="U1093" t="str">
        <f t="shared" si="161"/>
        <v>OK</v>
      </c>
    </row>
    <row r="1094" spans="1:21" x14ac:dyDescent="0.3">
      <c r="A1094" t="s">
        <v>1332</v>
      </c>
      <c r="B1094" s="3">
        <v>45860</v>
      </c>
      <c r="C1094" t="s">
        <v>77</v>
      </c>
      <c r="D1094" t="s">
        <v>50</v>
      </c>
      <c r="E1094" t="s">
        <v>51</v>
      </c>
      <c r="F1094" t="s">
        <v>27</v>
      </c>
      <c r="G1094" t="s">
        <v>31</v>
      </c>
      <c r="H1094">
        <v>1</v>
      </c>
      <c r="I1094">
        <v>1699</v>
      </c>
      <c r="J1094">
        <v>0.05</v>
      </c>
      <c r="K1094">
        <v>1614.05</v>
      </c>
      <c r="L1094">
        <v>198.3</v>
      </c>
      <c r="M1094" t="str">
        <f t="shared" si="153"/>
        <v>Keyboard</v>
      </c>
      <c r="N1094" t="str">
        <f t="shared" si="154"/>
        <v>Hyderabad</v>
      </c>
      <c r="O1094" t="str">
        <f t="shared" si="155"/>
        <v>South</v>
      </c>
      <c r="P1094" t="str">
        <f t="shared" si="156"/>
        <v>Electronics</v>
      </c>
      <c r="Q1094" t="str">
        <f t="shared" si="157"/>
        <v>Electronics</v>
      </c>
      <c r="R1094" t="str">
        <f t="shared" si="158"/>
        <v>South</v>
      </c>
      <c r="S1094" t="str">
        <f t="shared" si="159"/>
        <v>Hyderabad</v>
      </c>
      <c r="T1094">
        <f t="shared" si="160"/>
        <v>1614.05</v>
      </c>
      <c r="U1094" t="str">
        <f t="shared" si="161"/>
        <v>OK</v>
      </c>
    </row>
    <row r="1095" spans="1:21" x14ac:dyDescent="0.3">
      <c r="A1095" t="s">
        <v>1333</v>
      </c>
      <c r="B1095" s="3">
        <v>45992</v>
      </c>
      <c r="C1095" t="s">
        <v>440</v>
      </c>
      <c r="D1095" t="s">
        <v>97</v>
      </c>
      <c r="E1095" t="s">
        <v>44</v>
      </c>
      <c r="F1095" t="s">
        <v>58</v>
      </c>
      <c r="G1095" t="s">
        <v>126</v>
      </c>
      <c r="H1095">
        <v>3</v>
      </c>
      <c r="I1095">
        <v>905</v>
      </c>
      <c r="J1095">
        <v>0.15</v>
      </c>
      <c r="K1095">
        <v>2307.75</v>
      </c>
      <c r="L1095">
        <v>506.84</v>
      </c>
      <c r="M1095" t="str">
        <f t="shared" si="153"/>
        <v>USB Cable</v>
      </c>
      <c r="N1095" t="str">
        <f t="shared" si="154"/>
        <v>Delhi</v>
      </c>
      <c r="O1095" t="str">
        <f t="shared" si="155"/>
        <v>North</v>
      </c>
      <c r="P1095" t="str">
        <f t="shared" si="156"/>
        <v>Accessories</v>
      </c>
      <c r="Q1095" t="str">
        <f t="shared" si="157"/>
        <v>Accessories</v>
      </c>
      <c r="R1095" t="str">
        <f t="shared" si="158"/>
        <v>North</v>
      </c>
      <c r="S1095" t="str">
        <f t="shared" si="159"/>
        <v>Delhi</v>
      </c>
      <c r="T1095">
        <f t="shared" si="160"/>
        <v>2307.75</v>
      </c>
      <c r="U1095" t="str">
        <f t="shared" si="161"/>
        <v>OK</v>
      </c>
    </row>
    <row r="1096" spans="1:21" x14ac:dyDescent="0.3">
      <c r="A1096" t="s">
        <v>1334</v>
      </c>
      <c r="B1096" s="3">
        <v>45752</v>
      </c>
      <c r="C1096" t="s">
        <v>468</v>
      </c>
      <c r="D1096" t="s">
        <v>20</v>
      </c>
      <c r="E1096" t="s">
        <v>15</v>
      </c>
      <c r="F1096" t="s">
        <v>21</v>
      </c>
      <c r="G1096" t="s">
        <v>55</v>
      </c>
      <c r="H1096">
        <v>3</v>
      </c>
      <c r="I1096">
        <v>8280</v>
      </c>
      <c r="J1096">
        <v>0.1</v>
      </c>
      <c r="K1096">
        <v>22356</v>
      </c>
      <c r="L1096">
        <v>4036.79</v>
      </c>
      <c r="M1096" t="str">
        <f t="shared" si="153"/>
        <v>Filing Cabinet</v>
      </c>
      <c r="N1096" t="str">
        <f t="shared" si="154"/>
        <v>Pune</v>
      </c>
      <c r="O1096" t="str">
        <f t="shared" si="155"/>
        <v>West</v>
      </c>
      <c r="P1096" t="str">
        <f t="shared" si="156"/>
        <v>Furniture</v>
      </c>
      <c r="Q1096" t="str">
        <f t="shared" si="157"/>
        <v>Furniture</v>
      </c>
      <c r="R1096" t="str">
        <f t="shared" si="158"/>
        <v>West</v>
      </c>
      <c r="S1096" t="str">
        <f t="shared" si="159"/>
        <v>Pune</v>
      </c>
      <c r="T1096">
        <f t="shared" si="160"/>
        <v>22356</v>
      </c>
      <c r="U1096" t="str">
        <f t="shared" si="161"/>
        <v>OK</v>
      </c>
    </row>
    <row r="1097" spans="1:21" x14ac:dyDescent="0.3">
      <c r="A1097" t="s">
        <v>1335</v>
      </c>
      <c r="B1097" s="3">
        <v>45798</v>
      </c>
      <c r="C1097" t="s">
        <v>468</v>
      </c>
      <c r="D1097" t="s">
        <v>97</v>
      </c>
      <c r="E1097" t="s">
        <v>44</v>
      </c>
      <c r="F1097" t="s">
        <v>16</v>
      </c>
      <c r="G1097" t="s">
        <v>52</v>
      </c>
      <c r="H1097">
        <v>1</v>
      </c>
      <c r="I1097">
        <v>269</v>
      </c>
      <c r="J1097">
        <v>0.05</v>
      </c>
      <c r="K1097">
        <v>255.55</v>
      </c>
      <c r="L1097">
        <v>47.61</v>
      </c>
      <c r="M1097" t="str">
        <f t="shared" si="153"/>
        <v>USB Cable</v>
      </c>
      <c r="N1097" t="str">
        <f t="shared" si="154"/>
        <v>Kolkata</v>
      </c>
      <c r="O1097" t="str">
        <f t="shared" si="155"/>
        <v>East</v>
      </c>
      <c r="P1097" t="str">
        <f t="shared" si="156"/>
        <v>Accessories</v>
      </c>
      <c r="Q1097" t="str">
        <f t="shared" si="157"/>
        <v>Accessories</v>
      </c>
      <c r="R1097" t="str">
        <f t="shared" si="158"/>
        <v>East</v>
      </c>
      <c r="S1097" t="str">
        <f t="shared" si="159"/>
        <v>Kolkata</v>
      </c>
      <c r="T1097">
        <f t="shared" si="160"/>
        <v>255.54999999999998</v>
      </c>
      <c r="U1097" t="str">
        <f t="shared" si="161"/>
        <v>OK</v>
      </c>
    </row>
    <row r="1098" spans="1:21" x14ac:dyDescent="0.3">
      <c r="A1098" t="s">
        <v>1336</v>
      </c>
      <c r="B1098" s="3">
        <v>45939</v>
      </c>
      <c r="C1098" t="s">
        <v>67</v>
      </c>
      <c r="D1098" t="s">
        <v>65</v>
      </c>
      <c r="E1098" t="s">
        <v>26</v>
      </c>
      <c r="F1098" t="s">
        <v>21</v>
      </c>
      <c r="G1098" t="s">
        <v>35</v>
      </c>
      <c r="H1098">
        <v>2</v>
      </c>
      <c r="I1098">
        <v>1846</v>
      </c>
      <c r="J1098">
        <v>0</v>
      </c>
      <c r="K1098">
        <v>3692</v>
      </c>
      <c r="L1098">
        <v>889.78</v>
      </c>
      <c r="M1098" t="str">
        <f t="shared" si="153"/>
        <v>Electric Kettle</v>
      </c>
      <c r="N1098" t="str">
        <f t="shared" si="154"/>
        <v>Mumbai</v>
      </c>
      <c r="O1098" t="str">
        <f t="shared" si="155"/>
        <v>West</v>
      </c>
      <c r="P1098" t="str">
        <f t="shared" si="156"/>
        <v>Home Appliances</v>
      </c>
      <c r="Q1098" t="str">
        <f t="shared" si="157"/>
        <v>Home Appliances</v>
      </c>
      <c r="R1098" t="str">
        <f t="shared" si="158"/>
        <v>West</v>
      </c>
      <c r="S1098" t="str">
        <f t="shared" si="159"/>
        <v>Mumbai</v>
      </c>
      <c r="T1098">
        <f t="shared" si="160"/>
        <v>3692</v>
      </c>
      <c r="U1098" t="str">
        <f t="shared" si="161"/>
        <v>OK</v>
      </c>
    </row>
    <row r="1099" spans="1:21" x14ac:dyDescent="0.3">
      <c r="A1099" t="s">
        <v>1337</v>
      </c>
      <c r="B1099" s="3">
        <v>45925</v>
      </c>
      <c r="C1099" t="s">
        <v>282</v>
      </c>
      <c r="D1099" t="s">
        <v>80</v>
      </c>
      <c r="E1099" t="s">
        <v>51</v>
      </c>
      <c r="F1099" t="s">
        <v>58</v>
      </c>
      <c r="G1099" t="s">
        <v>126</v>
      </c>
      <c r="H1099">
        <v>2</v>
      </c>
      <c r="I1099">
        <v>67834</v>
      </c>
      <c r="J1099">
        <v>0.1</v>
      </c>
      <c r="K1099">
        <v>122101.2</v>
      </c>
      <c r="L1099">
        <v>10701.02</v>
      </c>
      <c r="M1099" t="str">
        <f t="shared" si="153"/>
        <v>Laptop</v>
      </c>
      <c r="N1099" t="str">
        <f t="shared" si="154"/>
        <v>Delhi</v>
      </c>
      <c r="O1099" t="str">
        <f t="shared" si="155"/>
        <v>North</v>
      </c>
      <c r="P1099" t="str">
        <f t="shared" si="156"/>
        <v>Electronics</v>
      </c>
      <c r="Q1099" t="str">
        <f t="shared" si="157"/>
        <v>Electronics</v>
      </c>
      <c r="R1099" t="str">
        <f t="shared" si="158"/>
        <v>North</v>
      </c>
      <c r="S1099" t="str">
        <f t="shared" si="159"/>
        <v>Delhi</v>
      </c>
      <c r="T1099">
        <f t="shared" si="160"/>
        <v>122101.2</v>
      </c>
      <c r="U1099" t="str">
        <f t="shared" si="161"/>
        <v>OK</v>
      </c>
    </row>
    <row r="1100" spans="1:21" x14ac:dyDescent="0.3">
      <c r="A1100" t="s">
        <v>1338</v>
      </c>
      <c r="B1100" s="3">
        <v>45907</v>
      </c>
      <c r="C1100" t="s">
        <v>206</v>
      </c>
      <c r="D1100" t="s">
        <v>47</v>
      </c>
      <c r="E1100" t="s">
        <v>26</v>
      </c>
      <c r="F1100" t="s">
        <v>27</v>
      </c>
      <c r="G1100" t="s">
        <v>31</v>
      </c>
      <c r="H1100">
        <v>2</v>
      </c>
      <c r="I1100">
        <v>9463</v>
      </c>
      <c r="J1100">
        <v>0</v>
      </c>
      <c r="K1100">
        <v>18926</v>
      </c>
      <c r="L1100">
        <v>5223.7700000000004</v>
      </c>
      <c r="M1100" t="str">
        <f t="shared" si="153"/>
        <v>Air Purifier</v>
      </c>
      <c r="N1100" t="str">
        <f t="shared" si="154"/>
        <v>Hyderabad</v>
      </c>
      <c r="O1100" t="str">
        <f t="shared" si="155"/>
        <v>South</v>
      </c>
      <c r="P1100" t="str">
        <f t="shared" si="156"/>
        <v>Home Appliances</v>
      </c>
      <c r="Q1100" t="str">
        <f t="shared" si="157"/>
        <v>Home Appliances</v>
      </c>
      <c r="R1100" t="str">
        <f t="shared" si="158"/>
        <v>South</v>
      </c>
      <c r="S1100" t="str">
        <f t="shared" si="159"/>
        <v>Hyderabad</v>
      </c>
      <c r="T1100">
        <f t="shared" si="160"/>
        <v>18926</v>
      </c>
      <c r="U1100" t="str">
        <f t="shared" si="161"/>
        <v>OK</v>
      </c>
    </row>
    <row r="1101" spans="1:21" x14ac:dyDescent="0.3">
      <c r="A1101" t="s">
        <v>1339</v>
      </c>
      <c r="B1101" s="3">
        <v>45720</v>
      </c>
      <c r="C1101" t="s">
        <v>403</v>
      </c>
      <c r="D1101" t="s">
        <v>30</v>
      </c>
      <c r="E1101" t="s">
        <v>15</v>
      </c>
      <c r="F1101" t="s">
        <v>27</v>
      </c>
      <c r="G1101" t="s">
        <v>40</v>
      </c>
      <c r="H1101">
        <v>1</v>
      </c>
      <c r="I1101">
        <v>5902</v>
      </c>
      <c r="J1101">
        <v>0.15</v>
      </c>
      <c r="K1101">
        <v>5016.7</v>
      </c>
      <c r="L1101">
        <v>464.44</v>
      </c>
      <c r="M1101" t="str">
        <f t="shared" si="153"/>
        <v>Bookshelf</v>
      </c>
      <c r="N1101" t="str">
        <f t="shared" si="154"/>
        <v>Chennai</v>
      </c>
      <c r="O1101" t="str">
        <f t="shared" si="155"/>
        <v>South</v>
      </c>
      <c r="P1101" t="str">
        <f t="shared" si="156"/>
        <v>Furniture</v>
      </c>
      <c r="Q1101" t="str">
        <f t="shared" si="157"/>
        <v>Furniture</v>
      </c>
      <c r="R1101" t="str">
        <f t="shared" si="158"/>
        <v>South</v>
      </c>
      <c r="S1101" t="str">
        <f t="shared" si="159"/>
        <v>Chennai</v>
      </c>
      <c r="T1101">
        <f t="shared" si="160"/>
        <v>5016.7</v>
      </c>
      <c r="U1101" t="str">
        <f t="shared" si="161"/>
        <v>OK</v>
      </c>
    </row>
    <row r="1102" spans="1:21" x14ac:dyDescent="0.3">
      <c r="A1102" t="s">
        <v>1340</v>
      </c>
      <c r="B1102" s="3">
        <v>45885</v>
      </c>
      <c r="C1102" t="s">
        <v>238</v>
      </c>
      <c r="D1102" t="s">
        <v>34</v>
      </c>
      <c r="E1102" t="s">
        <v>15</v>
      </c>
      <c r="F1102" t="s">
        <v>21</v>
      </c>
      <c r="G1102" t="s">
        <v>22</v>
      </c>
      <c r="H1102">
        <v>1</v>
      </c>
      <c r="I1102">
        <v>22544</v>
      </c>
      <c r="J1102">
        <v>0.2</v>
      </c>
      <c r="K1102">
        <v>18035.2</v>
      </c>
      <c r="L1102">
        <v>2537.38</v>
      </c>
      <c r="M1102" t="str">
        <f t="shared" si="153"/>
        <v>Desk</v>
      </c>
      <c r="N1102" t="str">
        <f t="shared" si="154"/>
        <v>Ahmedabad</v>
      </c>
      <c r="O1102" t="str">
        <f t="shared" si="155"/>
        <v>West</v>
      </c>
      <c r="P1102" t="str">
        <f t="shared" si="156"/>
        <v>Furniture</v>
      </c>
      <c r="Q1102" t="str">
        <f t="shared" si="157"/>
        <v>Furniture</v>
      </c>
      <c r="R1102" t="str">
        <f t="shared" si="158"/>
        <v>West</v>
      </c>
      <c r="S1102" t="str">
        <f t="shared" si="159"/>
        <v>Ahmedabad</v>
      </c>
      <c r="T1102">
        <f t="shared" si="160"/>
        <v>18035.2</v>
      </c>
      <c r="U1102" t="str">
        <f t="shared" si="161"/>
        <v>OK</v>
      </c>
    </row>
    <row r="1103" spans="1:21" x14ac:dyDescent="0.3">
      <c r="A1103" t="s">
        <v>1341</v>
      </c>
      <c r="B1103" s="3">
        <v>45741</v>
      </c>
      <c r="C1103" t="s">
        <v>551</v>
      </c>
      <c r="D1103" t="s">
        <v>88</v>
      </c>
      <c r="E1103" t="s">
        <v>73</v>
      </c>
      <c r="F1103" t="s">
        <v>58</v>
      </c>
      <c r="G1103" t="s">
        <v>69</v>
      </c>
      <c r="H1103">
        <v>1</v>
      </c>
      <c r="I1103">
        <v>299</v>
      </c>
      <c r="J1103">
        <v>0</v>
      </c>
      <c r="K1103">
        <v>299</v>
      </c>
      <c r="L1103">
        <v>69.48</v>
      </c>
      <c r="M1103" t="str">
        <f t="shared" si="153"/>
        <v>Stapler</v>
      </c>
      <c r="N1103" t="str">
        <f t="shared" si="154"/>
        <v>Jaipur</v>
      </c>
      <c r="O1103" t="str">
        <f t="shared" si="155"/>
        <v>North</v>
      </c>
      <c r="P1103" t="str">
        <f t="shared" si="156"/>
        <v>Office Supplies</v>
      </c>
      <c r="Q1103" t="str">
        <f t="shared" si="157"/>
        <v>Office Supplies</v>
      </c>
      <c r="R1103" t="str">
        <f t="shared" si="158"/>
        <v>North</v>
      </c>
      <c r="S1103" t="str">
        <f t="shared" si="159"/>
        <v>Jaipur</v>
      </c>
      <c r="T1103">
        <f t="shared" si="160"/>
        <v>299</v>
      </c>
      <c r="U1103" t="str">
        <f t="shared" si="161"/>
        <v>OK</v>
      </c>
    </row>
    <row r="1104" spans="1:21" x14ac:dyDescent="0.3">
      <c r="A1104" t="s">
        <v>1342</v>
      </c>
      <c r="B1104" s="3">
        <v>45743</v>
      </c>
      <c r="C1104" t="s">
        <v>805</v>
      </c>
      <c r="D1104" t="s">
        <v>20</v>
      </c>
      <c r="E1104" t="s">
        <v>15</v>
      </c>
      <c r="F1104" t="s">
        <v>27</v>
      </c>
      <c r="G1104" t="s">
        <v>40</v>
      </c>
      <c r="H1104">
        <v>3</v>
      </c>
      <c r="I1104">
        <v>11701</v>
      </c>
      <c r="J1104">
        <v>0.15</v>
      </c>
      <c r="K1104">
        <v>29837.55</v>
      </c>
      <c r="L1104">
        <v>3965.99</v>
      </c>
      <c r="M1104" t="str">
        <f t="shared" si="153"/>
        <v>Filing Cabinet</v>
      </c>
      <c r="N1104" t="str">
        <f t="shared" si="154"/>
        <v>Chennai</v>
      </c>
      <c r="O1104" t="str">
        <f t="shared" si="155"/>
        <v>South</v>
      </c>
      <c r="P1104" t="str">
        <f t="shared" si="156"/>
        <v>Furniture</v>
      </c>
      <c r="Q1104" t="str">
        <f t="shared" si="157"/>
        <v>Furniture</v>
      </c>
      <c r="R1104" t="str">
        <f t="shared" si="158"/>
        <v>South</v>
      </c>
      <c r="S1104" t="str">
        <f t="shared" si="159"/>
        <v>Chennai</v>
      </c>
      <c r="T1104">
        <f t="shared" si="160"/>
        <v>29837.55</v>
      </c>
      <c r="U1104" t="str">
        <f t="shared" si="161"/>
        <v>OK</v>
      </c>
    </row>
    <row r="1105" spans="1:21" x14ac:dyDescent="0.3">
      <c r="A1105" t="s">
        <v>1343</v>
      </c>
      <c r="B1105" s="3">
        <v>45746</v>
      </c>
      <c r="C1105" t="s">
        <v>187</v>
      </c>
      <c r="D1105" t="s">
        <v>34</v>
      </c>
      <c r="E1105" t="s">
        <v>15</v>
      </c>
      <c r="F1105" t="s">
        <v>58</v>
      </c>
      <c r="G1105" t="s">
        <v>126</v>
      </c>
      <c r="H1105">
        <v>2</v>
      </c>
      <c r="I1105">
        <v>17654</v>
      </c>
      <c r="J1105">
        <v>0.15</v>
      </c>
      <c r="K1105">
        <v>30011.8</v>
      </c>
      <c r="L1105">
        <v>5830.33</v>
      </c>
      <c r="M1105" t="str">
        <f t="shared" si="153"/>
        <v>Desk</v>
      </c>
      <c r="N1105" t="str">
        <f t="shared" si="154"/>
        <v>Delhi</v>
      </c>
      <c r="O1105" t="str">
        <f t="shared" si="155"/>
        <v>North</v>
      </c>
      <c r="P1105" t="str">
        <f t="shared" si="156"/>
        <v>Furniture</v>
      </c>
      <c r="Q1105" t="str">
        <f t="shared" si="157"/>
        <v>Furniture</v>
      </c>
      <c r="R1105" t="str">
        <f t="shared" si="158"/>
        <v>North</v>
      </c>
      <c r="S1105" t="str">
        <f t="shared" si="159"/>
        <v>Delhi</v>
      </c>
      <c r="T1105">
        <f t="shared" si="160"/>
        <v>30011.8</v>
      </c>
      <c r="U1105" t="str">
        <f t="shared" si="161"/>
        <v>OK</v>
      </c>
    </row>
    <row r="1106" spans="1:21" x14ac:dyDescent="0.3">
      <c r="A1106" t="s">
        <v>1344</v>
      </c>
      <c r="B1106" s="3">
        <v>45978</v>
      </c>
      <c r="C1106" t="s">
        <v>485</v>
      </c>
      <c r="D1106" t="s">
        <v>65</v>
      </c>
      <c r="E1106" t="s">
        <v>26</v>
      </c>
      <c r="F1106" t="s">
        <v>58</v>
      </c>
      <c r="G1106" t="s">
        <v>59</v>
      </c>
      <c r="H1106">
        <v>1</v>
      </c>
      <c r="I1106">
        <v>2076</v>
      </c>
      <c r="J1106">
        <v>0</v>
      </c>
      <c r="K1106">
        <v>2076</v>
      </c>
      <c r="L1106">
        <v>454.16</v>
      </c>
      <c r="M1106" t="str">
        <f t="shared" si="153"/>
        <v>Electric Kettle</v>
      </c>
      <c r="N1106" t="str">
        <f t="shared" si="154"/>
        <v>Chandigarh</v>
      </c>
      <c r="O1106" t="str">
        <f t="shared" si="155"/>
        <v>North</v>
      </c>
      <c r="P1106" t="str">
        <f t="shared" si="156"/>
        <v>Home Appliances</v>
      </c>
      <c r="Q1106" t="str">
        <f t="shared" si="157"/>
        <v>Home Appliances</v>
      </c>
      <c r="R1106" t="str">
        <f t="shared" si="158"/>
        <v>North</v>
      </c>
      <c r="S1106" t="str">
        <f t="shared" si="159"/>
        <v>Chandigarh</v>
      </c>
      <c r="T1106">
        <f t="shared" si="160"/>
        <v>2076</v>
      </c>
      <c r="U1106" t="str">
        <f t="shared" si="161"/>
        <v>OK</v>
      </c>
    </row>
    <row r="1107" spans="1:21" x14ac:dyDescent="0.3">
      <c r="A1107" t="s">
        <v>1345</v>
      </c>
      <c r="B1107" s="3">
        <v>45858</v>
      </c>
      <c r="C1107" t="s">
        <v>106</v>
      </c>
      <c r="D1107" t="s">
        <v>65</v>
      </c>
      <c r="E1107" t="s">
        <v>26</v>
      </c>
      <c r="F1107" t="s">
        <v>58</v>
      </c>
      <c r="G1107" t="s">
        <v>59</v>
      </c>
      <c r="H1107">
        <v>2</v>
      </c>
      <c r="I1107">
        <v>3304</v>
      </c>
      <c r="J1107">
        <v>0.1</v>
      </c>
      <c r="K1107">
        <v>5947.2</v>
      </c>
      <c r="L1107">
        <v>489.32</v>
      </c>
      <c r="M1107" t="str">
        <f t="shared" si="153"/>
        <v>Electric Kettle</v>
      </c>
      <c r="N1107" t="str">
        <f t="shared" si="154"/>
        <v>Chandigarh</v>
      </c>
      <c r="O1107" t="str">
        <f t="shared" si="155"/>
        <v>North</v>
      </c>
      <c r="P1107" t="str">
        <f t="shared" si="156"/>
        <v>Home Appliances</v>
      </c>
      <c r="Q1107" t="str">
        <f t="shared" si="157"/>
        <v>Home Appliances</v>
      </c>
      <c r="R1107" t="str">
        <f t="shared" si="158"/>
        <v>North</v>
      </c>
      <c r="S1107" t="str">
        <f t="shared" si="159"/>
        <v>Chandigarh</v>
      </c>
      <c r="T1107">
        <f t="shared" si="160"/>
        <v>5947.2</v>
      </c>
      <c r="U1107" t="str">
        <f t="shared" si="161"/>
        <v>OK</v>
      </c>
    </row>
    <row r="1108" spans="1:21" x14ac:dyDescent="0.3">
      <c r="A1108" t="s">
        <v>1346</v>
      </c>
      <c r="B1108" s="3">
        <v>45930</v>
      </c>
      <c r="C1108" t="s">
        <v>456</v>
      </c>
      <c r="D1108" t="s">
        <v>88</v>
      </c>
      <c r="E1108" t="s">
        <v>73</v>
      </c>
      <c r="F1108" t="s">
        <v>21</v>
      </c>
      <c r="G1108" t="s">
        <v>55</v>
      </c>
      <c r="H1108">
        <v>2</v>
      </c>
      <c r="I1108">
        <v>421</v>
      </c>
      <c r="J1108">
        <v>0.1</v>
      </c>
      <c r="K1108">
        <v>757.8</v>
      </c>
      <c r="L1108">
        <v>145.31</v>
      </c>
      <c r="M1108" t="str">
        <f t="shared" si="153"/>
        <v>Stapler</v>
      </c>
      <c r="N1108" t="str">
        <f t="shared" si="154"/>
        <v>Pune</v>
      </c>
      <c r="O1108" t="str">
        <f t="shared" si="155"/>
        <v>West</v>
      </c>
      <c r="P1108" t="str">
        <f t="shared" si="156"/>
        <v>Office Supplies</v>
      </c>
      <c r="Q1108" t="str">
        <f t="shared" si="157"/>
        <v>Office Supplies</v>
      </c>
      <c r="R1108" t="str">
        <f t="shared" si="158"/>
        <v>West</v>
      </c>
      <c r="S1108" t="str">
        <f t="shared" si="159"/>
        <v>Pune</v>
      </c>
      <c r="T1108">
        <f t="shared" si="160"/>
        <v>757.80000000000007</v>
      </c>
      <c r="U1108" t="str">
        <f t="shared" si="161"/>
        <v>OK</v>
      </c>
    </row>
    <row r="1109" spans="1:21" x14ac:dyDescent="0.3">
      <c r="A1109" t="s">
        <v>1347</v>
      </c>
      <c r="B1109" s="3">
        <v>45766</v>
      </c>
      <c r="C1109" t="s">
        <v>597</v>
      </c>
      <c r="D1109" t="s">
        <v>20</v>
      </c>
      <c r="E1109" t="s">
        <v>15</v>
      </c>
      <c r="F1109" t="s">
        <v>58</v>
      </c>
      <c r="G1109" t="s">
        <v>126</v>
      </c>
      <c r="H1109">
        <v>5</v>
      </c>
      <c r="I1109">
        <v>6187</v>
      </c>
      <c r="J1109">
        <v>0.2</v>
      </c>
      <c r="K1109">
        <v>24748</v>
      </c>
      <c r="L1109">
        <v>6501.69</v>
      </c>
      <c r="M1109" t="str">
        <f t="shared" si="153"/>
        <v>Filing Cabinet</v>
      </c>
      <c r="N1109" t="str">
        <f t="shared" si="154"/>
        <v>Delhi</v>
      </c>
      <c r="O1109" t="str">
        <f t="shared" si="155"/>
        <v>North</v>
      </c>
      <c r="P1109" t="str">
        <f t="shared" si="156"/>
        <v>Furniture</v>
      </c>
      <c r="Q1109" t="str">
        <f t="shared" si="157"/>
        <v>Furniture</v>
      </c>
      <c r="R1109" t="str">
        <f t="shared" si="158"/>
        <v>North</v>
      </c>
      <c r="S1109" t="str">
        <f t="shared" si="159"/>
        <v>Delhi</v>
      </c>
      <c r="T1109">
        <f t="shared" si="160"/>
        <v>24748</v>
      </c>
      <c r="U1109" t="str">
        <f t="shared" si="161"/>
        <v>OK</v>
      </c>
    </row>
    <row r="1110" spans="1:21" x14ac:dyDescent="0.3">
      <c r="A1110" t="s">
        <v>1348</v>
      </c>
      <c r="B1110" s="3">
        <v>45691</v>
      </c>
      <c r="C1110" t="s">
        <v>368</v>
      </c>
      <c r="D1110" t="s">
        <v>80</v>
      </c>
      <c r="E1110" t="s">
        <v>51</v>
      </c>
      <c r="F1110" t="s">
        <v>58</v>
      </c>
      <c r="G1110" t="s">
        <v>59</v>
      </c>
      <c r="H1110">
        <v>2</v>
      </c>
      <c r="I1110">
        <v>66285</v>
      </c>
      <c r="J1110">
        <v>0.05</v>
      </c>
      <c r="K1110">
        <v>125941.5</v>
      </c>
      <c r="L1110">
        <v>14145.7</v>
      </c>
      <c r="M1110" t="str">
        <f t="shared" si="153"/>
        <v>Laptop</v>
      </c>
      <c r="N1110" t="str">
        <f t="shared" si="154"/>
        <v>Chandigarh</v>
      </c>
      <c r="O1110" t="str">
        <f t="shared" si="155"/>
        <v>North</v>
      </c>
      <c r="P1110" t="str">
        <f t="shared" si="156"/>
        <v>Electronics</v>
      </c>
      <c r="Q1110" t="str">
        <f t="shared" si="157"/>
        <v>Electronics</v>
      </c>
      <c r="R1110" t="str">
        <f t="shared" si="158"/>
        <v>North</v>
      </c>
      <c r="S1110" t="str">
        <f t="shared" si="159"/>
        <v>Chandigarh</v>
      </c>
      <c r="T1110">
        <f t="shared" si="160"/>
        <v>125941.5</v>
      </c>
      <c r="U1110" t="str">
        <f t="shared" si="161"/>
        <v>OK</v>
      </c>
    </row>
    <row r="1111" spans="1:21" x14ac:dyDescent="0.3">
      <c r="A1111" t="s">
        <v>1349</v>
      </c>
      <c r="B1111" s="3">
        <v>45802</v>
      </c>
      <c r="C1111" t="s">
        <v>180</v>
      </c>
      <c r="D1111" t="s">
        <v>25</v>
      </c>
      <c r="E1111" t="s">
        <v>26</v>
      </c>
      <c r="F1111" t="s">
        <v>21</v>
      </c>
      <c r="G1111" t="s">
        <v>55</v>
      </c>
      <c r="H1111">
        <v>1</v>
      </c>
      <c r="I1111">
        <v>6627</v>
      </c>
      <c r="J1111">
        <v>0.05</v>
      </c>
      <c r="K1111">
        <v>6295.65</v>
      </c>
      <c r="L1111">
        <v>597.14</v>
      </c>
      <c r="M1111" t="str">
        <f t="shared" si="153"/>
        <v>Microwave</v>
      </c>
      <c r="N1111" t="str">
        <f t="shared" si="154"/>
        <v>Pune</v>
      </c>
      <c r="O1111" t="str">
        <f t="shared" si="155"/>
        <v>West</v>
      </c>
      <c r="P1111" t="str">
        <f t="shared" si="156"/>
        <v>Home Appliances</v>
      </c>
      <c r="Q1111" t="str">
        <f t="shared" si="157"/>
        <v>Home Appliances</v>
      </c>
      <c r="R1111" t="str">
        <f t="shared" si="158"/>
        <v>West</v>
      </c>
      <c r="S1111" t="str">
        <f t="shared" si="159"/>
        <v>Pune</v>
      </c>
      <c r="T1111">
        <f t="shared" si="160"/>
        <v>6295.65</v>
      </c>
      <c r="U1111" t="str">
        <f t="shared" si="161"/>
        <v>OK</v>
      </c>
    </row>
    <row r="1112" spans="1:21" x14ac:dyDescent="0.3">
      <c r="A1112" t="s">
        <v>1350</v>
      </c>
      <c r="B1112" s="3">
        <v>45795</v>
      </c>
      <c r="C1112" t="s">
        <v>371</v>
      </c>
      <c r="D1112" t="s">
        <v>307</v>
      </c>
      <c r="E1112" t="s">
        <v>73</v>
      </c>
      <c r="F1112" t="s">
        <v>16</v>
      </c>
      <c r="G1112" t="s">
        <v>17</v>
      </c>
      <c r="H1112">
        <v>1</v>
      </c>
      <c r="I1112">
        <v>402</v>
      </c>
      <c r="J1112">
        <v>0.1</v>
      </c>
      <c r="K1112">
        <v>361.8</v>
      </c>
      <c r="L1112">
        <v>51.06</v>
      </c>
      <c r="M1112" t="str">
        <f t="shared" si="153"/>
        <v>Notebook</v>
      </c>
      <c r="N1112" t="str">
        <f t="shared" si="154"/>
        <v>Guwahati</v>
      </c>
      <c r="O1112" t="str">
        <f t="shared" si="155"/>
        <v>East</v>
      </c>
      <c r="P1112" t="str">
        <f t="shared" si="156"/>
        <v>Office Supplies</v>
      </c>
      <c r="Q1112" t="str">
        <f t="shared" si="157"/>
        <v>Office Supplies</v>
      </c>
      <c r="R1112" t="str">
        <f t="shared" si="158"/>
        <v>East</v>
      </c>
      <c r="S1112" t="str">
        <f t="shared" si="159"/>
        <v>Guwahati</v>
      </c>
      <c r="T1112">
        <f t="shared" si="160"/>
        <v>361.8</v>
      </c>
      <c r="U1112" t="str">
        <f t="shared" si="161"/>
        <v>OK</v>
      </c>
    </row>
    <row r="1113" spans="1:21" x14ac:dyDescent="0.3">
      <c r="A1113" t="s">
        <v>1351</v>
      </c>
      <c r="B1113" s="3">
        <v>45719</v>
      </c>
      <c r="C1113" t="s">
        <v>143</v>
      </c>
      <c r="D1113" t="s">
        <v>68</v>
      </c>
      <c r="E1113" t="s">
        <v>44</v>
      </c>
      <c r="F1113" t="s">
        <v>21</v>
      </c>
      <c r="G1113" t="s">
        <v>55</v>
      </c>
      <c r="H1113">
        <v>5</v>
      </c>
      <c r="I1113">
        <v>4438</v>
      </c>
      <c r="J1113">
        <v>0.05</v>
      </c>
      <c r="K1113">
        <v>21080.5</v>
      </c>
      <c r="L1113">
        <v>4680.76</v>
      </c>
      <c r="M1113" t="str">
        <f t="shared" si="153"/>
        <v>Webcam</v>
      </c>
      <c r="N1113" t="str">
        <f t="shared" si="154"/>
        <v>Pune</v>
      </c>
      <c r="O1113" t="str">
        <f t="shared" si="155"/>
        <v>West</v>
      </c>
      <c r="P1113" t="str">
        <f t="shared" si="156"/>
        <v>Accessories</v>
      </c>
      <c r="Q1113" t="str">
        <f t="shared" si="157"/>
        <v>Accessories</v>
      </c>
      <c r="R1113" t="str">
        <f t="shared" si="158"/>
        <v>West</v>
      </c>
      <c r="S1113" t="str">
        <f t="shared" si="159"/>
        <v>Pune</v>
      </c>
      <c r="T1113">
        <f t="shared" si="160"/>
        <v>21080.5</v>
      </c>
      <c r="U1113" t="str">
        <f t="shared" si="161"/>
        <v>OK</v>
      </c>
    </row>
    <row r="1114" spans="1:21" x14ac:dyDescent="0.3">
      <c r="A1114" t="s">
        <v>1352</v>
      </c>
      <c r="B1114" s="3">
        <v>45963</v>
      </c>
      <c r="C1114" t="s">
        <v>900</v>
      </c>
      <c r="D1114" t="s">
        <v>43</v>
      </c>
      <c r="E1114" t="s">
        <v>44</v>
      </c>
      <c r="F1114" t="s">
        <v>27</v>
      </c>
      <c r="G1114" t="s">
        <v>28</v>
      </c>
      <c r="H1114">
        <v>1</v>
      </c>
      <c r="I1114">
        <v>1315</v>
      </c>
      <c r="J1114">
        <v>0.15</v>
      </c>
      <c r="K1114">
        <v>1117.75</v>
      </c>
      <c r="L1114">
        <v>136.75</v>
      </c>
      <c r="M1114" t="str">
        <f t="shared" si="153"/>
        <v>Phone Holder</v>
      </c>
      <c r="N1114" t="str">
        <f t="shared" si="154"/>
        <v>Bengaluru</v>
      </c>
      <c r="O1114" t="str">
        <f t="shared" si="155"/>
        <v>South</v>
      </c>
      <c r="P1114" t="str">
        <f t="shared" si="156"/>
        <v>Accessories</v>
      </c>
      <c r="Q1114" t="str">
        <f t="shared" si="157"/>
        <v>Accessories</v>
      </c>
      <c r="R1114" t="str">
        <f t="shared" si="158"/>
        <v>South</v>
      </c>
      <c r="S1114" t="str">
        <f t="shared" si="159"/>
        <v>Bengaluru</v>
      </c>
      <c r="T1114">
        <f t="shared" si="160"/>
        <v>1117.75</v>
      </c>
      <c r="U1114" t="str">
        <f t="shared" si="161"/>
        <v>OK</v>
      </c>
    </row>
    <row r="1115" spans="1:21" x14ac:dyDescent="0.3">
      <c r="A1115" t="s">
        <v>1353</v>
      </c>
      <c r="B1115" s="3">
        <v>45829</v>
      </c>
      <c r="C1115" t="s">
        <v>448</v>
      </c>
      <c r="D1115" t="s">
        <v>34</v>
      </c>
      <c r="E1115" t="s">
        <v>15</v>
      </c>
      <c r="F1115" t="s">
        <v>27</v>
      </c>
      <c r="G1115" t="s">
        <v>40</v>
      </c>
      <c r="H1115">
        <v>2</v>
      </c>
      <c r="I1115">
        <v>15817</v>
      </c>
      <c r="J1115">
        <v>0.1</v>
      </c>
      <c r="K1115">
        <v>28470.6</v>
      </c>
      <c r="L1115">
        <v>4739.53</v>
      </c>
      <c r="M1115" t="str">
        <f t="shared" si="153"/>
        <v>Desk</v>
      </c>
      <c r="N1115" t="str">
        <f t="shared" si="154"/>
        <v>Chennai</v>
      </c>
      <c r="O1115" t="str">
        <f t="shared" si="155"/>
        <v>South</v>
      </c>
      <c r="P1115" t="str">
        <f t="shared" si="156"/>
        <v>Furniture</v>
      </c>
      <c r="Q1115" t="str">
        <f t="shared" si="157"/>
        <v>Furniture</v>
      </c>
      <c r="R1115" t="str">
        <f t="shared" si="158"/>
        <v>South</v>
      </c>
      <c r="S1115" t="str">
        <f t="shared" si="159"/>
        <v>Chennai</v>
      </c>
      <c r="T1115">
        <f t="shared" si="160"/>
        <v>28470.600000000002</v>
      </c>
      <c r="U1115" t="str">
        <f t="shared" si="161"/>
        <v>OK</v>
      </c>
    </row>
    <row r="1116" spans="1:21" x14ac:dyDescent="0.3">
      <c r="A1116" t="s">
        <v>1354</v>
      </c>
      <c r="B1116" s="3">
        <v>46020</v>
      </c>
      <c r="C1116" t="s">
        <v>705</v>
      </c>
      <c r="D1116" t="s">
        <v>25</v>
      </c>
      <c r="E1116" t="s">
        <v>26</v>
      </c>
      <c r="F1116" t="s">
        <v>21</v>
      </c>
      <c r="G1116" t="s">
        <v>22</v>
      </c>
      <c r="H1116">
        <v>1</v>
      </c>
      <c r="I1116">
        <v>9780</v>
      </c>
      <c r="J1116">
        <v>0.1</v>
      </c>
      <c r="K1116">
        <v>8802</v>
      </c>
      <c r="L1116">
        <v>2377.59</v>
      </c>
      <c r="M1116" t="str">
        <f t="shared" si="153"/>
        <v>Microwave</v>
      </c>
      <c r="N1116" t="str">
        <f t="shared" si="154"/>
        <v>Ahmedabad</v>
      </c>
      <c r="O1116" t="str">
        <f t="shared" si="155"/>
        <v>West</v>
      </c>
      <c r="P1116" t="str">
        <f t="shared" si="156"/>
        <v>Home Appliances</v>
      </c>
      <c r="Q1116" t="str">
        <f t="shared" si="157"/>
        <v>Home Appliances</v>
      </c>
      <c r="R1116" t="str">
        <f t="shared" si="158"/>
        <v>West</v>
      </c>
      <c r="S1116" t="str">
        <f t="shared" si="159"/>
        <v>Ahmedabad</v>
      </c>
      <c r="T1116">
        <f t="shared" si="160"/>
        <v>8802</v>
      </c>
      <c r="U1116" t="str">
        <f t="shared" si="161"/>
        <v>OK</v>
      </c>
    </row>
    <row r="1117" spans="1:21" x14ac:dyDescent="0.3">
      <c r="A1117" t="s">
        <v>1355</v>
      </c>
      <c r="B1117" s="3">
        <v>45744</v>
      </c>
      <c r="C1117" t="s">
        <v>156</v>
      </c>
      <c r="D1117" t="s">
        <v>202</v>
      </c>
      <c r="E1117" t="s">
        <v>44</v>
      </c>
      <c r="F1117" t="s">
        <v>27</v>
      </c>
      <c r="G1117" t="s">
        <v>40</v>
      </c>
      <c r="H1117">
        <v>2</v>
      </c>
      <c r="I1117">
        <v>3355</v>
      </c>
      <c r="J1117">
        <v>0.15</v>
      </c>
      <c r="K1117">
        <v>5703.5</v>
      </c>
      <c r="L1117">
        <v>1302.49</v>
      </c>
      <c r="M1117" t="str">
        <f t="shared" si="153"/>
        <v>Laptop Stand</v>
      </c>
      <c r="N1117" t="str">
        <f t="shared" si="154"/>
        <v>Chennai</v>
      </c>
      <c r="O1117" t="str">
        <f t="shared" si="155"/>
        <v>South</v>
      </c>
      <c r="P1117" t="str">
        <f t="shared" si="156"/>
        <v>Accessories</v>
      </c>
      <c r="Q1117" t="str">
        <f t="shared" si="157"/>
        <v>Accessories</v>
      </c>
      <c r="R1117" t="str">
        <f t="shared" si="158"/>
        <v>South</v>
      </c>
      <c r="S1117" t="str">
        <f t="shared" si="159"/>
        <v>Chennai</v>
      </c>
      <c r="T1117">
        <f t="shared" si="160"/>
        <v>5703.5</v>
      </c>
      <c r="U1117" t="str">
        <f t="shared" si="161"/>
        <v>OK</v>
      </c>
    </row>
    <row r="1118" spans="1:21" x14ac:dyDescent="0.3">
      <c r="A1118" t="s">
        <v>1356</v>
      </c>
      <c r="B1118" s="3">
        <v>45798</v>
      </c>
      <c r="C1118" t="s">
        <v>220</v>
      </c>
      <c r="D1118" t="s">
        <v>153</v>
      </c>
      <c r="E1118" t="s">
        <v>26</v>
      </c>
      <c r="F1118" t="s">
        <v>27</v>
      </c>
      <c r="G1118" t="s">
        <v>40</v>
      </c>
      <c r="H1118">
        <v>4</v>
      </c>
      <c r="I1118">
        <v>5235</v>
      </c>
      <c r="J1118">
        <v>0.15</v>
      </c>
      <c r="K1118">
        <v>17799</v>
      </c>
      <c r="L1118">
        <v>2371.66</v>
      </c>
      <c r="M1118" t="str">
        <f t="shared" si="153"/>
        <v>Coffee Maker</v>
      </c>
      <c r="N1118" t="str">
        <f t="shared" si="154"/>
        <v>Chennai</v>
      </c>
      <c r="O1118" t="str">
        <f t="shared" si="155"/>
        <v>South</v>
      </c>
      <c r="P1118" t="str">
        <f t="shared" si="156"/>
        <v>Home Appliances</v>
      </c>
      <c r="Q1118" t="str">
        <f t="shared" si="157"/>
        <v>Home Appliances</v>
      </c>
      <c r="R1118" t="str">
        <f t="shared" si="158"/>
        <v>South</v>
      </c>
      <c r="S1118" t="str">
        <f t="shared" si="159"/>
        <v>Chennai</v>
      </c>
      <c r="T1118">
        <f t="shared" si="160"/>
        <v>17799</v>
      </c>
      <c r="U1118" t="str">
        <f t="shared" si="161"/>
        <v>OK</v>
      </c>
    </row>
    <row r="1119" spans="1:21" x14ac:dyDescent="0.3">
      <c r="A1119" t="s">
        <v>1357</v>
      </c>
      <c r="B1119" s="3">
        <v>45947</v>
      </c>
      <c r="C1119" t="s">
        <v>535</v>
      </c>
      <c r="D1119" t="s">
        <v>34</v>
      </c>
      <c r="E1119" t="s">
        <v>15</v>
      </c>
      <c r="F1119" t="s">
        <v>16</v>
      </c>
      <c r="G1119" t="s">
        <v>17</v>
      </c>
      <c r="H1119">
        <v>3</v>
      </c>
      <c r="I1119">
        <v>20739</v>
      </c>
      <c r="J1119">
        <v>0.15</v>
      </c>
      <c r="K1119">
        <v>52884.45</v>
      </c>
      <c r="L1119">
        <v>6393.78</v>
      </c>
      <c r="M1119" t="str">
        <f t="shared" si="153"/>
        <v>Desk</v>
      </c>
      <c r="N1119" t="str">
        <f t="shared" si="154"/>
        <v>Guwahati</v>
      </c>
      <c r="O1119" t="str">
        <f t="shared" si="155"/>
        <v>East</v>
      </c>
      <c r="P1119" t="str">
        <f t="shared" si="156"/>
        <v>Furniture</v>
      </c>
      <c r="Q1119" t="str">
        <f t="shared" si="157"/>
        <v>Furniture</v>
      </c>
      <c r="R1119" t="str">
        <f t="shared" si="158"/>
        <v>East</v>
      </c>
      <c r="S1119" t="str">
        <f t="shared" si="159"/>
        <v>Guwahati</v>
      </c>
      <c r="T1119">
        <f t="shared" si="160"/>
        <v>52884.45</v>
      </c>
      <c r="U1119" t="str">
        <f t="shared" si="161"/>
        <v>OK</v>
      </c>
    </row>
    <row r="1120" spans="1:21" x14ac:dyDescent="0.3">
      <c r="A1120" t="s">
        <v>1358</v>
      </c>
      <c r="B1120" s="3">
        <v>45850</v>
      </c>
      <c r="C1120" t="s">
        <v>595</v>
      </c>
      <c r="D1120" t="s">
        <v>83</v>
      </c>
      <c r="E1120" t="s">
        <v>73</v>
      </c>
      <c r="F1120" t="s">
        <v>27</v>
      </c>
      <c r="G1120" t="s">
        <v>31</v>
      </c>
      <c r="H1120">
        <v>2</v>
      </c>
      <c r="I1120">
        <v>727</v>
      </c>
      <c r="J1120">
        <v>0.1</v>
      </c>
      <c r="K1120">
        <v>1308.5999999999999</v>
      </c>
      <c r="L1120">
        <v>328.2</v>
      </c>
      <c r="M1120" t="str">
        <f t="shared" si="153"/>
        <v>Printer Paper</v>
      </c>
      <c r="N1120" t="str">
        <f t="shared" si="154"/>
        <v>Hyderabad</v>
      </c>
      <c r="O1120" t="str">
        <f t="shared" si="155"/>
        <v>South</v>
      </c>
      <c r="P1120" t="str">
        <f t="shared" si="156"/>
        <v>Office Supplies</v>
      </c>
      <c r="Q1120" t="str">
        <f t="shared" si="157"/>
        <v>Office Supplies</v>
      </c>
      <c r="R1120" t="str">
        <f t="shared" si="158"/>
        <v>South</v>
      </c>
      <c r="S1120" t="str">
        <f t="shared" si="159"/>
        <v>Hyderabad</v>
      </c>
      <c r="T1120">
        <f t="shared" si="160"/>
        <v>1308.6000000000001</v>
      </c>
      <c r="U1120" t="str">
        <f t="shared" si="161"/>
        <v>OK</v>
      </c>
    </row>
    <row r="1121" spans="1:21" x14ac:dyDescent="0.3">
      <c r="A1121" t="s">
        <v>1359</v>
      </c>
      <c r="B1121" s="3">
        <v>45967</v>
      </c>
      <c r="C1121" t="s">
        <v>231</v>
      </c>
      <c r="D1121" t="s">
        <v>120</v>
      </c>
      <c r="E1121" t="s">
        <v>51</v>
      </c>
      <c r="F1121" t="s">
        <v>27</v>
      </c>
      <c r="G1121" t="s">
        <v>28</v>
      </c>
      <c r="H1121">
        <v>2</v>
      </c>
      <c r="I1121">
        <v>1973</v>
      </c>
      <c r="J1121">
        <v>0</v>
      </c>
      <c r="K1121">
        <v>3946</v>
      </c>
      <c r="L1121">
        <v>671.68</v>
      </c>
      <c r="M1121" t="str">
        <f t="shared" si="153"/>
        <v>Mouse</v>
      </c>
      <c r="N1121" t="str">
        <f t="shared" si="154"/>
        <v>Bengaluru</v>
      </c>
      <c r="O1121" t="str">
        <f t="shared" si="155"/>
        <v>South</v>
      </c>
      <c r="P1121" t="str">
        <f t="shared" si="156"/>
        <v>Electronics</v>
      </c>
      <c r="Q1121" t="str">
        <f t="shared" si="157"/>
        <v>Electronics</v>
      </c>
      <c r="R1121" t="str">
        <f t="shared" si="158"/>
        <v>South</v>
      </c>
      <c r="S1121" t="str">
        <f t="shared" si="159"/>
        <v>Bengaluru</v>
      </c>
      <c r="T1121">
        <f t="shared" si="160"/>
        <v>3946</v>
      </c>
      <c r="U1121" t="str">
        <f t="shared" si="161"/>
        <v>OK</v>
      </c>
    </row>
    <row r="1122" spans="1:21" x14ac:dyDescent="0.3">
      <c r="A1122" t="s">
        <v>1360</v>
      </c>
      <c r="B1122" s="3">
        <v>46008</v>
      </c>
      <c r="C1122" t="s">
        <v>82</v>
      </c>
      <c r="D1122" t="s">
        <v>120</v>
      </c>
      <c r="E1122" t="s">
        <v>51</v>
      </c>
      <c r="F1122" t="s">
        <v>27</v>
      </c>
      <c r="G1122" t="s">
        <v>40</v>
      </c>
      <c r="H1122">
        <v>1</v>
      </c>
      <c r="I1122">
        <v>1689</v>
      </c>
      <c r="J1122">
        <v>0</v>
      </c>
      <c r="K1122">
        <v>1689</v>
      </c>
      <c r="L1122">
        <v>233.52</v>
      </c>
      <c r="M1122" t="str">
        <f t="shared" si="153"/>
        <v>Mouse</v>
      </c>
      <c r="N1122" t="str">
        <f t="shared" si="154"/>
        <v>Chennai</v>
      </c>
      <c r="O1122" t="str">
        <f t="shared" si="155"/>
        <v>South</v>
      </c>
      <c r="P1122" t="str">
        <f t="shared" si="156"/>
        <v>Electronics</v>
      </c>
      <c r="Q1122" t="str">
        <f t="shared" si="157"/>
        <v>Electronics</v>
      </c>
      <c r="R1122" t="str">
        <f t="shared" si="158"/>
        <v>South</v>
      </c>
      <c r="S1122" t="str">
        <f t="shared" si="159"/>
        <v>Chennai</v>
      </c>
      <c r="T1122">
        <f t="shared" si="160"/>
        <v>1689</v>
      </c>
      <c r="U1122" t="str">
        <f t="shared" si="161"/>
        <v>OK</v>
      </c>
    </row>
    <row r="1123" spans="1:21" x14ac:dyDescent="0.3">
      <c r="A1123" t="s">
        <v>1361</v>
      </c>
      <c r="B1123" s="3">
        <v>45766</v>
      </c>
      <c r="C1123" t="s">
        <v>897</v>
      </c>
      <c r="D1123" t="s">
        <v>307</v>
      </c>
      <c r="E1123" t="s">
        <v>73</v>
      </c>
      <c r="F1123" t="s">
        <v>58</v>
      </c>
      <c r="G1123" t="s">
        <v>126</v>
      </c>
      <c r="H1123">
        <v>1</v>
      </c>
      <c r="I1123">
        <v>341</v>
      </c>
      <c r="J1123">
        <v>0.15</v>
      </c>
      <c r="K1123">
        <v>289.85000000000002</v>
      </c>
      <c r="L1123">
        <v>37.04</v>
      </c>
      <c r="M1123" t="str">
        <f t="shared" si="153"/>
        <v>Notebook</v>
      </c>
      <c r="N1123" t="str">
        <f t="shared" si="154"/>
        <v>Delhi</v>
      </c>
      <c r="O1123" t="str">
        <f t="shared" si="155"/>
        <v>North</v>
      </c>
      <c r="P1123" t="str">
        <f t="shared" si="156"/>
        <v>Office Supplies</v>
      </c>
      <c r="Q1123" t="str">
        <f t="shared" si="157"/>
        <v>Office Supplies</v>
      </c>
      <c r="R1123" t="str">
        <f t="shared" si="158"/>
        <v>North</v>
      </c>
      <c r="S1123" t="str">
        <f t="shared" si="159"/>
        <v>Delhi</v>
      </c>
      <c r="T1123">
        <f t="shared" si="160"/>
        <v>289.84999999999997</v>
      </c>
      <c r="U1123" t="str">
        <f t="shared" si="161"/>
        <v>OK</v>
      </c>
    </row>
    <row r="1124" spans="1:21" x14ac:dyDescent="0.3">
      <c r="A1124" t="s">
        <v>1362</v>
      </c>
      <c r="B1124" s="3">
        <v>45957</v>
      </c>
      <c r="C1124" t="s">
        <v>77</v>
      </c>
      <c r="D1124" t="s">
        <v>20</v>
      </c>
      <c r="E1124" t="s">
        <v>15</v>
      </c>
      <c r="F1124" t="s">
        <v>21</v>
      </c>
      <c r="G1124" t="s">
        <v>55</v>
      </c>
      <c r="H1124">
        <v>5</v>
      </c>
      <c r="I1124">
        <v>15315</v>
      </c>
      <c r="J1124">
        <v>0.15</v>
      </c>
      <c r="K1124">
        <v>65088.75</v>
      </c>
      <c r="L1124">
        <v>16781.580000000002</v>
      </c>
      <c r="M1124" t="str">
        <f t="shared" si="153"/>
        <v>Filing Cabinet</v>
      </c>
      <c r="N1124" t="str">
        <f t="shared" si="154"/>
        <v>Pune</v>
      </c>
      <c r="O1124" t="str">
        <f t="shared" si="155"/>
        <v>West</v>
      </c>
      <c r="P1124" t="str">
        <f t="shared" si="156"/>
        <v>Furniture</v>
      </c>
      <c r="Q1124" t="str">
        <f t="shared" si="157"/>
        <v>Furniture</v>
      </c>
      <c r="R1124" t="str">
        <f t="shared" si="158"/>
        <v>West</v>
      </c>
      <c r="S1124" t="str">
        <f t="shared" si="159"/>
        <v>Pune</v>
      </c>
      <c r="T1124">
        <f t="shared" si="160"/>
        <v>65088.75</v>
      </c>
      <c r="U1124" t="str">
        <f t="shared" si="161"/>
        <v>OK</v>
      </c>
    </row>
    <row r="1125" spans="1:21" x14ac:dyDescent="0.3">
      <c r="A1125" t="s">
        <v>1363</v>
      </c>
      <c r="B1125" s="3">
        <v>45862</v>
      </c>
      <c r="C1125" t="s">
        <v>234</v>
      </c>
      <c r="D1125" t="s">
        <v>43</v>
      </c>
      <c r="E1125" t="s">
        <v>44</v>
      </c>
      <c r="F1125" t="s">
        <v>58</v>
      </c>
      <c r="G1125" t="s">
        <v>69</v>
      </c>
      <c r="H1125">
        <v>3</v>
      </c>
      <c r="I1125">
        <v>1002</v>
      </c>
      <c r="J1125">
        <v>0.1</v>
      </c>
      <c r="K1125">
        <v>2705.4</v>
      </c>
      <c r="L1125">
        <v>724.57</v>
      </c>
      <c r="M1125" t="str">
        <f t="shared" si="153"/>
        <v>Phone Holder</v>
      </c>
      <c r="N1125" t="str">
        <f t="shared" si="154"/>
        <v>Jaipur</v>
      </c>
      <c r="O1125" t="str">
        <f t="shared" si="155"/>
        <v>North</v>
      </c>
      <c r="P1125" t="str">
        <f t="shared" si="156"/>
        <v>Accessories</v>
      </c>
      <c r="Q1125" t="str">
        <f t="shared" si="157"/>
        <v>Accessories</v>
      </c>
      <c r="R1125" t="str">
        <f t="shared" si="158"/>
        <v>North</v>
      </c>
      <c r="S1125" t="str">
        <f t="shared" si="159"/>
        <v>Jaipur</v>
      </c>
      <c r="T1125">
        <f t="shared" si="160"/>
        <v>2705.4</v>
      </c>
      <c r="U1125" t="str">
        <f t="shared" si="161"/>
        <v>OK</v>
      </c>
    </row>
    <row r="1126" spans="1:21" x14ac:dyDescent="0.3">
      <c r="A1126" t="s">
        <v>1364</v>
      </c>
      <c r="B1126" s="3">
        <v>45965</v>
      </c>
      <c r="C1126" t="s">
        <v>555</v>
      </c>
      <c r="D1126" t="s">
        <v>65</v>
      </c>
      <c r="E1126" t="s">
        <v>26</v>
      </c>
      <c r="F1126" t="s">
        <v>16</v>
      </c>
      <c r="G1126" t="s">
        <v>104</v>
      </c>
      <c r="H1126">
        <v>1</v>
      </c>
      <c r="I1126">
        <v>3136</v>
      </c>
      <c r="J1126">
        <v>0.15</v>
      </c>
      <c r="K1126">
        <v>2665.6</v>
      </c>
      <c r="L1126">
        <v>466.52</v>
      </c>
      <c r="M1126" t="str">
        <f t="shared" si="153"/>
        <v>Electric Kettle</v>
      </c>
      <c r="N1126" t="str">
        <f t="shared" si="154"/>
        <v>Bhubaneswar</v>
      </c>
      <c r="O1126" t="str">
        <f t="shared" si="155"/>
        <v>East</v>
      </c>
      <c r="P1126" t="str">
        <f t="shared" si="156"/>
        <v>Home Appliances</v>
      </c>
      <c r="Q1126" t="str">
        <f t="shared" si="157"/>
        <v>Home Appliances</v>
      </c>
      <c r="R1126" t="str">
        <f t="shared" si="158"/>
        <v>East</v>
      </c>
      <c r="S1126" t="str">
        <f t="shared" si="159"/>
        <v>Bhubaneswar</v>
      </c>
      <c r="T1126">
        <f t="shared" si="160"/>
        <v>2665.6</v>
      </c>
      <c r="U1126" t="str">
        <f t="shared" si="161"/>
        <v>OK</v>
      </c>
    </row>
    <row r="1127" spans="1:21" x14ac:dyDescent="0.3">
      <c r="A1127" t="s">
        <v>1365</v>
      </c>
      <c r="B1127" s="3">
        <v>45907</v>
      </c>
      <c r="C1127" t="s">
        <v>39</v>
      </c>
      <c r="D1127" t="s">
        <v>25</v>
      </c>
      <c r="E1127" t="s">
        <v>26</v>
      </c>
      <c r="F1127" t="s">
        <v>21</v>
      </c>
      <c r="G1127" t="s">
        <v>55</v>
      </c>
      <c r="H1127">
        <v>2</v>
      </c>
      <c r="I1127">
        <v>6376</v>
      </c>
      <c r="J1127">
        <v>0</v>
      </c>
      <c r="K1127">
        <v>12752</v>
      </c>
      <c r="L1127">
        <v>2634.39</v>
      </c>
      <c r="M1127" t="str">
        <f t="shared" si="153"/>
        <v>Microwave</v>
      </c>
      <c r="N1127" t="str">
        <f t="shared" si="154"/>
        <v>Pune</v>
      </c>
      <c r="O1127" t="str">
        <f t="shared" si="155"/>
        <v>West</v>
      </c>
      <c r="P1127" t="str">
        <f t="shared" si="156"/>
        <v>Home Appliances</v>
      </c>
      <c r="Q1127" t="str">
        <f t="shared" si="157"/>
        <v>Home Appliances</v>
      </c>
      <c r="R1127" t="str">
        <f t="shared" si="158"/>
        <v>West</v>
      </c>
      <c r="S1127" t="str">
        <f t="shared" si="159"/>
        <v>Pune</v>
      </c>
      <c r="T1127">
        <f t="shared" si="160"/>
        <v>12752</v>
      </c>
      <c r="U1127" t="str">
        <f t="shared" si="161"/>
        <v>OK</v>
      </c>
    </row>
    <row r="1128" spans="1:21" x14ac:dyDescent="0.3">
      <c r="A1128" t="s">
        <v>1366</v>
      </c>
      <c r="B1128" s="3">
        <v>45979</v>
      </c>
      <c r="C1128" t="s">
        <v>503</v>
      </c>
      <c r="D1128" t="s">
        <v>47</v>
      </c>
      <c r="E1128" t="s">
        <v>26</v>
      </c>
      <c r="F1128" t="s">
        <v>58</v>
      </c>
      <c r="G1128" t="s">
        <v>69</v>
      </c>
      <c r="H1128">
        <v>3</v>
      </c>
      <c r="I1128">
        <v>9780</v>
      </c>
      <c r="J1128">
        <v>0.1</v>
      </c>
      <c r="K1128">
        <v>26406</v>
      </c>
      <c r="L1128">
        <v>6434.17</v>
      </c>
      <c r="M1128" t="str">
        <f t="shared" si="153"/>
        <v>Air Purifier</v>
      </c>
      <c r="N1128" t="str">
        <f t="shared" si="154"/>
        <v>Jaipur</v>
      </c>
      <c r="O1128" t="str">
        <f t="shared" si="155"/>
        <v>North</v>
      </c>
      <c r="P1128" t="str">
        <f t="shared" si="156"/>
        <v>Home Appliances</v>
      </c>
      <c r="Q1128" t="str">
        <f t="shared" si="157"/>
        <v>Home Appliances</v>
      </c>
      <c r="R1128" t="str">
        <f t="shared" si="158"/>
        <v>North</v>
      </c>
      <c r="S1128" t="str">
        <f t="shared" si="159"/>
        <v>Jaipur</v>
      </c>
      <c r="T1128">
        <f t="shared" si="160"/>
        <v>26406</v>
      </c>
      <c r="U1128" t="str">
        <f t="shared" si="161"/>
        <v>OK</v>
      </c>
    </row>
    <row r="1129" spans="1:21" x14ac:dyDescent="0.3">
      <c r="A1129" t="s">
        <v>1367</v>
      </c>
      <c r="B1129" s="3">
        <v>45704</v>
      </c>
      <c r="C1129" t="s">
        <v>705</v>
      </c>
      <c r="D1129" t="s">
        <v>50</v>
      </c>
      <c r="E1129" t="s">
        <v>51</v>
      </c>
      <c r="F1129" t="s">
        <v>58</v>
      </c>
      <c r="G1129" t="s">
        <v>69</v>
      </c>
      <c r="H1129">
        <v>2</v>
      </c>
      <c r="I1129">
        <v>2581</v>
      </c>
      <c r="J1129">
        <v>0.05</v>
      </c>
      <c r="K1129">
        <v>4903.8999999999996</v>
      </c>
      <c r="L1129">
        <v>1283.82</v>
      </c>
      <c r="M1129" t="str">
        <f t="shared" si="153"/>
        <v>Keyboard</v>
      </c>
      <c r="N1129" t="str">
        <f t="shared" si="154"/>
        <v>Jaipur</v>
      </c>
      <c r="O1129" t="str">
        <f t="shared" si="155"/>
        <v>North</v>
      </c>
      <c r="P1129" t="str">
        <f t="shared" si="156"/>
        <v>Electronics</v>
      </c>
      <c r="Q1129" t="str">
        <f t="shared" si="157"/>
        <v>Electronics</v>
      </c>
      <c r="R1129" t="str">
        <f t="shared" si="158"/>
        <v>North</v>
      </c>
      <c r="S1129" t="str">
        <f t="shared" si="159"/>
        <v>Jaipur</v>
      </c>
      <c r="T1129">
        <f t="shared" si="160"/>
        <v>4903.8999999999996</v>
      </c>
      <c r="U1129" t="str">
        <f t="shared" si="161"/>
        <v>OK</v>
      </c>
    </row>
    <row r="1130" spans="1:21" x14ac:dyDescent="0.3">
      <c r="A1130" t="s">
        <v>1368</v>
      </c>
      <c r="B1130" s="3">
        <v>45845</v>
      </c>
      <c r="C1130" t="s">
        <v>150</v>
      </c>
      <c r="D1130" t="s">
        <v>68</v>
      </c>
      <c r="E1130" t="s">
        <v>44</v>
      </c>
      <c r="F1130" t="s">
        <v>21</v>
      </c>
      <c r="G1130" t="s">
        <v>35</v>
      </c>
      <c r="H1130">
        <v>2</v>
      </c>
      <c r="I1130">
        <v>3517</v>
      </c>
      <c r="J1130">
        <v>0.1</v>
      </c>
      <c r="K1130">
        <v>6330.6</v>
      </c>
      <c r="L1130">
        <v>947.7</v>
      </c>
      <c r="M1130" t="str">
        <f t="shared" si="153"/>
        <v>Webcam</v>
      </c>
      <c r="N1130" t="str">
        <f t="shared" si="154"/>
        <v>Mumbai</v>
      </c>
      <c r="O1130" t="str">
        <f t="shared" si="155"/>
        <v>West</v>
      </c>
      <c r="P1130" t="str">
        <f t="shared" si="156"/>
        <v>Accessories</v>
      </c>
      <c r="Q1130" t="str">
        <f t="shared" si="157"/>
        <v>Accessories</v>
      </c>
      <c r="R1130" t="str">
        <f t="shared" si="158"/>
        <v>West</v>
      </c>
      <c r="S1130" t="str">
        <f t="shared" si="159"/>
        <v>Mumbai</v>
      </c>
      <c r="T1130">
        <f t="shared" si="160"/>
        <v>6330.6</v>
      </c>
      <c r="U1130" t="str">
        <f t="shared" si="161"/>
        <v>OK</v>
      </c>
    </row>
    <row r="1131" spans="1:21" x14ac:dyDescent="0.3">
      <c r="A1131" t="s">
        <v>1369</v>
      </c>
      <c r="B1131" s="3">
        <v>45681</v>
      </c>
      <c r="C1131" t="s">
        <v>440</v>
      </c>
      <c r="D1131" t="s">
        <v>30</v>
      </c>
      <c r="E1131" t="s">
        <v>15</v>
      </c>
      <c r="F1131" t="s">
        <v>27</v>
      </c>
      <c r="G1131" t="s">
        <v>28</v>
      </c>
      <c r="H1131">
        <v>1</v>
      </c>
      <c r="I1131">
        <v>5223</v>
      </c>
      <c r="J1131">
        <v>0.05</v>
      </c>
      <c r="K1131">
        <v>4961.8500000000004</v>
      </c>
      <c r="L1131">
        <v>595.29999999999995</v>
      </c>
      <c r="M1131" t="str">
        <f t="shared" si="153"/>
        <v>Bookshelf</v>
      </c>
      <c r="N1131" t="str">
        <f t="shared" si="154"/>
        <v>Bengaluru</v>
      </c>
      <c r="O1131" t="str">
        <f t="shared" si="155"/>
        <v>South</v>
      </c>
      <c r="P1131" t="str">
        <f t="shared" si="156"/>
        <v>Furniture</v>
      </c>
      <c r="Q1131" t="str">
        <f t="shared" si="157"/>
        <v>Furniture</v>
      </c>
      <c r="R1131" t="str">
        <f t="shared" si="158"/>
        <v>South</v>
      </c>
      <c r="S1131" t="str">
        <f t="shared" si="159"/>
        <v>Bengaluru</v>
      </c>
      <c r="T1131">
        <f t="shared" si="160"/>
        <v>4961.8499999999995</v>
      </c>
      <c r="U1131" t="str">
        <f t="shared" si="161"/>
        <v>OK</v>
      </c>
    </row>
    <row r="1132" spans="1:21" x14ac:dyDescent="0.3">
      <c r="A1132" t="s">
        <v>1370</v>
      </c>
      <c r="B1132" s="3">
        <v>45850</v>
      </c>
      <c r="C1132" t="s">
        <v>272</v>
      </c>
      <c r="D1132" t="s">
        <v>72</v>
      </c>
      <c r="E1132" t="s">
        <v>73</v>
      </c>
      <c r="F1132" t="s">
        <v>58</v>
      </c>
      <c r="G1132" t="s">
        <v>59</v>
      </c>
      <c r="H1132">
        <v>1</v>
      </c>
      <c r="I1132">
        <v>409</v>
      </c>
      <c r="J1132">
        <v>0</v>
      </c>
      <c r="K1132">
        <v>409</v>
      </c>
      <c r="L1132">
        <v>87.69</v>
      </c>
      <c r="M1132" t="str">
        <f t="shared" si="153"/>
        <v>Desk Organizer</v>
      </c>
      <c r="N1132" t="str">
        <f t="shared" si="154"/>
        <v>Chandigarh</v>
      </c>
      <c r="O1132" t="str">
        <f t="shared" si="155"/>
        <v>North</v>
      </c>
      <c r="P1132" t="str">
        <f t="shared" si="156"/>
        <v>Office Supplies</v>
      </c>
      <c r="Q1132" t="str">
        <f t="shared" si="157"/>
        <v>Office Supplies</v>
      </c>
      <c r="R1132" t="str">
        <f t="shared" si="158"/>
        <v>North</v>
      </c>
      <c r="S1132" t="str">
        <f t="shared" si="159"/>
        <v>Chandigarh</v>
      </c>
      <c r="T1132">
        <f t="shared" si="160"/>
        <v>409</v>
      </c>
      <c r="U1132" t="str">
        <f t="shared" si="161"/>
        <v>OK</v>
      </c>
    </row>
    <row r="1133" spans="1:21" x14ac:dyDescent="0.3">
      <c r="A1133" t="s">
        <v>1371</v>
      </c>
      <c r="B1133" s="3">
        <v>45990</v>
      </c>
      <c r="C1133" t="s">
        <v>731</v>
      </c>
      <c r="D1133" t="s">
        <v>88</v>
      </c>
      <c r="E1133" t="s">
        <v>73</v>
      </c>
      <c r="F1133" t="s">
        <v>58</v>
      </c>
      <c r="G1133" t="s">
        <v>126</v>
      </c>
      <c r="H1133">
        <v>5</v>
      </c>
      <c r="I1133">
        <v>516</v>
      </c>
      <c r="J1133">
        <v>0.05</v>
      </c>
      <c r="K1133">
        <v>2451</v>
      </c>
      <c r="L1133">
        <v>467.94</v>
      </c>
      <c r="M1133" t="str">
        <f t="shared" si="153"/>
        <v>Stapler</v>
      </c>
      <c r="N1133" t="str">
        <f t="shared" si="154"/>
        <v>Delhi</v>
      </c>
      <c r="O1133" t="str">
        <f t="shared" si="155"/>
        <v>North</v>
      </c>
      <c r="P1133" t="str">
        <f t="shared" si="156"/>
        <v>Office Supplies</v>
      </c>
      <c r="Q1133" t="str">
        <f t="shared" si="157"/>
        <v>Office Supplies</v>
      </c>
      <c r="R1133" t="str">
        <f t="shared" si="158"/>
        <v>North</v>
      </c>
      <c r="S1133" t="str">
        <f t="shared" si="159"/>
        <v>Delhi</v>
      </c>
      <c r="T1133">
        <f t="shared" si="160"/>
        <v>2451</v>
      </c>
      <c r="U1133" t="str">
        <f t="shared" si="161"/>
        <v>OK</v>
      </c>
    </row>
    <row r="1134" spans="1:21" x14ac:dyDescent="0.3">
      <c r="A1134" t="s">
        <v>1372</v>
      </c>
      <c r="B1134" s="3">
        <v>45905</v>
      </c>
      <c r="C1134" t="s">
        <v>39</v>
      </c>
      <c r="D1134" t="s">
        <v>307</v>
      </c>
      <c r="E1134" t="s">
        <v>73</v>
      </c>
      <c r="F1134" t="s">
        <v>27</v>
      </c>
      <c r="G1134" t="s">
        <v>31</v>
      </c>
      <c r="H1134">
        <v>3</v>
      </c>
      <c r="I1134">
        <v>435</v>
      </c>
      <c r="J1134">
        <v>0.1</v>
      </c>
      <c r="K1134">
        <v>1174.5</v>
      </c>
      <c r="L1134">
        <v>227.98</v>
      </c>
      <c r="M1134" t="str">
        <f t="shared" si="153"/>
        <v>Notebook</v>
      </c>
      <c r="N1134" t="str">
        <f t="shared" si="154"/>
        <v>Hyderabad</v>
      </c>
      <c r="O1134" t="str">
        <f t="shared" si="155"/>
        <v>South</v>
      </c>
      <c r="P1134" t="str">
        <f t="shared" si="156"/>
        <v>Office Supplies</v>
      </c>
      <c r="Q1134" t="str">
        <f t="shared" si="157"/>
        <v>Office Supplies</v>
      </c>
      <c r="R1134" t="str">
        <f t="shared" si="158"/>
        <v>South</v>
      </c>
      <c r="S1134" t="str">
        <f t="shared" si="159"/>
        <v>Hyderabad</v>
      </c>
      <c r="T1134">
        <f t="shared" si="160"/>
        <v>1174.5</v>
      </c>
      <c r="U1134" t="str">
        <f t="shared" si="161"/>
        <v>OK</v>
      </c>
    </row>
    <row r="1135" spans="1:21" x14ac:dyDescent="0.3">
      <c r="A1135" t="s">
        <v>1373</v>
      </c>
      <c r="B1135" s="3">
        <v>45788</v>
      </c>
      <c r="C1135" t="s">
        <v>368</v>
      </c>
      <c r="D1135" t="s">
        <v>43</v>
      </c>
      <c r="E1135" t="s">
        <v>44</v>
      </c>
      <c r="F1135" t="s">
        <v>27</v>
      </c>
      <c r="G1135" t="s">
        <v>40</v>
      </c>
      <c r="H1135">
        <v>1</v>
      </c>
      <c r="I1135">
        <v>494</v>
      </c>
      <c r="J1135">
        <v>0.1</v>
      </c>
      <c r="K1135">
        <v>444.6</v>
      </c>
      <c r="L1135">
        <v>117.98</v>
      </c>
      <c r="M1135" t="str">
        <f t="shared" si="153"/>
        <v>Phone Holder</v>
      </c>
      <c r="N1135" t="str">
        <f t="shared" si="154"/>
        <v>Chennai</v>
      </c>
      <c r="O1135" t="str">
        <f t="shared" si="155"/>
        <v>South</v>
      </c>
      <c r="P1135" t="str">
        <f t="shared" si="156"/>
        <v>Accessories</v>
      </c>
      <c r="Q1135" t="str">
        <f t="shared" si="157"/>
        <v>Accessories</v>
      </c>
      <c r="R1135" t="str">
        <f t="shared" si="158"/>
        <v>South</v>
      </c>
      <c r="S1135" t="str">
        <f t="shared" si="159"/>
        <v>Chennai</v>
      </c>
      <c r="T1135">
        <f t="shared" si="160"/>
        <v>444.6</v>
      </c>
      <c r="U1135" t="str">
        <f t="shared" si="161"/>
        <v>OK</v>
      </c>
    </row>
    <row r="1136" spans="1:21" x14ac:dyDescent="0.3">
      <c r="A1136" t="s">
        <v>1374</v>
      </c>
      <c r="B1136" s="3">
        <v>45945</v>
      </c>
      <c r="C1136" t="s">
        <v>150</v>
      </c>
      <c r="D1136" t="s">
        <v>47</v>
      </c>
      <c r="E1136" t="s">
        <v>26</v>
      </c>
      <c r="F1136" t="s">
        <v>58</v>
      </c>
      <c r="G1136" t="s">
        <v>59</v>
      </c>
      <c r="H1136">
        <v>2</v>
      </c>
      <c r="I1136">
        <v>11772</v>
      </c>
      <c r="J1136">
        <v>0.05</v>
      </c>
      <c r="K1136">
        <v>22366.799999999999</v>
      </c>
      <c r="L1136">
        <v>2894.1</v>
      </c>
      <c r="M1136" t="str">
        <f t="shared" si="153"/>
        <v>Air Purifier</v>
      </c>
      <c r="N1136" t="str">
        <f t="shared" si="154"/>
        <v>Chandigarh</v>
      </c>
      <c r="O1136" t="str">
        <f t="shared" si="155"/>
        <v>North</v>
      </c>
      <c r="P1136" t="str">
        <f t="shared" si="156"/>
        <v>Home Appliances</v>
      </c>
      <c r="Q1136" t="str">
        <f t="shared" si="157"/>
        <v>Home Appliances</v>
      </c>
      <c r="R1136" t="str">
        <f t="shared" si="158"/>
        <v>North</v>
      </c>
      <c r="S1136" t="str">
        <f t="shared" si="159"/>
        <v>Chandigarh</v>
      </c>
      <c r="T1136">
        <f t="shared" si="160"/>
        <v>22366.799999999999</v>
      </c>
      <c r="U1136" t="str">
        <f t="shared" si="161"/>
        <v>OK</v>
      </c>
    </row>
    <row r="1137" spans="1:21" x14ac:dyDescent="0.3">
      <c r="A1137" t="s">
        <v>1375</v>
      </c>
      <c r="B1137" s="3">
        <v>45862</v>
      </c>
      <c r="C1137" t="s">
        <v>85</v>
      </c>
      <c r="D1137" t="s">
        <v>25</v>
      </c>
      <c r="E1137" t="s">
        <v>26</v>
      </c>
      <c r="F1137" t="s">
        <v>16</v>
      </c>
      <c r="G1137" t="s">
        <v>52</v>
      </c>
      <c r="H1137">
        <v>1</v>
      </c>
      <c r="I1137">
        <v>16793</v>
      </c>
      <c r="J1137">
        <v>0.2</v>
      </c>
      <c r="K1137">
        <v>13434.4</v>
      </c>
      <c r="L1137">
        <v>2156.52</v>
      </c>
      <c r="M1137" t="str">
        <f t="shared" si="153"/>
        <v>Microwave</v>
      </c>
      <c r="N1137" t="str">
        <f t="shared" si="154"/>
        <v>Kolkata</v>
      </c>
      <c r="O1137" t="str">
        <f t="shared" si="155"/>
        <v>East</v>
      </c>
      <c r="P1137" t="str">
        <f t="shared" si="156"/>
        <v>Home Appliances</v>
      </c>
      <c r="Q1137" t="str">
        <f t="shared" si="157"/>
        <v>Home Appliances</v>
      </c>
      <c r="R1137" t="str">
        <f t="shared" si="158"/>
        <v>East</v>
      </c>
      <c r="S1137" t="str">
        <f t="shared" si="159"/>
        <v>Kolkata</v>
      </c>
      <c r="T1137">
        <f t="shared" si="160"/>
        <v>13434.400000000001</v>
      </c>
      <c r="U1137" t="str">
        <f t="shared" si="161"/>
        <v>OK</v>
      </c>
    </row>
    <row r="1138" spans="1:21" x14ac:dyDescent="0.3">
      <c r="A1138" t="s">
        <v>1376</v>
      </c>
      <c r="B1138" s="3">
        <v>46019</v>
      </c>
      <c r="C1138" t="s">
        <v>187</v>
      </c>
      <c r="D1138" t="s">
        <v>30</v>
      </c>
      <c r="E1138" t="s">
        <v>15</v>
      </c>
      <c r="F1138" t="s">
        <v>58</v>
      </c>
      <c r="G1138" t="s">
        <v>126</v>
      </c>
      <c r="H1138">
        <v>1</v>
      </c>
      <c r="I1138">
        <v>11696</v>
      </c>
      <c r="J1138">
        <v>0.05</v>
      </c>
      <c r="K1138">
        <v>11111.2</v>
      </c>
      <c r="L1138">
        <v>1012.61</v>
      </c>
      <c r="M1138" t="str">
        <f t="shared" si="153"/>
        <v>Bookshelf</v>
      </c>
      <c r="N1138" t="str">
        <f t="shared" si="154"/>
        <v>Delhi</v>
      </c>
      <c r="O1138" t="str">
        <f t="shared" si="155"/>
        <v>North</v>
      </c>
      <c r="P1138" t="str">
        <f t="shared" si="156"/>
        <v>Furniture</v>
      </c>
      <c r="Q1138" t="str">
        <f t="shared" si="157"/>
        <v>Furniture</v>
      </c>
      <c r="R1138" t="str">
        <f t="shared" si="158"/>
        <v>North</v>
      </c>
      <c r="S1138" t="str">
        <f t="shared" si="159"/>
        <v>Delhi</v>
      </c>
      <c r="T1138">
        <f t="shared" si="160"/>
        <v>11111.199999999999</v>
      </c>
      <c r="U1138" t="str">
        <f t="shared" si="161"/>
        <v>OK</v>
      </c>
    </row>
    <row r="1139" spans="1:21" x14ac:dyDescent="0.3">
      <c r="A1139" t="s">
        <v>1377</v>
      </c>
      <c r="B1139" s="3">
        <v>45934</v>
      </c>
      <c r="C1139" t="s">
        <v>456</v>
      </c>
      <c r="D1139" t="s">
        <v>120</v>
      </c>
      <c r="E1139" t="s">
        <v>51</v>
      </c>
      <c r="F1139" t="s">
        <v>16</v>
      </c>
      <c r="G1139" t="s">
        <v>17</v>
      </c>
      <c r="H1139">
        <v>1</v>
      </c>
      <c r="I1139">
        <v>427</v>
      </c>
      <c r="J1139">
        <v>0.15</v>
      </c>
      <c r="K1139">
        <v>362.95</v>
      </c>
      <c r="L1139">
        <v>66.31</v>
      </c>
      <c r="M1139" t="str">
        <f t="shared" si="153"/>
        <v>Mouse</v>
      </c>
      <c r="N1139" t="str">
        <f t="shared" si="154"/>
        <v>Guwahati</v>
      </c>
      <c r="O1139" t="str">
        <f t="shared" si="155"/>
        <v>East</v>
      </c>
      <c r="P1139" t="str">
        <f t="shared" si="156"/>
        <v>Electronics</v>
      </c>
      <c r="Q1139" t="str">
        <f t="shared" si="157"/>
        <v>Electronics</v>
      </c>
      <c r="R1139" t="str">
        <f t="shared" si="158"/>
        <v>East</v>
      </c>
      <c r="S1139" t="str">
        <f t="shared" si="159"/>
        <v>Guwahati</v>
      </c>
      <c r="T1139">
        <f t="shared" si="160"/>
        <v>362.95</v>
      </c>
      <c r="U1139" t="str">
        <f t="shared" si="161"/>
        <v>OK</v>
      </c>
    </row>
    <row r="1140" spans="1:21" x14ac:dyDescent="0.3">
      <c r="A1140" t="s">
        <v>1378</v>
      </c>
      <c r="B1140" s="3">
        <v>45767</v>
      </c>
      <c r="C1140" t="s">
        <v>123</v>
      </c>
      <c r="D1140" t="s">
        <v>25</v>
      </c>
      <c r="E1140" t="s">
        <v>26</v>
      </c>
      <c r="F1140" t="s">
        <v>16</v>
      </c>
      <c r="G1140" t="s">
        <v>52</v>
      </c>
      <c r="H1140">
        <v>1</v>
      </c>
      <c r="I1140">
        <v>12413</v>
      </c>
      <c r="J1140">
        <v>0.15</v>
      </c>
      <c r="K1140">
        <v>10551.05</v>
      </c>
      <c r="L1140">
        <v>1692.05</v>
      </c>
      <c r="M1140" t="str">
        <f t="shared" si="153"/>
        <v>Microwave</v>
      </c>
      <c r="N1140" t="str">
        <f t="shared" si="154"/>
        <v>Kolkata</v>
      </c>
      <c r="O1140" t="str">
        <f t="shared" si="155"/>
        <v>East</v>
      </c>
      <c r="P1140" t="str">
        <f t="shared" si="156"/>
        <v>Home Appliances</v>
      </c>
      <c r="Q1140" t="str">
        <f t="shared" si="157"/>
        <v>Home Appliances</v>
      </c>
      <c r="R1140" t="str">
        <f t="shared" si="158"/>
        <v>East</v>
      </c>
      <c r="S1140" t="str">
        <f t="shared" si="159"/>
        <v>Kolkata</v>
      </c>
      <c r="T1140">
        <f t="shared" si="160"/>
        <v>10551.05</v>
      </c>
      <c r="U1140" t="str">
        <f t="shared" si="161"/>
        <v>OK</v>
      </c>
    </row>
    <row r="1141" spans="1:21" x14ac:dyDescent="0.3">
      <c r="A1141" t="s">
        <v>1379</v>
      </c>
      <c r="B1141" s="3">
        <v>45687</v>
      </c>
      <c r="C1141" t="s">
        <v>321</v>
      </c>
      <c r="D1141" t="s">
        <v>120</v>
      </c>
      <c r="E1141" t="s">
        <v>51</v>
      </c>
      <c r="F1141" t="s">
        <v>58</v>
      </c>
      <c r="G1141" t="s">
        <v>59</v>
      </c>
      <c r="H1141">
        <v>1</v>
      </c>
      <c r="I1141">
        <v>836</v>
      </c>
      <c r="J1141">
        <v>0</v>
      </c>
      <c r="K1141">
        <v>836</v>
      </c>
      <c r="L1141">
        <v>196.44</v>
      </c>
      <c r="M1141" t="str">
        <f t="shared" si="153"/>
        <v>Mouse</v>
      </c>
      <c r="N1141" t="str">
        <f t="shared" si="154"/>
        <v>Chandigarh</v>
      </c>
      <c r="O1141" t="str">
        <f t="shared" si="155"/>
        <v>North</v>
      </c>
      <c r="P1141" t="str">
        <f t="shared" si="156"/>
        <v>Electronics</v>
      </c>
      <c r="Q1141" t="str">
        <f t="shared" si="157"/>
        <v>Electronics</v>
      </c>
      <c r="R1141" t="str">
        <f t="shared" si="158"/>
        <v>North</v>
      </c>
      <c r="S1141" t="str">
        <f t="shared" si="159"/>
        <v>Chandigarh</v>
      </c>
      <c r="T1141">
        <f t="shared" si="160"/>
        <v>836</v>
      </c>
      <c r="U1141" t="str">
        <f t="shared" si="161"/>
        <v>OK</v>
      </c>
    </row>
    <row r="1142" spans="1:21" x14ac:dyDescent="0.3">
      <c r="A1142" t="s">
        <v>1380</v>
      </c>
      <c r="B1142" s="3">
        <v>45923</v>
      </c>
      <c r="C1142" t="s">
        <v>807</v>
      </c>
      <c r="D1142" t="s">
        <v>30</v>
      </c>
      <c r="E1142" t="s">
        <v>15</v>
      </c>
      <c r="F1142" t="s">
        <v>16</v>
      </c>
      <c r="G1142" t="s">
        <v>17</v>
      </c>
      <c r="H1142">
        <v>2</v>
      </c>
      <c r="I1142">
        <v>12202</v>
      </c>
      <c r="J1142">
        <v>0</v>
      </c>
      <c r="K1142">
        <v>24404</v>
      </c>
      <c r="L1142">
        <v>3399.19</v>
      </c>
      <c r="M1142" t="str">
        <f t="shared" si="153"/>
        <v>Bookshelf</v>
      </c>
      <c r="N1142" t="str">
        <f t="shared" si="154"/>
        <v>Guwahati</v>
      </c>
      <c r="O1142" t="str">
        <f t="shared" si="155"/>
        <v>East</v>
      </c>
      <c r="P1142" t="str">
        <f t="shared" si="156"/>
        <v>Furniture</v>
      </c>
      <c r="Q1142" t="str">
        <f t="shared" si="157"/>
        <v>Furniture</v>
      </c>
      <c r="R1142" t="str">
        <f t="shared" si="158"/>
        <v>East</v>
      </c>
      <c r="S1142" t="str">
        <f t="shared" si="159"/>
        <v>Guwahati</v>
      </c>
      <c r="T1142">
        <f t="shared" si="160"/>
        <v>24404</v>
      </c>
      <c r="U1142" t="str">
        <f t="shared" si="161"/>
        <v>OK</v>
      </c>
    </row>
    <row r="1143" spans="1:21" x14ac:dyDescent="0.3">
      <c r="A1143" t="s">
        <v>1381</v>
      </c>
      <c r="B1143" s="3">
        <v>45729</v>
      </c>
      <c r="C1143" t="s">
        <v>473</v>
      </c>
      <c r="D1143" t="s">
        <v>68</v>
      </c>
      <c r="E1143" t="s">
        <v>44</v>
      </c>
      <c r="F1143" t="s">
        <v>27</v>
      </c>
      <c r="G1143" t="s">
        <v>40</v>
      </c>
      <c r="H1143">
        <v>2</v>
      </c>
      <c r="I1143">
        <v>5915</v>
      </c>
      <c r="J1143">
        <v>0.05</v>
      </c>
      <c r="K1143">
        <v>11238.5</v>
      </c>
      <c r="L1143">
        <v>2516.23</v>
      </c>
      <c r="M1143" t="str">
        <f t="shared" si="153"/>
        <v>Webcam</v>
      </c>
      <c r="N1143" t="str">
        <f t="shared" si="154"/>
        <v>Chennai</v>
      </c>
      <c r="O1143" t="str">
        <f t="shared" si="155"/>
        <v>South</v>
      </c>
      <c r="P1143" t="str">
        <f t="shared" si="156"/>
        <v>Accessories</v>
      </c>
      <c r="Q1143" t="str">
        <f t="shared" si="157"/>
        <v>Accessories</v>
      </c>
      <c r="R1143" t="str">
        <f t="shared" si="158"/>
        <v>South</v>
      </c>
      <c r="S1143" t="str">
        <f t="shared" si="159"/>
        <v>Chennai</v>
      </c>
      <c r="T1143">
        <f t="shared" si="160"/>
        <v>11238.5</v>
      </c>
      <c r="U1143" t="str">
        <f t="shared" si="161"/>
        <v>OK</v>
      </c>
    </row>
    <row r="1144" spans="1:21" x14ac:dyDescent="0.3">
      <c r="A1144" t="s">
        <v>1382</v>
      </c>
      <c r="B1144" s="3">
        <v>45768</v>
      </c>
      <c r="C1144" t="s">
        <v>394</v>
      </c>
      <c r="D1144" t="s">
        <v>43</v>
      </c>
      <c r="E1144" t="s">
        <v>44</v>
      </c>
      <c r="F1144" t="s">
        <v>21</v>
      </c>
      <c r="G1144" t="s">
        <v>35</v>
      </c>
      <c r="H1144">
        <v>5</v>
      </c>
      <c r="I1144">
        <v>1372</v>
      </c>
      <c r="J1144">
        <v>0.1</v>
      </c>
      <c r="K1144">
        <v>6174</v>
      </c>
      <c r="L1144">
        <v>1513.03</v>
      </c>
      <c r="M1144" t="str">
        <f t="shared" si="153"/>
        <v>Phone Holder</v>
      </c>
      <c r="N1144" t="str">
        <f t="shared" si="154"/>
        <v>Mumbai</v>
      </c>
      <c r="O1144" t="str">
        <f t="shared" si="155"/>
        <v>West</v>
      </c>
      <c r="P1144" t="str">
        <f t="shared" si="156"/>
        <v>Accessories</v>
      </c>
      <c r="Q1144" t="str">
        <f t="shared" si="157"/>
        <v>Accessories</v>
      </c>
      <c r="R1144" t="str">
        <f t="shared" si="158"/>
        <v>West</v>
      </c>
      <c r="S1144" t="str">
        <f t="shared" si="159"/>
        <v>Mumbai</v>
      </c>
      <c r="T1144">
        <f t="shared" si="160"/>
        <v>6174</v>
      </c>
      <c r="U1144" t="str">
        <f t="shared" si="161"/>
        <v>OK</v>
      </c>
    </row>
    <row r="1145" spans="1:21" x14ac:dyDescent="0.3">
      <c r="A1145" t="s">
        <v>1383</v>
      </c>
      <c r="B1145" s="3">
        <v>45661</v>
      </c>
      <c r="C1145" t="s">
        <v>303</v>
      </c>
      <c r="D1145" t="s">
        <v>92</v>
      </c>
      <c r="E1145" t="s">
        <v>51</v>
      </c>
      <c r="F1145" t="s">
        <v>58</v>
      </c>
      <c r="G1145" t="s">
        <v>126</v>
      </c>
      <c r="H1145">
        <v>3</v>
      </c>
      <c r="I1145">
        <v>15466</v>
      </c>
      <c r="J1145">
        <v>0.05</v>
      </c>
      <c r="K1145">
        <v>44078.1</v>
      </c>
      <c r="L1145">
        <v>8040.05</v>
      </c>
      <c r="M1145" t="str">
        <f t="shared" si="153"/>
        <v>Monitor</v>
      </c>
      <c r="N1145" t="str">
        <f t="shared" si="154"/>
        <v>Delhi</v>
      </c>
      <c r="O1145" t="str">
        <f t="shared" si="155"/>
        <v>North</v>
      </c>
      <c r="P1145" t="str">
        <f t="shared" si="156"/>
        <v>Electronics</v>
      </c>
      <c r="Q1145" t="str">
        <f t="shared" si="157"/>
        <v>Electronics</v>
      </c>
      <c r="R1145" t="str">
        <f t="shared" si="158"/>
        <v>North</v>
      </c>
      <c r="S1145" t="str">
        <f t="shared" si="159"/>
        <v>Delhi</v>
      </c>
      <c r="T1145">
        <f t="shared" si="160"/>
        <v>44078.1</v>
      </c>
      <c r="U1145" t="str">
        <f t="shared" si="161"/>
        <v>OK</v>
      </c>
    </row>
    <row r="1146" spans="1:21" x14ac:dyDescent="0.3">
      <c r="A1146" t="s">
        <v>1384</v>
      </c>
      <c r="B1146" s="3">
        <v>45726</v>
      </c>
      <c r="C1146" t="s">
        <v>578</v>
      </c>
      <c r="D1146" t="s">
        <v>47</v>
      </c>
      <c r="E1146" t="s">
        <v>26</v>
      </c>
      <c r="F1146" t="s">
        <v>58</v>
      </c>
      <c r="G1146" t="s">
        <v>59</v>
      </c>
      <c r="H1146">
        <v>4</v>
      </c>
      <c r="I1146">
        <v>19021</v>
      </c>
      <c r="J1146">
        <v>0.2</v>
      </c>
      <c r="K1146">
        <v>60867.199999999997</v>
      </c>
      <c r="L1146">
        <v>6068.39</v>
      </c>
      <c r="M1146" t="str">
        <f t="shared" si="153"/>
        <v>Air Purifier</v>
      </c>
      <c r="N1146" t="str">
        <f t="shared" si="154"/>
        <v>Chandigarh</v>
      </c>
      <c r="O1146" t="str">
        <f t="shared" si="155"/>
        <v>North</v>
      </c>
      <c r="P1146" t="str">
        <f t="shared" si="156"/>
        <v>Home Appliances</v>
      </c>
      <c r="Q1146" t="str">
        <f t="shared" si="157"/>
        <v>Home Appliances</v>
      </c>
      <c r="R1146" t="str">
        <f t="shared" si="158"/>
        <v>North</v>
      </c>
      <c r="S1146" t="str">
        <f t="shared" si="159"/>
        <v>Chandigarh</v>
      </c>
      <c r="T1146">
        <f t="shared" si="160"/>
        <v>60867.200000000004</v>
      </c>
      <c r="U1146" t="str">
        <f t="shared" si="161"/>
        <v>OK</v>
      </c>
    </row>
    <row r="1147" spans="1:21" x14ac:dyDescent="0.3">
      <c r="A1147" t="s">
        <v>1385</v>
      </c>
      <c r="B1147" s="3">
        <v>45729</v>
      </c>
      <c r="C1147" t="s">
        <v>300</v>
      </c>
      <c r="D1147" t="s">
        <v>83</v>
      </c>
      <c r="E1147" t="s">
        <v>73</v>
      </c>
      <c r="F1147" t="s">
        <v>16</v>
      </c>
      <c r="G1147" t="s">
        <v>17</v>
      </c>
      <c r="H1147">
        <v>1</v>
      </c>
      <c r="I1147">
        <v>367</v>
      </c>
      <c r="J1147">
        <v>0.15</v>
      </c>
      <c r="K1147">
        <v>311.95</v>
      </c>
      <c r="L1147">
        <v>55.75</v>
      </c>
      <c r="M1147" t="str">
        <f t="shared" si="153"/>
        <v>Printer Paper</v>
      </c>
      <c r="N1147" t="str">
        <f t="shared" si="154"/>
        <v>Guwahati</v>
      </c>
      <c r="O1147" t="str">
        <f t="shared" si="155"/>
        <v>East</v>
      </c>
      <c r="P1147" t="str">
        <f t="shared" si="156"/>
        <v>Office Supplies</v>
      </c>
      <c r="Q1147" t="str">
        <f t="shared" si="157"/>
        <v>Office Supplies</v>
      </c>
      <c r="R1147" t="str">
        <f t="shared" si="158"/>
        <v>East</v>
      </c>
      <c r="S1147" t="str">
        <f t="shared" si="159"/>
        <v>Guwahati</v>
      </c>
      <c r="T1147">
        <f t="shared" si="160"/>
        <v>311.95</v>
      </c>
      <c r="U1147" t="str">
        <f t="shared" si="161"/>
        <v>OK</v>
      </c>
    </row>
    <row r="1148" spans="1:21" x14ac:dyDescent="0.3">
      <c r="A1148" t="s">
        <v>1386</v>
      </c>
      <c r="B1148" s="3">
        <v>45951</v>
      </c>
      <c r="C1148" t="s">
        <v>313</v>
      </c>
      <c r="D1148" t="s">
        <v>50</v>
      </c>
      <c r="E1148" t="s">
        <v>51</v>
      </c>
      <c r="F1148" t="s">
        <v>21</v>
      </c>
      <c r="G1148" t="s">
        <v>35</v>
      </c>
      <c r="H1148">
        <v>3</v>
      </c>
      <c r="I1148">
        <v>2299</v>
      </c>
      <c r="J1148">
        <v>0.2</v>
      </c>
      <c r="K1148">
        <v>5517.6</v>
      </c>
      <c r="L1148">
        <v>1105.9100000000001</v>
      </c>
      <c r="M1148" t="str">
        <f t="shared" si="153"/>
        <v>Keyboard</v>
      </c>
      <c r="N1148" t="str">
        <f t="shared" si="154"/>
        <v>Mumbai</v>
      </c>
      <c r="O1148" t="str">
        <f t="shared" si="155"/>
        <v>West</v>
      </c>
      <c r="P1148" t="str">
        <f t="shared" si="156"/>
        <v>Electronics</v>
      </c>
      <c r="Q1148" t="str">
        <f t="shared" si="157"/>
        <v>Electronics</v>
      </c>
      <c r="R1148" t="str">
        <f t="shared" si="158"/>
        <v>West</v>
      </c>
      <c r="S1148" t="str">
        <f t="shared" si="159"/>
        <v>Mumbai</v>
      </c>
      <c r="T1148">
        <f t="shared" si="160"/>
        <v>5517.6</v>
      </c>
      <c r="U1148" t="str">
        <f t="shared" si="161"/>
        <v>OK</v>
      </c>
    </row>
    <row r="1149" spans="1:21" x14ac:dyDescent="0.3">
      <c r="A1149" t="s">
        <v>1387</v>
      </c>
      <c r="B1149" s="3">
        <v>45965</v>
      </c>
      <c r="C1149" t="s">
        <v>172</v>
      </c>
      <c r="D1149" t="s">
        <v>30</v>
      </c>
      <c r="E1149" t="s">
        <v>15</v>
      </c>
      <c r="F1149" t="s">
        <v>58</v>
      </c>
      <c r="G1149" t="s">
        <v>59</v>
      </c>
      <c r="H1149">
        <v>1</v>
      </c>
      <c r="I1149">
        <v>12904</v>
      </c>
      <c r="J1149">
        <v>0.1</v>
      </c>
      <c r="K1149">
        <v>11613.6</v>
      </c>
      <c r="L1149">
        <v>1924.9</v>
      </c>
      <c r="M1149" t="str">
        <f t="shared" si="153"/>
        <v>Bookshelf</v>
      </c>
      <c r="N1149" t="str">
        <f t="shared" si="154"/>
        <v>Chandigarh</v>
      </c>
      <c r="O1149" t="str">
        <f t="shared" si="155"/>
        <v>North</v>
      </c>
      <c r="P1149" t="str">
        <f t="shared" si="156"/>
        <v>Furniture</v>
      </c>
      <c r="Q1149" t="str">
        <f t="shared" si="157"/>
        <v>Furniture</v>
      </c>
      <c r="R1149" t="str">
        <f t="shared" si="158"/>
        <v>North</v>
      </c>
      <c r="S1149" t="str">
        <f t="shared" si="159"/>
        <v>Chandigarh</v>
      </c>
      <c r="T1149">
        <f t="shared" si="160"/>
        <v>11613.6</v>
      </c>
      <c r="U1149" t="str">
        <f t="shared" si="161"/>
        <v>OK</v>
      </c>
    </row>
    <row r="1150" spans="1:21" x14ac:dyDescent="0.3">
      <c r="A1150" t="s">
        <v>1388</v>
      </c>
      <c r="B1150" s="3">
        <v>45963</v>
      </c>
      <c r="C1150" t="s">
        <v>111</v>
      </c>
      <c r="D1150" t="s">
        <v>68</v>
      </c>
      <c r="E1150" t="s">
        <v>44</v>
      </c>
      <c r="F1150" t="s">
        <v>16</v>
      </c>
      <c r="G1150" t="s">
        <v>17</v>
      </c>
      <c r="H1150">
        <v>1</v>
      </c>
      <c r="I1150">
        <v>6820</v>
      </c>
      <c r="J1150">
        <v>0.1</v>
      </c>
      <c r="K1150">
        <v>6138</v>
      </c>
      <c r="L1150">
        <v>1431.12</v>
      </c>
      <c r="M1150" t="str">
        <f t="shared" si="153"/>
        <v>Webcam</v>
      </c>
      <c r="N1150" t="str">
        <f t="shared" si="154"/>
        <v>Guwahati</v>
      </c>
      <c r="O1150" t="str">
        <f t="shared" si="155"/>
        <v>East</v>
      </c>
      <c r="P1150" t="str">
        <f t="shared" si="156"/>
        <v>Accessories</v>
      </c>
      <c r="Q1150" t="str">
        <f t="shared" si="157"/>
        <v>Accessories</v>
      </c>
      <c r="R1150" t="str">
        <f t="shared" si="158"/>
        <v>East</v>
      </c>
      <c r="S1150" t="str">
        <f t="shared" si="159"/>
        <v>Guwahati</v>
      </c>
      <c r="T1150">
        <f t="shared" si="160"/>
        <v>6138</v>
      </c>
      <c r="U1150" t="str">
        <f t="shared" si="161"/>
        <v>OK</v>
      </c>
    </row>
    <row r="1151" spans="1:21" x14ac:dyDescent="0.3">
      <c r="A1151" t="s">
        <v>1389</v>
      </c>
      <c r="B1151" s="3">
        <v>45878</v>
      </c>
      <c r="C1151" t="s">
        <v>326</v>
      </c>
      <c r="D1151" t="s">
        <v>65</v>
      </c>
      <c r="E1151" t="s">
        <v>26</v>
      </c>
      <c r="F1151" t="s">
        <v>58</v>
      </c>
      <c r="G1151" t="s">
        <v>126</v>
      </c>
      <c r="H1151">
        <v>2</v>
      </c>
      <c r="I1151">
        <v>4421</v>
      </c>
      <c r="J1151">
        <v>0.05</v>
      </c>
      <c r="K1151">
        <v>8399.9</v>
      </c>
      <c r="L1151">
        <v>1446.41</v>
      </c>
      <c r="M1151" t="str">
        <f t="shared" si="153"/>
        <v>Electric Kettle</v>
      </c>
      <c r="N1151" t="str">
        <f t="shared" si="154"/>
        <v>Delhi</v>
      </c>
      <c r="O1151" t="str">
        <f t="shared" si="155"/>
        <v>North</v>
      </c>
      <c r="P1151" t="str">
        <f t="shared" si="156"/>
        <v>Home Appliances</v>
      </c>
      <c r="Q1151" t="str">
        <f t="shared" si="157"/>
        <v>Home Appliances</v>
      </c>
      <c r="R1151" t="str">
        <f t="shared" si="158"/>
        <v>North</v>
      </c>
      <c r="S1151" t="str">
        <f t="shared" si="159"/>
        <v>Delhi</v>
      </c>
      <c r="T1151">
        <f t="shared" si="160"/>
        <v>8399.9</v>
      </c>
      <c r="U1151" t="str">
        <f t="shared" si="161"/>
        <v>OK</v>
      </c>
    </row>
    <row r="1152" spans="1:21" x14ac:dyDescent="0.3">
      <c r="A1152" t="s">
        <v>1390</v>
      </c>
      <c r="B1152" s="3">
        <v>45788</v>
      </c>
      <c r="C1152" t="s">
        <v>128</v>
      </c>
      <c r="D1152" t="s">
        <v>88</v>
      </c>
      <c r="E1152" t="s">
        <v>73</v>
      </c>
      <c r="F1152" t="s">
        <v>58</v>
      </c>
      <c r="G1152" t="s">
        <v>126</v>
      </c>
      <c r="H1152">
        <v>1</v>
      </c>
      <c r="I1152">
        <v>599</v>
      </c>
      <c r="J1152">
        <v>0.15</v>
      </c>
      <c r="K1152">
        <v>509.15</v>
      </c>
      <c r="L1152">
        <v>128.69999999999999</v>
      </c>
      <c r="M1152" t="str">
        <f t="shared" si="153"/>
        <v>Stapler</v>
      </c>
      <c r="N1152" t="str">
        <f t="shared" si="154"/>
        <v>Delhi</v>
      </c>
      <c r="O1152" t="str">
        <f t="shared" si="155"/>
        <v>North</v>
      </c>
      <c r="P1152" t="str">
        <f t="shared" si="156"/>
        <v>Office Supplies</v>
      </c>
      <c r="Q1152" t="str">
        <f t="shared" si="157"/>
        <v>Office Supplies</v>
      </c>
      <c r="R1152" t="str">
        <f t="shared" si="158"/>
        <v>North</v>
      </c>
      <c r="S1152" t="str">
        <f t="shared" si="159"/>
        <v>Delhi</v>
      </c>
      <c r="T1152">
        <f t="shared" si="160"/>
        <v>509.15</v>
      </c>
      <c r="U1152" t="str">
        <f t="shared" si="161"/>
        <v>OK</v>
      </c>
    </row>
    <row r="1153" spans="1:21" x14ac:dyDescent="0.3">
      <c r="A1153" t="s">
        <v>1391</v>
      </c>
      <c r="B1153" s="3">
        <v>45712</v>
      </c>
      <c r="C1153" t="s">
        <v>119</v>
      </c>
      <c r="D1153" t="s">
        <v>30</v>
      </c>
      <c r="E1153" t="s">
        <v>15</v>
      </c>
      <c r="F1153" t="s">
        <v>27</v>
      </c>
      <c r="G1153" t="s">
        <v>31</v>
      </c>
      <c r="H1153">
        <v>1</v>
      </c>
      <c r="I1153">
        <v>5243</v>
      </c>
      <c r="J1153">
        <v>0.15</v>
      </c>
      <c r="K1153">
        <v>4456.55</v>
      </c>
      <c r="L1153">
        <v>1101.2</v>
      </c>
      <c r="M1153" t="str">
        <f t="shared" si="153"/>
        <v>Bookshelf</v>
      </c>
      <c r="N1153" t="str">
        <f t="shared" si="154"/>
        <v>Hyderabad</v>
      </c>
      <c r="O1153" t="str">
        <f t="shared" si="155"/>
        <v>South</v>
      </c>
      <c r="P1153" t="str">
        <f t="shared" si="156"/>
        <v>Furniture</v>
      </c>
      <c r="Q1153" t="str">
        <f t="shared" si="157"/>
        <v>Furniture</v>
      </c>
      <c r="R1153" t="str">
        <f t="shared" si="158"/>
        <v>South</v>
      </c>
      <c r="S1153" t="str">
        <f t="shared" si="159"/>
        <v>Hyderabad</v>
      </c>
      <c r="T1153">
        <f t="shared" si="160"/>
        <v>4456.55</v>
      </c>
      <c r="U1153" t="str">
        <f t="shared" si="161"/>
        <v>OK</v>
      </c>
    </row>
    <row r="1154" spans="1:21" x14ac:dyDescent="0.3">
      <c r="A1154" t="s">
        <v>1392</v>
      </c>
      <c r="B1154" s="3">
        <v>45868</v>
      </c>
      <c r="C1154" t="s">
        <v>211</v>
      </c>
      <c r="D1154" t="s">
        <v>92</v>
      </c>
      <c r="E1154" t="s">
        <v>51</v>
      </c>
      <c r="F1154" t="s">
        <v>58</v>
      </c>
      <c r="G1154" t="s">
        <v>69</v>
      </c>
      <c r="H1154">
        <v>2</v>
      </c>
      <c r="I1154">
        <v>20349</v>
      </c>
      <c r="J1154">
        <v>0</v>
      </c>
      <c r="K1154">
        <v>40698</v>
      </c>
      <c r="L1154">
        <v>3820.69</v>
      </c>
      <c r="M1154" t="str">
        <f t="shared" si="153"/>
        <v>Monitor</v>
      </c>
      <c r="N1154" t="str">
        <f t="shared" si="154"/>
        <v>Jaipur</v>
      </c>
      <c r="O1154" t="str">
        <f t="shared" si="155"/>
        <v>North</v>
      </c>
      <c r="P1154" t="str">
        <f t="shared" si="156"/>
        <v>Electronics</v>
      </c>
      <c r="Q1154" t="str">
        <f t="shared" si="157"/>
        <v>Electronics</v>
      </c>
      <c r="R1154" t="str">
        <f t="shared" si="158"/>
        <v>North</v>
      </c>
      <c r="S1154" t="str">
        <f t="shared" si="159"/>
        <v>Jaipur</v>
      </c>
      <c r="T1154">
        <f t="shared" si="160"/>
        <v>40698</v>
      </c>
      <c r="U1154" t="str">
        <f t="shared" si="161"/>
        <v>OK</v>
      </c>
    </row>
    <row r="1155" spans="1:21" x14ac:dyDescent="0.3">
      <c r="A1155" t="s">
        <v>1393</v>
      </c>
      <c r="B1155" s="3">
        <v>45753</v>
      </c>
      <c r="C1155" t="s">
        <v>403</v>
      </c>
      <c r="D1155" t="s">
        <v>25</v>
      </c>
      <c r="E1155" t="s">
        <v>26</v>
      </c>
      <c r="F1155" t="s">
        <v>58</v>
      </c>
      <c r="G1155" t="s">
        <v>69</v>
      </c>
      <c r="H1155">
        <v>2</v>
      </c>
      <c r="I1155">
        <v>13592</v>
      </c>
      <c r="J1155">
        <v>0.15</v>
      </c>
      <c r="K1155">
        <v>23106.400000000001</v>
      </c>
      <c r="L1155">
        <v>2217.5500000000002</v>
      </c>
      <c r="M1155" t="str">
        <f t="shared" ref="M1155:M1201" si="162">TRIM(D1155)</f>
        <v>Microwave</v>
      </c>
      <c r="N1155" t="str">
        <f t="shared" ref="N1155:N1201" si="163">TRIM(G1155)</f>
        <v>Jaipur</v>
      </c>
      <c r="O1155" t="str">
        <f t="shared" ref="O1155:O1201" si="164">TRIM(F:F)</f>
        <v>North</v>
      </c>
      <c r="P1155" t="str">
        <f t="shared" ref="P1155:P1201" si="165">TRIM(E1155)</f>
        <v>Home Appliances</v>
      </c>
      <c r="Q1155" t="str">
        <f t="shared" ref="Q1155:Q1201" si="166">PROPER(E1155)</f>
        <v>Home Appliances</v>
      </c>
      <c r="R1155" t="str">
        <f t="shared" ref="R1155:R1201" si="167">PROPER(F1155)</f>
        <v>North</v>
      </c>
      <c r="S1155" t="str">
        <f t="shared" ref="S1155:S1201" si="168">PROPER(G1155)</f>
        <v>Jaipur</v>
      </c>
      <c r="T1155">
        <f t="shared" ref="T1155:T1201" si="169">H1155*I1155*(1-J1155)</f>
        <v>23106.399999999998</v>
      </c>
      <c r="U1155" t="str">
        <f t="shared" ref="U1155:U1201" si="170">IF(ROUND(K1155,2)=ROUND(T1155,2),"OK","CHECK")</f>
        <v>OK</v>
      </c>
    </row>
    <row r="1156" spans="1:21" x14ac:dyDescent="0.3">
      <c r="A1156" t="s">
        <v>1394</v>
      </c>
      <c r="B1156" s="3">
        <v>45767</v>
      </c>
      <c r="C1156" t="s">
        <v>272</v>
      </c>
      <c r="D1156" t="s">
        <v>65</v>
      </c>
      <c r="E1156" t="s">
        <v>26</v>
      </c>
      <c r="F1156" t="s">
        <v>16</v>
      </c>
      <c r="G1156" t="s">
        <v>17</v>
      </c>
      <c r="H1156">
        <v>4</v>
      </c>
      <c r="I1156">
        <v>1387</v>
      </c>
      <c r="J1156">
        <v>0</v>
      </c>
      <c r="K1156">
        <v>5548</v>
      </c>
      <c r="L1156">
        <v>641.64</v>
      </c>
      <c r="M1156" t="str">
        <f t="shared" si="162"/>
        <v>Electric Kettle</v>
      </c>
      <c r="N1156" t="str">
        <f t="shared" si="163"/>
        <v>Guwahati</v>
      </c>
      <c r="O1156" t="str">
        <f t="shared" si="164"/>
        <v>East</v>
      </c>
      <c r="P1156" t="str">
        <f t="shared" si="165"/>
        <v>Home Appliances</v>
      </c>
      <c r="Q1156" t="str">
        <f t="shared" si="166"/>
        <v>Home Appliances</v>
      </c>
      <c r="R1156" t="str">
        <f t="shared" si="167"/>
        <v>East</v>
      </c>
      <c r="S1156" t="str">
        <f t="shared" si="168"/>
        <v>Guwahati</v>
      </c>
      <c r="T1156">
        <f t="shared" si="169"/>
        <v>5548</v>
      </c>
      <c r="U1156" t="str">
        <f t="shared" si="170"/>
        <v>OK</v>
      </c>
    </row>
    <row r="1157" spans="1:21" x14ac:dyDescent="0.3">
      <c r="A1157" t="s">
        <v>1395</v>
      </c>
      <c r="B1157" s="3">
        <v>45728</v>
      </c>
      <c r="C1157" t="s">
        <v>163</v>
      </c>
      <c r="D1157" t="s">
        <v>47</v>
      </c>
      <c r="E1157" t="s">
        <v>26</v>
      </c>
      <c r="F1157" t="s">
        <v>16</v>
      </c>
      <c r="G1157" t="s">
        <v>104</v>
      </c>
      <c r="H1157">
        <v>4</v>
      </c>
      <c r="I1157">
        <v>20687</v>
      </c>
      <c r="J1157">
        <v>0.05</v>
      </c>
      <c r="K1157">
        <v>78610.600000000006</v>
      </c>
      <c r="L1157">
        <v>13554.68</v>
      </c>
      <c r="M1157" t="str">
        <f t="shared" si="162"/>
        <v>Air Purifier</v>
      </c>
      <c r="N1157" t="str">
        <f t="shared" si="163"/>
        <v>Bhubaneswar</v>
      </c>
      <c r="O1157" t="str">
        <f t="shared" si="164"/>
        <v>East</v>
      </c>
      <c r="P1157" t="str">
        <f t="shared" si="165"/>
        <v>Home Appliances</v>
      </c>
      <c r="Q1157" t="str">
        <f t="shared" si="166"/>
        <v>Home Appliances</v>
      </c>
      <c r="R1157" t="str">
        <f t="shared" si="167"/>
        <v>East</v>
      </c>
      <c r="S1157" t="str">
        <f t="shared" si="168"/>
        <v>Bhubaneswar</v>
      </c>
      <c r="T1157">
        <f t="shared" si="169"/>
        <v>78610.599999999991</v>
      </c>
      <c r="U1157" t="str">
        <f t="shared" si="170"/>
        <v>OK</v>
      </c>
    </row>
    <row r="1158" spans="1:21" x14ac:dyDescent="0.3">
      <c r="A1158" t="s">
        <v>1396</v>
      </c>
      <c r="B1158" s="3">
        <v>46016</v>
      </c>
      <c r="C1158" t="s">
        <v>429</v>
      </c>
      <c r="D1158" t="s">
        <v>83</v>
      </c>
      <c r="E1158" t="s">
        <v>73</v>
      </c>
      <c r="F1158" t="s">
        <v>16</v>
      </c>
      <c r="G1158" t="s">
        <v>104</v>
      </c>
      <c r="H1158">
        <v>1</v>
      </c>
      <c r="I1158">
        <v>256</v>
      </c>
      <c r="J1158">
        <v>0.05</v>
      </c>
      <c r="K1158">
        <v>243.2</v>
      </c>
      <c r="L1158">
        <v>43.21</v>
      </c>
      <c r="M1158" t="str">
        <f t="shared" si="162"/>
        <v>Printer Paper</v>
      </c>
      <c r="N1158" t="str">
        <f t="shared" si="163"/>
        <v>Bhubaneswar</v>
      </c>
      <c r="O1158" t="str">
        <f t="shared" si="164"/>
        <v>East</v>
      </c>
      <c r="P1158" t="str">
        <f t="shared" si="165"/>
        <v>Office Supplies</v>
      </c>
      <c r="Q1158" t="str">
        <f t="shared" si="166"/>
        <v>Office Supplies</v>
      </c>
      <c r="R1158" t="str">
        <f t="shared" si="167"/>
        <v>East</v>
      </c>
      <c r="S1158" t="str">
        <f t="shared" si="168"/>
        <v>Bhubaneswar</v>
      </c>
      <c r="T1158">
        <f t="shared" si="169"/>
        <v>243.2</v>
      </c>
      <c r="U1158" t="str">
        <f t="shared" si="170"/>
        <v>OK</v>
      </c>
    </row>
    <row r="1159" spans="1:21" x14ac:dyDescent="0.3">
      <c r="A1159" t="s">
        <v>1397</v>
      </c>
      <c r="B1159" s="3">
        <v>45848</v>
      </c>
      <c r="C1159" t="s">
        <v>415</v>
      </c>
      <c r="D1159" t="s">
        <v>30</v>
      </c>
      <c r="E1159" t="s">
        <v>15</v>
      </c>
      <c r="F1159" t="s">
        <v>16</v>
      </c>
      <c r="G1159" t="s">
        <v>17</v>
      </c>
      <c r="H1159">
        <v>1</v>
      </c>
      <c r="I1159">
        <v>6088</v>
      </c>
      <c r="J1159">
        <v>0.05</v>
      </c>
      <c r="K1159">
        <v>5783.6</v>
      </c>
      <c r="L1159">
        <v>731.36</v>
      </c>
      <c r="M1159" t="str">
        <f t="shared" si="162"/>
        <v>Bookshelf</v>
      </c>
      <c r="N1159" t="str">
        <f t="shared" si="163"/>
        <v>Guwahati</v>
      </c>
      <c r="O1159" t="str">
        <f t="shared" si="164"/>
        <v>East</v>
      </c>
      <c r="P1159" t="str">
        <f t="shared" si="165"/>
        <v>Furniture</v>
      </c>
      <c r="Q1159" t="str">
        <f t="shared" si="166"/>
        <v>Furniture</v>
      </c>
      <c r="R1159" t="str">
        <f t="shared" si="167"/>
        <v>East</v>
      </c>
      <c r="S1159" t="str">
        <f t="shared" si="168"/>
        <v>Guwahati</v>
      </c>
      <c r="T1159">
        <f t="shared" si="169"/>
        <v>5783.5999999999995</v>
      </c>
      <c r="U1159" t="str">
        <f t="shared" si="170"/>
        <v>OK</v>
      </c>
    </row>
    <row r="1160" spans="1:21" x14ac:dyDescent="0.3">
      <c r="A1160" t="s">
        <v>1398</v>
      </c>
      <c r="B1160" s="3">
        <v>45677</v>
      </c>
      <c r="C1160" t="s">
        <v>71</v>
      </c>
      <c r="D1160" t="s">
        <v>120</v>
      </c>
      <c r="E1160" t="s">
        <v>51</v>
      </c>
      <c r="F1160" t="s">
        <v>58</v>
      </c>
      <c r="G1160" t="s">
        <v>69</v>
      </c>
      <c r="H1160">
        <v>3</v>
      </c>
      <c r="I1160">
        <v>599</v>
      </c>
      <c r="J1160">
        <v>0.05</v>
      </c>
      <c r="K1160">
        <v>1707.15</v>
      </c>
      <c r="L1160">
        <v>160.77000000000001</v>
      </c>
      <c r="M1160" t="str">
        <f t="shared" si="162"/>
        <v>Mouse</v>
      </c>
      <c r="N1160" t="str">
        <f t="shared" si="163"/>
        <v>Jaipur</v>
      </c>
      <c r="O1160" t="str">
        <f t="shared" si="164"/>
        <v>North</v>
      </c>
      <c r="P1160" t="str">
        <f t="shared" si="165"/>
        <v>Electronics</v>
      </c>
      <c r="Q1160" t="str">
        <f t="shared" si="166"/>
        <v>Electronics</v>
      </c>
      <c r="R1160" t="str">
        <f t="shared" si="167"/>
        <v>North</v>
      </c>
      <c r="S1160" t="str">
        <f t="shared" si="168"/>
        <v>Jaipur</v>
      </c>
      <c r="T1160">
        <f t="shared" si="169"/>
        <v>1707.1499999999999</v>
      </c>
      <c r="U1160" t="str">
        <f t="shared" si="170"/>
        <v>OK</v>
      </c>
    </row>
    <row r="1161" spans="1:21" x14ac:dyDescent="0.3">
      <c r="A1161" t="s">
        <v>1399</v>
      </c>
      <c r="B1161" s="3">
        <v>45958</v>
      </c>
      <c r="C1161" t="s">
        <v>141</v>
      </c>
      <c r="D1161" t="s">
        <v>307</v>
      </c>
      <c r="E1161" t="s">
        <v>73</v>
      </c>
      <c r="F1161" t="s">
        <v>27</v>
      </c>
      <c r="G1161" t="s">
        <v>40</v>
      </c>
      <c r="H1161">
        <v>1</v>
      </c>
      <c r="I1161">
        <v>159</v>
      </c>
      <c r="J1161">
        <v>0.1</v>
      </c>
      <c r="K1161">
        <v>143.1</v>
      </c>
      <c r="L1161">
        <v>22.19</v>
      </c>
      <c r="M1161" t="str">
        <f t="shared" si="162"/>
        <v>Notebook</v>
      </c>
      <c r="N1161" t="str">
        <f t="shared" si="163"/>
        <v>Chennai</v>
      </c>
      <c r="O1161" t="str">
        <f t="shared" si="164"/>
        <v>South</v>
      </c>
      <c r="P1161" t="str">
        <f t="shared" si="165"/>
        <v>Office Supplies</v>
      </c>
      <c r="Q1161" t="str">
        <f t="shared" si="166"/>
        <v>Office Supplies</v>
      </c>
      <c r="R1161" t="str">
        <f t="shared" si="167"/>
        <v>South</v>
      </c>
      <c r="S1161" t="str">
        <f t="shared" si="168"/>
        <v>Chennai</v>
      </c>
      <c r="T1161">
        <f t="shared" si="169"/>
        <v>143.1</v>
      </c>
      <c r="U1161" t="str">
        <f t="shared" si="170"/>
        <v>OK</v>
      </c>
    </row>
    <row r="1162" spans="1:21" x14ac:dyDescent="0.3">
      <c r="A1162" t="s">
        <v>1400</v>
      </c>
      <c r="B1162" s="3">
        <v>45870</v>
      </c>
      <c r="C1162" t="s">
        <v>228</v>
      </c>
      <c r="D1162" t="s">
        <v>97</v>
      </c>
      <c r="E1162" t="s">
        <v>44</v>
      </c>
      <c r="F1162" t="s">
        <v>21</v>
      </c>
      <c r="G1162" t="s">
        <v>22</v>
      </c>
      <c r="H1162">
        <v>3</v>
      </c>
      <c r="I1162">
        <v>661</v>
      </c>
      <c r="J1162">
        <v>0.15</v>
      </c>
      <c r="K1162">
        <v>1685.55</v>
      </c>
      <c r="L1162">
        <v>412.25</v>
      </c>
      <c r="M1162" t="str">
        <f t="shared" si="162"/>
        <v>USB Cable</v>
      </c>
      <c r="N1162" t="str">
        <f t="shared" si="163"/>
        <v>Ahmedabad</v>
      </c>
      <c r="O1162" t="str">
        <f t="shared" si="164"/>
        <v>West</v>
      </c>
      <c r="P1162" t="str">
        <f t="shared" si="165"/>
        <v>Accessories</v>
      </c>
      <c r="Q1162" t="str">
        <f t="shared" si="166"/>
        <v>Accessories</v>
      </c>
      <c r="R1162" t="str">
        <f t="shared" si="167"/>
        <v>West</v>
      </c>
      <c r="S1162" t="str">
        <f t="shared" si="168"/>
        <v>Ahmedabad</v>
      </c>
      <c r="T1162">
        <f t="shared" si="169"/>
        <v>1685.55</v>
      </c>
      <c r="U1162" t="str">
        <f t="shared" si="170"/>
        <v>OK</v>
      </c>
    </row>
    <row r="1163" spans="1:21" x14ac:dyDescent="0.3">
      <c r="A1163" t="s">
        <v>1401</v>
      </c>
      <c r="B1163" s="3">
        <v>45999</v>
      </c>
      <c r="C1163" t="s">
        <v>170</v>
      </c>
      <c r="D1163" t="s">
        <v>88</v>
      </c>
      <c r="E1163" t="s">
        <v>73</v>
      </c>
      <c r="F1163" t="s">
        <v>27</v>
      </c>
      <c r="G1163" t="s">
        <v>28</v>
      </c>
      <c r="H1163">
        <v>3</v>
      </c>
      <c r="I1163">
        <v>215</v>
      </c>
      <c r="J1163">
        <v>0</v>
      </c>
      <c r="K1163">
        <v>645</v>
      </c>
      <c r="L1163">
        <v>143.87</v>
      </c>
      <c r="M1163" t="str">
        <f t="shared" si="162"/>
        <v>Stapler</v>
      </c>
      <c r="N1163" t="str">
        <f t="shared" si="163"/>
        <v>Bengaluru</v>
      </c>
      <c r="O1163" t="str">
        <f t="shared" si="164"/>
        <v>South</v>
      </c>
      <c r="P1163" t="str">
        <f t="shared" si="165"/>
        <v>Office Supplies</v>
      </c>
      <c r="Q1163" t="str">
        <f t="shared" si="166"/>
        <v>Office Supplies</v>
      </c>
      <c r="R1163" t="str">
        <f t="shared" si="167"/>
        <v>South</v>
      </c>
      <c r="S1163" t="str">
        <f t="shared" si="168"/>
        <v>Bengaluru</v>
      </c>
      <c r="T1163">
        <f t="shared" si="169"/>
        <v>645</v>
      </c>
      <c r="U1163" t="str">
        <f t="shared" si="170"/>
        <v>OK</v>
      </c>
    </row>
    <row r="1164" spans="1:21" x14ac:dyDescent="0.3">
      <c r="A1164" t="s">
        <v>1402</v>
      </c>
      <c r="B1164" s="3">
        <v>45997</v>
      </c>
      <c r="C1164" t="s">
        <v>159</v>
      </c>
      <c r="D1164" t="s">
        <v>30</v>
      </c>
      <c r="E1164" t="s">
        <v>15</v>
      </c>
      <c r="F1164" t="s">
        <v>27</v>
      </c>
      <c r="G1164" t="s">
        <v>31</v>
      </c>
      <c r="H1164">
        <v>1</v>
      </c>
      <c r="I1164">
        <v>10213</v>
      </c>
      <c r="J1164">
        <v>0.1</v>
      </c>
      <c r="K1164">
        <v>9191.7000000000007</v>
      </c>
      <c r="L1164">
        <v>982.99</v>
      </c>
      <c r="M1164" t="str">
        <f t="shared" si="162"/>
        <v>Bookshelf</v>
      </c>
      <c r="N1164" t="str">
        <f t="shared" si="163"/>
        <v>Hyderabad</v>
      </c>
      <c r="O1164" t="str">
        <f t="shared" si="164"/>
        <v>South</v>
      </c>
      <c r="P1164" t="str">
        <f t="shared" si="165"/>
        <v>Furniture</v>
      </c>
      <c r="Q1164" t="str">
        <f t="shared" si="166"/>
        <v>Furniture</v>
      </c>
      <c r="R1164" t="str">
        <f t="shared" si="167"/>
        <v>South</v>
      </c>
      <c r="S1164" t="str">
        <f t="shared" si="168"/>
        <v>Hyderabad</v>
      </c>
      <c r="T1164">
        <f t="shared" si="169"/>
        <v>9191.7000000000007</v>
      </c>
      <c r="U1164" t="str">
        <f t="shared" si="170"/>
        <v>OK</v>
      </c>
    </row>
    <row r="1165" spans="1:21" x14ac:dyDescent="0.3">
      <c r="A1165" t="s">
        <v>1403</v>
      </c>
      <c r="B1165" s="3">
        <v>45807</v>
      </c>
      <c r="C1165" t="s">
        <v>436</v>
      </c>
      <c r="D1165" t="s">
        <v>20</v>
      </c>
      <c r="E1165" t="s">
        <v>15</v>
      </c>
      <c r="F1165" t="s">
        <v>21</v>
      </c>
      <c r="G1165" t="s">
        <v>55</v>
      </c>
      <c r="H1165">
        <v>2</v>
      </c>
      <c r="I1165">
        <v>8905</v>
      </c>
      <c r="J1165">
        <v>0</v>
      </c>
      <c r="K1165">
        <v>17810</v>
      </c>
      <c r="L1165">
        <v>3822.75</v>
      </c>
      <c r="M1165" t="str">
        <f t="shared" si="162"/>
        <v>Filing Cabinet</v>
      </c>
      <c r="N1165" t="str">
        <f t="shared" si="163"/>
        <v>Pune</v>
      </c>
      <c r="O1165" t="str">
        <f t="shared" si="164"/>
        <v>West</v>
      </c>
      <c r="P1165" t="str">
        <f t="shared" si="165"/>
        <v>Furniture</v>
      </c>
      <c r="Q1165" t="str">
        <f t="shared" si="166"/>
        <v>Furniture</v>
      </c>
      <c r="R1165" t="str">
        <f t="shared" si="167"/>
        <v>West</v>
      </c>
      <c r="S1165" t="str">
        <f t="shared" si="168"/>
        <v>Pune</v>
      </c>
      <c r="T1165">
        <f t="shared" si="169"/>
        <v>17810</v>
      </c>
      <c r="U1165" t="str">
        <f t="shared" si="170"/>
        <v>OK</v>
      </c>
    </row>
    <row r="1166" spans="1:21" x14ac:dyDescent="0.3">
      <c r="A1166" t="s">
        <v>1404</v>
      </c>
      <c r="B1166" s="3">
        <v>45891</v>
      </c>
      <c r="C1166" t="s">
        <v>792</v>
      </c>
      <c r="D1166" t="s">
        <v>97</v>
      </c>
      <c r="E1166" t="s">
        <v>44</v>
      </c>
      <c r="F1166" t="s">
        <v>58</v>
      </c>
      <c r="G1166" t="s">
        <v>59</v>
      </c>
      <c r="H1166">
        <v>2</v>
      </c>
      <c r="I1166">
        <v>676</v>
      </c>
      <c r="J1166">
        <v>0.05</v>
      </c>
      <c r="K1166">
        <v>1284.4000000000001</v>
      </c>
      <c r="L1166">
        <v>220.31</v>
      </c>
      <c r="M1166" t="str">
        <f t="shared" si="162"/>
        <v>USB Cable</v>
      </c>
      <c r="N1166" t="str">
        <f t="shared" si="163"/>
        <v>Chandigarh</v>
      </c>
      <c r="O1166" t="str">
        <f t="shared" si="164"/>
        <v>North</v>
      </c>
      <c r="P1166" t="str">
        <f t="shared" si="165"/>
        <v>Accessories</v>
      </c>
      <c r="Q1166" t="str">
        <f t="shared" si="166"/>
        <v>Accessories</v>
      </c>
      <c r="R1166" t="str">
        <f t="shared" si="167"/>
        <v>North</v>
      </c>
      <c r="S1166" t="str">
        <f t="shared" si="168"/>
        <v>Chandigarh</v>
      </c>
      <c r="T1166">
        <f t="shared" si="169"/>
        <v>1284.3999999999999</v>
      </c>
      <c r="U1166" t="str">
        <f t="shared" si="170"/>
        <v>OK</v>
      </c>
    </row>
    <row r="1167" spans="1:21" x14ac:dyDescent="0.3">
      <c r="A1167" t="s">
        <v>1405</v>
      </c>
      <c r="B1167" s="3">
        <v>45894</v>
      </c>
      <c r="C1167" t="s">
        <v>187</v>
      </c>
      <c r="D1167" t="s">
        <v>83</v>
      </c>
      <c r="E1167" t="s">
        <v>73</v>
      </c>
      <c r="F1167" t="s">
        <v>21</v>
      </c>
      <c r="G1167" t="s">
        <v>35</v>
      </c>
      <c r="H1167">
        <v>1</v>
      </c>
      <c r="I1167">
        <v>552</v>
      </c>
      <c r="J1167">
        <v>0.1</v>
      </c>
      <c r="K1167">
        <v>496.8</v>
      </c>
      <c r="L1167">
        <v>127.58</v>
      </c>
      <c r="M1167" t="str">
        <f t="shared" si="162"/>
        <v>Printer Paper</v>
      </c>
      <c r="N1167" t="str">
        <f t="shared" si="163"/>
        <v>Mumbai</v>
      </c>
      <c r="O1167" t="str">
        <f t="shared" si="164"/>
        <v>West</v>
      </c>
      <c r="P1167" t="str">
        <f t="shared" si="165"/>
        <v>Office Supplies</v>
      </c>
      <c r="Q1167" t="str">
        <f t="shared" si="166"/>
        <v>Office Supplies</v>
      </c>
      <c r="R1167" t="str">
        <f t="shared" si="167"/>
        <v>West</v>
      </c>
      <c r="S1167" t="str">
        <f t="shared" si="168"/>
        <v>Mumbai</v>
      </c>
      <c r="T1167">
        <f t="shared" si="169"/>
        <v>496.8</v>
      </c>
      <c r="U1167" t="str">
        <f t="shared" si="170"/>
        <v>OK</v>
      </c>
    </row>
    <row r="1168" spans="1:21" x14ac:dyDescent="0.3">
      <c r="A1168" t="s">
        <v>1406</v>
      </c>
      <c r="B1168" s="3">
        <v>45722</v>
      </c>
      <c r="C1168" t="s">
        <v>731</v>
      </c>
      <c r="D1168" t="s">
        <v>72</v>
      </c>
      <c r="E1168" t="s">
        <v>73</v>
      </c>
      <c r="F1168" t="s">
        <v>16</v>
      </c>
      <c r="G1168" t="s">
        <v>17</v>
      </c>
      <c r="H1168">
        <v>1</v>
      </c>
      <c r="I1168">
        <v>351</v>
      </c>
      <c r="J1168">
        <v>0</v>
      </c>
      <c r="K1168">
        <v>351</v>
      </c>
      <c r="L1168">
        <v>48.52</v>
      </c>
      <c r="M1168" t="str">
        <f t="shared" si="162"/>
        <v>Desk Organizer</v>
      </c>
      <c r="N1168" t="str">
        <f t="shared" si="163"/>
        <v>Guwahati</v>
      </c>
      <c r="O1168" t="str">
        <f t="shared" si="164"/>
        <v>East</v>
      </c>
      <c r="P1168" t="str">
        <f t="shared" si="165"/>
        <v>Office Supplies</v>
      </c>
      <c r="Q1168" t="str">
        <f t="shared" si="166"/>
        <v>Office Supplies</v>
      </c>
      <c r="R1168" t="str">
        <f t="shared" si="167"/>
        <v>East</v>
      </c>
      <c r="S1168" t="str">
        <f t="shared" si="168"/>
        <v>Guwahati</v>
      </c>
      <c r="T1168">
        <f t="shared" si="169"/>
        <v>351</v>
      </c>
      <c r="U1168" t="str">
        <f t="shared" si="170"/>
        <v>OK</v>
      </c>
    </row>
    <row r="1169" spans="1:21" x14ac:dyDescent="0.3">
      <c r="A1169" t="s">
        <v>1407</v>
      </c>
      <c r="B1169" s="3">
        <v>45895</v>
      </c>
      <c r="C1169" t="s">
        <v>368</v>
      </c>
      <c r="D1169" t="s">
        <v>50</v>
      </c>
      <c r="E1169" t="s">
        <v>51</v>
      </c>
      <c r="F1169" t="s">
        <v>27</v>
      </c>
      <c r="G1169" t="s">
        <v>31</v>
      </c>
      <c r="H1169">
        <v>1</v>
      </c>
      <c r="I1169">
        <v>1069</v>
      </c>
      <c r="J1169">
        <v>0.05</v>
      </c>
      <c r="K1169">
        <v>1015.55</v>
      </c>
      <c r="L1169">
        <v>183.07</v>
      </c>
      <c r="M1169" t="str">
        <f t="shared" si="162"/>
        <v>Keyboard</v>
      </c>
      <c r="N1169" t="str">
        <f t="shared" si="163"/>
        <v>Hyderabad</v>
      </c>
      <c r="O1169" t="str">
        <f t="shared" si="164"/>
        <v>South</v>
      </c>
      <c r="P1169" t="str">
        <f t="shared" si="165"/>
        <v>Electronics</v>
      </c>
      <c r="Q1169" t="str">
        <f t="shared" si="166"/>
        <v>Electronics</v>
      </c>
      <c r="R1169" t="str">
        <f t="shared" si="167"/>
        <v>South</v>
      </c>
      <c r="S1169" t="str">
        <f t="shared" si="168"/>
        <v>Hyderabad</v>
      </c>
      <c r="T1169">
        <f t="shared" si="169"/>
        <v>1015.55</v>
      </c>
      <c r="U1169" t="str">
        <f t="shared" si="170"/>
        <v>OK</v>
      </c>
    </row>
    <row r="1170" spans="1:21" x14ac:dyDescent="0.3">
      <c r="A1170" t="s">
        <v>1408</v>
      </c>
      <c r="B1170" s="3">
        <v>45952</v>
      </c>
      <c r="C1170" t="s">
        <v>507</v>
      </c>
      <c r="D1170" t="s">
        <v>120</v>
      </c>
      <c r="E1170" t="s">
        <v>51</v>
      </c>
      <c r="F1170" t="s">
        <v>16</v>
      </c>
      <c r="G1170" t="s">
        <v>104</v>
      </c>
      <c r="H1170">
        <v>1</v>
      </c>
      <c r="I1170">
        <v>533</v>
      </c>
      <c r="J1170">
        <v>0.05</v>
      </c>
      <c r="K1170">
        <v>506.35</v>
      </c>
      <c r="L1170">
        <v>102.85</v>
      </c>
      <c r="M1170" t="str">
        <f t="shared" si="162"/>
        <v>Mouse</v>
      </c>
      <c r="N1170" t="str">
        <f t="shared" si="163"/>
        <v>Bhubaneswar</v>
      </c>
      <c r="O1170" t="str">
        <f t="shared" si="164"/>
        <v>East</v>
      </c>
      <c r="P1170" t="str">
        <f t="shared" si="165"/>
        <v>Electronics</v>
      </c>
      <c r="Q1170" t="str">
        <f t="shared" si="166"/>
        <v>Electronics</v>
      </c>
      <c r="R1170" t="str">
        <f t="shared" si="167"/>
        <v>East</v>
      </c>
      <c r="S1170" t="str">
        <f t="shared" si="168"/>
        <v>Bhubaneswar</v>
      </c>
      <c r="T1170">
        <f t="shared" si="169"/>
        <v>506.34999999999997</v>
      </c>
      <c r="U1170" t="str">
        <f t="shared" si="170"/>
        <v>OK</v>
      </c>
    </row>
    <row r="1171" spans="1:21" x14ac:dyDescent="0.3">
      <c r="A1171" t="s">
        <v>1409</v>
      </c>
      <c r="B1171" s="3">
        <v>45822</v>
      </c>
      <c r="C1171" t="s">
        <v>163</v>
      </c>
      <c r="D1171" t="s">
        <v>68</v>
      </c>
      <c r="E1171" t="s">
        <v>44</v>
      </c>
      <c r="F1171" t="s">
        <v>21</v>
      </c>
      <c r="G1171" t="s">
        <v>35</v>
      </c>
      <c r="H1171">
        <v>5</v>
      </c>
      <c r="I1171">
        <v>2913</v>
      </c>
      <c r="J1171">
        <v>0</v>
      </c>
      <c r="K1171">
        <v>14565</v>
      </c>
      <c r="L1171">
        <v>1280</v>
      </c>
      <c r="M1171" t="str">
        <f t="shared" si="162"/>
        <v>Webcam</v>
      </c>
      <c r="N1171" t="str">
        <f t="shared" si="163"/>
        <v>Mumbai</v>
      </c>
      <c r="O1171" t="str">
        <f t="shared" si="164"/>
        <v>West</v>
      </c>
      <c r="P1171" t="str">
        <f t="shared" si="165"/>
        <v>Accessories</v>
      </c>
      <c r="Q1171" t="str">
        <f t="shared" si="166"/>
        <v>Accessories</v>
      </c>
      <c r="R1171" t="str">
        <f t="shared" si="167"/>
        <v>West</v>
      </c>
      <c r="S1171" t="str">
        <f t="shared" si="168"/>
        <v>Mumbai</v>
      </c>
      <c r="T1171">
        <f t="shared" si="169"/>
        <v>14565</v>
      </c>
      <c r="U1171" t="str">
        <f t="shared" si="170"/>
        <v>OK</v>
      </c>
    </row>
    <row r="1172" spans="1:21" x14ac:dyDescent="0.3">
      <c r="A1172" t="s">
        <v>1410</v>
      </c>
      <c r="B1172" s="3">
        <v>45739</v>
      </c>
      <c r="C1172" t="s">
        <v>555</v>
      </c>
      <c r="D1172" t="s">
        <v>50</v>
      </c>
      <c r="E1172" t="s">
        <v>51</v>
      </c>
      <c r="F1172" t="s">
        <v>58</v>
      </c>
      <c r="G1172" t="s">
        <v>59</v>
      </c>
      <c r="H1172">
        <v>2</v>
      </c>
      <c r="I1172">
        <v>2484</v>
      </c>
      <c r="J1172">
        <v>0</v>
      </c>
      <c r="K1172">
        <v>4968</v>
      </c>
      <c r="L1172">
        <v>863.87</v>
      </c>
      <c r="M1172" t="str">
        <f t="shared" si="162"/>
        <v>Keyboard</v>
      </c>
      <c r="N1172" t="str">
        <f t="shared" si="163"/>
        <v>Chandigarh</v>
      </c>
      <c r="O1172" t="str">
        <f t="shared" si="164"/>
        <v>North</v>
      </c>
      <c r="P1172" t="str">
        <f t="shared" si="165"/>
        <v>Electronics</v>
      </c>
      <c r="Q1172" t="str">
        <f t="shared" si="166"/>
        <v>Electronics</v>
      </c>
      <c r="R1172" t="str">
        <f t="shared" si="167"/>
        <v>North</v>
      </c>
      <c r="S1172" t="str">
        <f t="shared" si="168"/>
        <v>Chandigarh</v>
      </c>
      <c r="T1172">
        <f t="shared" si="169"/>
        <v>4968</v>
      </c>
      <c r="U1172" t="str">
        <f t="shared" si="170"/>
        <v>OK</v>
      </c>
    </row>
    <row r="1173" spans="1:21" x14ac:dyDescent="0.3">
      <c r="A1173" t="s">
        <v>1411</v>
      </c>
      <c r="B1173" s="3">
        <v>45704</v>
      </c>
      <c r="C1173" t="s">
        <v>358</v>
      </c>
      <c r="D1173" t="s">
        <v>120</v>
      </c>
      <c r="E1173" t="s">
        <v>51</v>
      </c>
      <c r="F1173" t="s">
        <v>27</v>
      </c>
      <c r="G1173" t="s">
        <v>28</v>
      </c>
      <c r="H1173">
        <v>4</v>
      </c>
      <c r="I1173">
        <v>1609</v>
      </c>
      <c r="J1173">
        <v>0</v>
      </c>
      <c r="K1173">
        <v>6436</v>
      </c>
      <c r="L1173">
        <v>1107.8699999999999</v>
      </c>
      <c r="M1173" t="str">
        <f t="shared" si="162"/>
        <v>Mouse</v>
      </c>
      <c r="N1173" t="str">
        <f t="shared" si="163"/>
        <v>Bengaluru</v>
      </c>
      <c r="O1173" t="str">
        <f t="shared" si="164"/>
        <v>South</v>
      </c>
      <c r="P1173" t="str">
        <f t="shared" si="165"/>
        <v>Electronics</v>
      </c>
      <c r="Q1173" t="str">
        <f t="shared" si="166"/>
        <v>Electronics</v>
      </c>
      <c r="R1173" t="str">
        <f t="shared" si="167"/>
        <v>South</v>
      </c>
      <c r="S1173" t="str">
        <f t="shared" si="168"/>
        <v>Bengaluru</v>
      </c>
      <c r="T1173">
        <f t="shared" si="169"/>
        <v>6436</v>
      </c>
      <c r="U1173" t="str">
        <f t="shared" si="170"/>
        <v>OK</v>
      </c>
    </row>
    <row r="1174" spans="1:21" x14ac:dyDescent="0.3">
      <c r="A1174" t="s">
        <v>1412</v>
      </c>
      <c r="B1174" s="3">
        <v>45947</v>
      </c>
      <c r="C1174" t="s">
        <v>429</v>
      </c>
      <c r="D1174" t="s">
        <v>103</v>
      </c>
      <c r="E1174" t="s">
        <v>51</v>
      </c>
      <c r="F1174" t="s">
        <v>58</v>
      </c>
      <c r="G1174" t="s">
        <v>126</v>
      </c>
      <c r="H1174">
        <v>1</v>
      </c>
      <c r="I1174">
        <v>8481</v>
      </c>
      <c r="J1174">
        <v>0.05</v>
      </c>
      <c r="K1174">
        <v>8056.95</v>
      </c>
      <c r="L1174">
        <v>2005.71</v>
      </c>
      <c r="M1174" t="str">
        <f t="shared" si="162"/>
        <v>Headphones</v>
      </c>
      <c r="N1174" t="str">
        <f t="shared" si="163"/>
        <v>Delhi</v>
      </c>
      <c r="O1174" t="str">
        <f t="shared" si="164"/>
        <v>North</v>
      </c>
      <c r="P1174" t="str">
        <f t="shared" si="165"/>
        <v>Electronics</v>
      </c>
      <c r="Q1174" t="str">
        <f t="shared" si="166"/>
        <v>Electronics</v>
      </c>
      <c r="R1174" t="str">
        <f t="shared" si="167"/>
        <v>North</v>
      </c>
      <c r="S1174" t="str">
        <f t="shared" si="168"/>
        <v>Delhi</v>
      </c>
      <c r="T1174">
        <f t="shared" si="169"/>
        <v>8056.95</v>
      </c>
      <c r="U1174" t="str">
        <f t="shared" si="170"/>
        <v>OK</v>
      </c>
    </row>
    <row r="1175" spans="1:21" x14ac:dyDescent="0.3">
      <c r="A1175" t="s">
        <v>1413</v>
      </c>
      <c r="B1175" s="3">
        <v>45912</v>
      </c>
      <c r="C1175" t="s">
        <v>100</v>
      </c>
      <c r="D1175" t="s">
        <v>50</v>
      </c>
      <c r="E1175" t="s">
        <v>51</v>
      </c>
      <c r="F1175" t="s">
        <v>58</v>
      </c>
      <c r="G1175" t="s">
        <v>69</v>
      </c>
      <c r="H1175">
        <v>2</v>
      </c>
      <c r="I1175">
        <v>993</v>
      </c>
      <c r="J1175">
        <v>0</v>
      </c>
      <c r="K1175">
        <v>1986</v>
      </c>
      <c r="L1175">
        <v>242.45</v>
      </c>
      <c r="M1175" t="str">
        <f t="shared" si="162"/>
        <v>Keyboard</v>
      </c>
      <c r="N1175" t="str">
        <f t="shared" si="163"/>
        <v>Jaipur</v>
      </c>
      <c r="O1175" t="str">
        <f t="shared" si="164"/>
        <v>North</v>
      </c>
      <c r="P1175" t="str">
        <f t="shared" si="165"/>
        <v>Electronics</v>
      </c>
      <c r="Q1175" t="str">
        <f t="shared" si="166"/>
        <v>Electronics</v>
      </c>
      <c r="R1175" t="str">
        <f t="shared" si="167"/>
        <v>North</v>
      </c>
      <c r="S1175" t="str">
        <f t="shared" si="168"/>
        <v>Jaipur</v>
      </c>
      <c r="T1175">
        <f t="shared" si="169"/>
        <v>1986</v>
      </c>
      <c r="U1175" t="str">
        <f t="shared" si="170"/>
        <v>OK</v>
      </c>
    </row>
    <row r="1176" spans="1:21" x14ac:dyDescent="0.3">
      <c r="A1176" t="s">
        <v>1414</v>
      </c>
      <c r="B1176" s="3">
        <v>45872</v>
      </c>
      <c r="C1176" t="s">
        <v>492</v>
      </c>
      <c r="D1176" t="s">
        <v>307</v>
      </c>
      <c r="E1176" t="s">
        <v>73</v>
      </c>
      <c r="F1176" t="s">
        <v>27</v>
      </c>
      <c r="G1176" t="s">
        <v>31</v>
      </c>
      <c r="H1176">
        <v>1</v>
      </c>
      <c r="I1176">
        <v>247</v>
      </c>
      <c r="J1176">
        <v>0.15</v>
      </c>
      <c r="K1176">
        <v>209.95</v>
      </c>
      <c r="L1176">
        <v>20.91</v>
      </c>
      <c r="M1176" t="str">
        <f t="shared" si="162"/>
        <v>Notebook</v>
      </c>
      <c r="N1176" t="str">
        <f t="shared" si="163"/>
        <v>Hyderabad</v>
      </c>
      <c r="O1176" t="str">
        <f t="shared" si="164"/>
        <v>South</v>
      </c>
      <c r="P1176" t="str">
        <f t="shared" si="165"/>
        <v>Office Supplies</v>
      </c>
      <c r="Q1176" t="str">
        <f t="shared" si="166"/>
        <v>Office Supplies</v>
      </c>
      <c r="R1176" t="str">
        <f t="shared" si="167"/>
        <v>South</v>
      </c>
      <c r="S1176" t="str">
        <f t="shared" si="168"/>
        <v>Hyderabad</v>
      </c>
      <c r="T1176">
        <f t="shared" si="169"/>
        <v>209.95</v>
      </c>
      <c r="U1176" t="str">
        <f t="shared" si="170"/>
        <v>OK</v>
      </c>
    </row>
    <row r="1177" spans="1:21" x14ac:dyDescent="0.3">
      <c r="A1177" t="s">
        <v>1415</v>
      </c>
      <c r="B1177" s="3">
        <v>45723</v>
      </c>
      <c r="C1177" t="s">
        <v>211</v>
      </c>
      <c r="D1177" t="s">
        <v>68</v>
      </c>
      <c r="E1177" t="s">
        <v>44</v>
      </c>
      <c r="F1177" t="s">
        <v>27</v>
      </c>
      <c r="G1177" t="s">
        <v>40</v>
      </c>
      <c r="H1177">
        <v>1</v>
      </c>
      <c r="I1177">
        <v>5784</v>
      </c>
      <c r="J1177">
        <v>0.05</v>
      </c>
      <c r="K1177">
        <v>5494.8</v>
      </c>
      <c r="L1177">
        <v>996.91</v>
      </c>
      <c r="M1177" t="str">
        <f t="shared" si="162"/>
        <v>Webcam</v>
      </c>
      <c r="N1177" t="str">
        <f t="shared" si="163"/>
        <v>Chennai</v>
      </c>
      <c r="O1177" t="str">
        <f t="shared" si="164"/>
        <v>South</v>
      </c>
      <c r="P1177" t="str">
        <f t="shared" si="165"/>
        <v>Accessories</v>
      </c>
      <c r="Q1177" t="str">
        <f t="shared" si="166"/>
        <v>Accessories</v>
      </c>
      <c r="R1177" t="str">
        <f t="shared" si="167"/>
        <v>South</v>
      </c>
      <c r="S1177" t="str">
        <f t="shared" si="168"/>
        <v>Chennai</v>
      </c>
      <c r="T1177">
        <f t="shared" si="169"/>
        <v>5494.8</v>
      </c>
      <c r="U1177" t="str">
        <f t="shared" si="170"/>
        <v>OK</v>
      </c>
    </row>
    <row r="1178" spans="1:21" x14ac:dyDescent="0.3">
      <c r="A1178" t="s">
        <v>1416</v>
      </c>
      <c r="B1178" s="3">
        <v>45816</v>
      </c>
      <c r="C1178" t="s">
        <v>215</v>
      </c>
      <c r="D1178" t="s">
        <v>153</v>
      </c>
      <c r="E1178" t="s">
        <v>26</v>
      </c>
      <c r="F1178" t="s">
        <v>21</v>
      </c>
      <c r="G1178" t="s">
        <v>35</v>
      </c>
      <c r="H1178">
        <v>1</v>
      </c>
      <c r="I1178">
        <v>7459</v>
      </c>
      <c r="J1178">
        <v>0.1</v>
      </c>
      <c r="K1178">
        <v>6713.1</v>
      </c>
      <c r="L1178">
        <v>551.4</v>
      </c>
      <c r="M1178" t="str">
        <f t="shared" si="162"/>
        <v>Coffee Maker</v>
      </c>
      <c r="N1178" t="str">
        <f t="shared" si="163"/>
        <v>Mumbai</v>
      </c>
      <c r="O1178" t="str">
        <f t="shared" si="164"/>
        <v>West</v>
      </c>
      <c r="P1178" t="str">
        <f t="shared" si="165"/>
        <v>Home Appliances</v>
      </c>
      <c r="Q1178" t="str">
        <f t="shared" si="166"/>
        <v>Home Appliances</v>
      </c>
      <c r="R1178" t="str">
        <f t="shared" si="167"/>
        <v>West</v>
      </c>
      <c r="S1178" t="str">
        <f t="shared" si="168"/>
        <v>Mumbai</v>
      </c>
      <c r="T1178">
        <f t="shared" si="169"/>
        <v>6713.1</v>
      </c>
      <c r="U1178" t="str">
        <f t="shared" si="170"/>
        <v>OK</v>
      </c>
    </row>
    <row r="1179" spans="1:21" x14ac:dyDescent="0.3">
      <c r="A1179" t="s">
        <v>1417</v>
      </c>
      <c r="B1179" s="3">
        <v>45928</v>
      </c>
      <c r="C1179" t="s">
        <v>463</v>
      </c>
      <c r="D1179" t="s">
        <v>43</v>
      </c>
      <c r="E1179" t="s">
        <v>44</v>
      </c>
      <c r="F1179" t="s">
        <v>58</v>
      </c>
      <c r="G1179" t="s">
        <v>59</v>
      </c>
      <c r="H1179">
        <v>1</v>
      </c>
      <c r="I1179">
        <v>423</v>
      </c>
      <c r="J1179">
        <v>0</v>
      </c>
      <c r="K1179">
        <v>423</v>
      </c>
      <c r="L1179">
        <v>38.18</v>
      </c>
      <c r="M1179" t="str">
        <f t="shared" si="162"/>
        <v>Phone Holder</v>
      </c>
      <c r="N1179" t="str">
        <f t="shared" si="163"/>
        <v>Chandigarh</v>
      </c>
      <c r="O1179" t="str">
        <f t="shared" si="164"/>
        <v>North</v>
      </c>
      <c r="P1179" t="str">
        <f t="shared" si="165"/>
        <v>Accessories</v>
      </c>
      <c r="Q1179" t="str">
        <f t="shared" si="166"/>
        <v>Accessories</v>
      </c>
      <c r="R1179" t="str">
        <f t="shared" si="167"/>
        <v>North</v>
      </c>
      <c r="S1179" t="str">
        <f t="shared" si="168"/>
        <v>Chandigarh</v>
      </c>
      <c r="T1179">
        <f t="shared" si="169"/>
        <v>423</v>
      </c>
      <c r="U1179" t="str">
        <f t="shared" si="170"/>
        <v>OK</v>
      </c>
    </row>
    <row r="1180" spans="1:21" x14ac:dyDescent="0.3">
      <c r="A1180" t="s">
        <v>1418</v>
      </c>
      <c r="B1180" s="3">
        <v>45866</v>
      </c>
      <c r="C1180" t="s">
        <v>134</v>
      </c>
      <c r="D1180" t="s">
        <v>34</v>
      </c>
      <c r="E1180" t="s">
        <v>15</v>
      </c>
      <c r="F1180" t="s">
        <v>27</v>
      </c>
      <c r="G1180" t="s">
        <v>31</v>
      </c>
      <c r="H1180">
        <v>1</v>
      </c>
      <c r="I1180">
        <v>9820</v>
      </c>
      <c r="J1180">
        <v>0.2</v>
      </c>
      <c r="K1180">
        <v>7856</v>
      </c>
      <c r="L1180">
        <v>1265.45</v>
      </c>
      <c r="M1180" t="str">
        <f t="shared" si="162"/>
        <v>Desk</v>
      </c>
      <c r="N1180" t="str">
        <f t="shared" si="163"/>
        <v>Hyderabad</v>
      </c>
      <c r="O1180" t="str">
        <f t="shared" si="164"/>
        <v>South</v>
      </c>
      <c r="P1180" t="str">
        <f t="shared" si="165"/>
        <v>Furniture</v>
      </c>
      <c r="Q1180" t="str">
        <f t="shared" si="166"/>
        <v>Furniture</v>
      </c>
      <c r="R1180" t="str">
        <f t="shared" si="167"/>
        <v>South</v>
      </c>
      <c r="S1180" t="str">
        <f t="shared" si="168"/>
        <v>Hyderabad</v>
      </c>
      <c r="T1180">
        <f t="shared" si="169"/>
        <v>7856</v>
      </c>
      <c r="U1180" t="str">
        <f t="shared" si="170"/>
        <v>OK</v>
      </c>
    </row>
    <row r="1181" spans="1:21" x14ac:dyDescent="0.3">
      <c r="A1181" t="s">
        <v>1419</v>
      </c>
      <c r="B1181" s="3">
        <v>45971</v>
      </c>
      <c r="C1181" t="s">
        <v>253</v>
      </c>
      <c r="D1181" t="s">
        <v>103</v>
      </c>
      <c r="E1181" t="s">
        <v>51</v>
      </c>
      <c r="F1181" t="s">
        <v>58</v>
      </c>
      <c r="G1181" t="s">
        <v>69</v>
      </c>
      <c r="H1181">
        <v>3</v>
      </c>
      <c r="I1181">
        <v>2609</v>
      </c>
      <c r="J1181">
        <v>0.05</v>
      </c>
      <c r="K1181">
        <v>7435.65</v>
      </c>
      <c r="L1181">
        <v>1123.71</v>
      </c>
      <c r="M1181" t="str">
        <f t="shared" si="162"/>
        <v>Headphones</v>
      </c>
      <c r="N1181" t="str">
        <f t="shared" si="163"/>
        <v>Jaipur</v>
      </c>
      <c r="O1181" t="str">
        <f t="shared" si="164"/>
        <v>North</v>
      </c>
      <c r="P1181" t="str">
        <f t="shared" si="165"/>
        <v>Electronics</v>
      </c>
      <c r="Q1181" t="str">
        <f t="shared" si="166"/>
        <v>Electronics</v>
      </c>
      <c r="R1181" t="str">
        <f t="shared" si="167"/>
        <v>North</v>
      </c>
      <c r="S1181" t="str">
        <f t="shared" si="168"/>
        <v>Jaipur</v>
      </c>
      <c r="T1181">
        <f t="shared" si="169"/>
        <v>7435.65</v>
      </c>
      <c r="U1181" t="str">
        <f t="shared" si="170"/>
        <v>OK</v>
      </c>
    </row>
    <row r="1182" spans="1:21" x14ac:dyDescent="0.3">
      <c r="A1182" t="s">
        <v>1420</v>
      </c>
      <c r="B1182" s="3">
        <v>45931</v>
      </c>
      <c r="C1182" t="s">
        <v>394</v>
      </c>
      <c r="D1182" t="s">
        <v>25</v>
      </c>
      <c r="E1182" t="s">
        <v>26</v>
      </c>
      <c r="F1182" t="s">
        <v>21</v>
      </c>
      <c r="G1182" t="s">
        <v>55</v>
      </c>
      <c r="H1182">
        <v>1</v>
      </c>
      <c r="I1182">
        <v>9155</v>
      </c>
      <c r="J1182">
        <v>0.05</v>
      </c>
      <c r="K1182">
        <v>8697.25</v>
      </c>
      <c r="L1182">
        <v>1561.6</v>
      </c>
      <c r="M1182" t="str">
        <f t="shared" si="162"/>
        <v>Microwave</v>
      </c>
      <c r="N1182" t="str">
        <f t="shared" si="163"/>
        <v>Pune</v>
      </c>
      <c r="O1182" t="str">
        <f t="shared" si="164"/>
        <v>West</v>
      </c>
      <c r="P1182" t="str">
        <f t="shared" si="165"/>
        <v>Home Appliances</v>
      </c>
      <c r="Q1182" t="str">
        <f t="shared" si="166"/>
        <v>Home Appliances</v>
      </c>
      <c r="R1182" t="str">
        <f t="shared" si="167"/>
        <v>West</v>
      </c>
      <c r="S1182" t="str">
        <f t="shared" si="168"/>
        <v>Pune</v>
      </c>
      <c r="T1182">
        <f t="shared" si="169"/>
        <v>8697.25</v>
      </c>
      <c r="U1182" t="str">
        <f t="shared" si="170"/>
        <v>OK</v>
      </c>
    </row>
    <row r="1183" spans="1:21" x14ac:dyDescent="0.3">
      <c r="A1183" t="s">
        <v>1421</v>
      </c>
      <c r="B1183" s="3">
        <v>45853</v>
      </c>
      <c r="C1183" t="s">
        <v>807</v>
      </c>
      <c r="D1183" t="s">
        <v>50</v>
      </c>
      <c r="E1183" t="s">
        <v>51</v>
      </c>
      <c r="F1183" t="s">
        <v>58</v>
      </c>
      <c r="G1183" t="s">
        <v>126</v>
      </c>
      <c r="H1183">
        <v>3</v>
      </c>
      <c r="I1183">
        <v>1262</v>
      </c>
      <c r="J1183">
        <v>0</v>
      </c>
      <c r="K1183">
        <v>3786</v>
      </c>
      <c r="L1183">
        <v>797.86</v>
      </c>
      <c r="M1183" t="str">
        <f t="shared" si="162"/>
        <v>Keyboard</v>
      </c>
      <c r="N1183" t="str">
        <f t="shared" si="163"/>
        <v>Delhi</v>
      </c>
      <c r="O1183" t="str">
        <f t="shared" si="164"/>
        <v>North</v>
      </c>
      <c r="P1183" t="str">
        <f t="shared" si="165"/>
        <v>Electronics</v>
      </c>
      <c r="Q1183" t="str">
        <f t="shared" si="166"/>
        <v>Electronics</v>
      </c>
      <c r="R1183" t="str">
        <f t="shared" si="167"/>
        <v>North</v>
      </c>
      <c r="S1183" t="str">
        <f t="shared" si="168"/>
        <v>Delhi</v>
      </c>
      <c r="T1183">
        <f t="shared" si="169"/>
        <v>3786</v>
      </c>
      <c r="U1183" t="str">
        <f t="shared" si="170"/>
        <v>OK</v>
      </c>
    </row>
    <row r="1184" spans="1:21" x14ac:dyDescent="0.3">
      <c r="A1184" t="s">
        <v>1422</v>
      </c>
      <c r="B1184" s="3">
        <v>45824</v>
      </c>
      <c r="C1184" t="s">
        <v>187</v>
      </c>
      <c r="D1184" t="s">
        <v>43</v>
      </c>
      <c r="E1184" t="s">
        <v>44</v>
      </c>
      <c r="F1184" t="s">
        <v>16</v>
      </c>
      <c r="G1184" t="s">
        <v>104</v>
      </c>
      <c r="H1184">
        <v>3</v>
      </c>
      <c r="I1184">
        <v>1140</v>
      </c>
      <c r="J1184">
        <v>0.05</v>
      </c>
      <c r="K1184">
        <v>3249</v>
      </c>
      <c r="L1184">
        <v>846.95</v>
      </c>
      <c r="M1184" t="str">
        <f t="shared" si="162"/>
        <v>Phone Holder</v>
      </c>
      <c r="N1184" t="str">
        <f t="shared" si="163"/>
        <v>Bhubaneswar</v>
      </c>
      <c r="O1184" t="str">
        <f t="shared" si="164"/>
        <v>East</v>
      </c>
      <c r="P1184" t="str">
        <f t="shared" si="165"/>
        <v>Accessories</v>
      </c>
      <c r="Q1184" t="str">
        <f t="shared" si="166"/>
        <v>Accessories</v>
      </c>
      <c r="R1184" t="str">
        <f t="shared" si="167"/>
        <v>East</v>
      </c>
      <c r="S1184" t="str">
        <f t="shared" si="168"/>
        <v>Bhubaneswar</v>
      </c>
      <c r="T1184">
        <f t="shared" si="169"/>
        <v>3249</v>
      </c>
      <c r="U1184" t="str">
        <f t="shared" si="170"/>
        <v>OK</v>
      </c>
    </row>
    <row r="1185" spans="1:21" x14ac:dyDescent="0.3">
      <c r="A1185" t="s">
        <v>1423</v>
      </c>
      <c r="B1185" s="3">
        <v>45719</v>
      </c>
      <c r="C1185" t="s">
        <v>407</v>
      </c>
      <c r="D1185" t="s">
        <v>68</v>
      </c>
      <c r="E1185" t="s">
        <v>44</v>
      </c>
      <c r="F1185" t="s">
        <v>58</v>
      </c>
      <c r="G1185" t="s">
        <v>126</v>
      </c>
      <c r="H1185">
        <v>1</v>
      </c>
      <c r="I1185">
        <v>2824</v>
      </c>
      <c r="J1185">
        <v>0.2</v>
      </c>
      <c r="K1185">
        <v>2259.1999999999998</v>
      </c>
      <c r="L1185">
        <v>371.9</v>
      </c>
      <c r="M1185" t="str">
        <f t="shared" si="162"/>
        <v>Webcam</v>
      </c>
      <c r="N1185" t="str">
        <f t="shared" si="163"/>
        <v>Delhi</v>
      </c>
      <c r="O1185" t="str">
        <f t="shared" si="164"/>
        <v>North</v>
      </c>
      <c r="P1185" t="str">
        <f t="shared" si="165"/>
        <v>Accessories</v>
      </c>
      <c r="Q1185" t="str">
        <f t="shared" si="166"/>
        <v>Accessories</v>
      </c>
      <c r="R1185" t="str">
        <f t="shared" si="167"/>
        <v>North</v>
      </c>
      <c r="S1185" t="str">
        <f t="shared" si="168"/>
        <v>Delhi</v>
      </c>
      <c r="T1185">
        <f t="shared" si="169"/>
        <v>2259.2000000000003</v>
      </c>
      <c r="U1185" t="str">
        <f t="shared" si="170"/>
        <v>OK</v>
      </c>
    </row>
    <row r="1186" spans="1:21" x14ac:dyDescent="0.3">
      <c r="A1186" t="s">
        <v>1424</v>
      </c>
      <c r="B1186" s="3">
        <v>45820</v>
      </c>
      <c r="C1186" t="s">
        <v>143</v>
      </c>
      <c r="D1186" t="s">
        <v>80</v>
      </c>
      <c r="E1186" t="s">
        <v>51</v>
      </c>
      <c r="F1186" t="s">
        <v>58</v>
      </c>
      <c r="G1186" t="s">
        <v>126</v>
      </c>
      <c r="H1186">
        <v>3</v>
      </c>
      <c r="I1186">
        <v>62085</v>
      </c>
      <c r="J1186">
        <v>0.05</v>
      </c>
      <c r="K1186">
        <v>176942.25</v>
      </c>
      <c r="L1186">
        <v>49350.1</v>
      </c>
      <c r="M1186" t="str">
        <f t="shared" si="162"/>
        <v>Laptop</v>
      </c>
      <c r="N1186" t="str">
        <f t="shared" si="163"/>
        <v>Delhi</v>
      </c>
      <c r="O1186" t="str">
        <f t="shared" si="164"/>
        <v>North</v>
      </c>
      <c r="P1186" t="str">
        <f t="shared" si="165"/>
        <v>Electronics</v>
      </c>
      <c r="Q1186" t="str">
        <f t="shared" si="166"/>
        <v>Electronics</v>
      </c>
      <c r="R1186" t="str">
        <f t="shared" si="167"/>
        <v>North</v>
      </c>
      <c r="S1186" t="str">
        <f t="shared" si="168"/>
        <v>Delhi</v>
      </c>
      <c r="T1186">
        <f t="shared" si="169"/>
        <v>176942.25</v>
      </c>
      <c r="U1186" t="str">
        <f t="shared" si="170"/>
        <v>OK</v>
      </c>
    </row>
    <row r="1187" spans="1:21" x14ac:dyDescent="0.3">
      <c r="A1187" t="s">
        <v>1425</v>
      </c>
      <c r="B1187" s="3">
        <v>45988</v>
      </c>
      <c r="C1187" t="s">
        <v>278</v>
      </c>
      <c r="D1187" t="s">
        <v>68</v>
      </c>
      <c r="E1187" t="s">
        <v>44</v>
      </c>
      <c r="F1187" t="s">
        <v>16</v>
      </c>
      <c r="G1187" t="s">
        <v>104</v>
      </c>
      <c r="H1187">
        <v>4</v>
      </c>
      <c r="I1187">
        <v>3508</v>
      </c>
      <c r="J1187">
        <v>0.15</v>
      </c>
      <c r="K1187">
        <v>11927.2</v>
      </c>
      <c r="L1187">
        <v>3144.63</v>
      </c>
      <c r="M1187" t="str">
        <f t="shared" si="162"/>
        <v>Webcam</v>
      </c>
      <c r="N1187" t="str">
        <f t="shared" si="163"/>
        <v>Bhubaneswar</v>
      </c>
      <c r="O1187" t="str">
        <f t="shared" si="164"/>
        <v>East</v>
      </c>
      <c r="P1187" t="str">
        <f t="shared" si="165"/>
        <v>Accessories</v>
      </c>
      <c r="Q1187" t="str">
        <f t="shared" si="166"/>
        <v>Accessories</v>
      </c>
      <c r="R1187" t="str">
        <f t="shared" si="167"/>
        <v>East</v>
      </c>
      <c r="S1187" t="str">
        <f t="shared" si="168"/>
        <v>Bhubaneswar</v>
      </c>
      <c r="T1187">
        <f t="shared" si="169"/>
        <v>11927.199999999999</v>
      </c>
      <c r="U1187" t="str">
        <f t="shared" si="170"/>
        <v>OK</v>
      </c>
    </row>
    <row r="1188" spans="1:21" x14ac:dyDescent="0.3">
      <c r="A1188" t="s">
        <v>1426</v>
      </c>
      <c r="B1188" s="3">
        <v>45953</v>
      </c>
      <c r="C1188" t="s">
        <v>965</v>
      </c>
      <c r="D1188" t="s">
        <v>34</v>
      </c>
      <c r="E1188" t="s">
        <v>15</v>
      </c>
      <c r="F1188" t="s">
        <v>16</v>
      </c>
      <c r="G1188" t="s">
        <v>52</v>
      </c>
      <c r="H1188">
        <v>1</v>
      </c>
      <c r="I1188">
        <v>9379</v>
      </c>
      <c r="J1188">
        <v>0.05</v>
      </c>
      <c r="K1188">
        <v>8910.0499999999993</v>
      </c>
      <c r="L1188">
        <v>1910.78</v>
      </c>
      <c r="M1188" t="str">
        <f t="shared" si="162"/>
        <v>Desk</v>
      </c>
      <c r="N1188" t="str">
        <f t="shared" si="163"/>
        <v>Kolkata</v>
      </c>
      <c r="O1188" t="str">
        <f t="shared" si="164"/>
        <v>East</v>
      </c>
      <c r="P1188" t="str">
        <f t="shared" si="165"/>
        <v>Furniture</v>
      </c>
      <c r="Q1188" t="str">
        <f t="shared" si="166"/>
        <v>Furniture</v>
      </c>
      <c r="R1188" t="str">
        <f t="shared" si="167"/>
        <v>East</v>
      </c>
      <c r="S1188" t="str">
        <f t="shared" si="168"/>
        <v>Kolkata</v>
      </c>
      <c r="T1188">
        <f t="shared" si="169"/>
        <v>8910.0499999999993</v>
      </c>
      <c r="U1188" t="str">
        <f t="shared" si="170"/>
        <v>OK</v>
      </c>
    </row>
    <row r="1189" spans="1:21" x14ac:dyDescent="0.3">
      <c r="A1189" t="s">
        <v>1427</v>
      </c>
      <c r="B1189" s="3">
        <v>45710</v>
      </c>
      <c r="C1189" t="s">
        <v>1109</v>
      </c>
      <c r="D1189" t="s">
        <v>97</v>
      </c>
      <c r="E1189" t="s">
        <v>44</v>
      </c>
      <c r="F1189" t="s">
        <v>16</v>
      </c>
      <c r="G1189" t="s">
        <v>52</v>
      </c>
      <c r="H1189">
        <v>2</v>
      </c>
      <c r="I1189">
        <v>736</v>
      </c>
      <c r="J1189">
        <v>0.2</v>
      </c>
      <c r="K1189">
        <v>1177.5999999999999</v>
      </c>
      <c r="L1189">
        <v>206.92</v>
      </c>
      <c r="M1189" t="str">
        <f t="shared" si="162"/>
        <v>USB Cable</v>
      </c>
      <c r="N1189" t="str">
        <f t="shared" si="163"/>
        <v>Kolkata</v>
      </c>
      <c r="O1189" t="str">
        <f t="shared" si="164"/>
        <v>East</v>
      </c>
      <c r="P1189" t="str">
        <f t="shared" si="165"/>
        <v>Accessories</v>
      </c>
      <c r="Q1189" t="str">
        <f t="shared" si="166"/>
        <v>Accessories</v>
      </c>
      <c r="R1189" t="str">
        <f t="shared" si="167"/>
        <v>East</v>
      </c>
      <c r="S1189" t="str">
        <f t="shared" si="168"/>
        <v>Kolkata</v>
      </c>
      <c r="T1189">
        <f t="shared" si="169"/>
        <v>1177.6000000000001</v>
      </c>
      <c r="U1189" t="str">
        <f t="shared" si="170"/>
        <v>OK</v>
      </c>
    </row>
    <row r="1190" spans="1:21" x14ac:dyDescent="0.3">
      <c r="A1190" t="s">
        <v>1428</v>
      </c>
      <c r="B1190" s="3">
        <v>45909</v>
      </c>
      <c r="C1190" t="s">
        <v>578</v>
      </c>
      <c r="D1190" t="s">
        <v>202</v>
      </c>
      <c r="E1190" t="s">
        <v>44</v>
      </c>
      <c r="F1190" t="s">
        <v>27</v>
      </c>
      <c r="G1190" t="s">
        <v>28</v>
      </c>
      <c r="H1190">
        <v>4</v>
      </c>
      <c r="I1190">
        <v>3320</v>
      </c>
      <c r="J1190">
        <v>0.05</v>
      </c>
      <c r="K1190">
        <v>12616</v>
      </c>
      <c r="L1190">
        <v>2019.46</v>
      </c>
      <c r="M1190" t="str">
        <f t="shared" si="162"/>
        <v>Laptop Stand</v>
      </c>
      <c r="N1190" t="str">
        <f t="shared" si="163"/>
        <v>Bengaluru</v>
      </c>
      <c r="O1190" t="str">
        <f t="shared" si="164"/>
        <v>South</v>
      </c>
      <c r="P1190" t="str">
        <f t="shared" si="165"/>
        <v>Accessories</v>
      </c>
      <c r="Q1190" t="str">
        <f t="shared" si="166"/>
        <v>Accessories</v>
      </c>
      <c r="R1190" t="str">
        <f t="shared" si="167"/>
        <v>South</v>
      </c>
      <c r="S1190" t="str">
        <f t="shared" si="168"/>
        <v>Bengaluru</v>
      </c>
      <c r="T1190">
        <f t="shared" si="169"/>
        <v>12616</v>
      </c>
      <c r="U1190" t="str">
        <f t="shared" si="170"/>
        <v>OK</v>
      </c>
    </row>
    <row r="1191" spans="1:21" x14ac:dyDescent="0.3">
      <c r="A1191" t="s">
        <v>1429</v>
      </c>
      <c r="B1191" s="3">
        <v>45863</v>
      </c>
      <c r="C1191" t="s">
        <v>391</v>
      </c>
      <c r="D1191" t="s">
        <v>80</v>
      </c>
      <c r="E1191" t="s">
        <v>51</v>
      </c>
      <c r="F1191" t="s">
        <v>21</v>
      </c>
      <c r="G1191" t="s">
        <v>55</v>
      </c>
      <c r="H1191">
        <v>1</v>
      </c>
      <c r="I1191">
        <v>61480</v>
      </c>
      <c r="J1191">
        <v>0.1</v>
      </c>
      <c r="K1191">
        <v>55332</v>
      </c>
      <c r="L1191">
        <v>8772.33</v>
      </c>
      <c r="M1191" t="str">
        <f t="shared" si="162"/>
        <v>Laptop</v>
      </c>
      <c r="N1191" t="str">
        <f t="shared" si="163"/>
        <v>Pune</v>
      </c>
      <c r="O1191" t="str">
        <f t="shared" si="164"/>
        <v>West</v>
      </c>
      <c r="P1191" t="str">
        <f t="shared" si="165"/>
        <v>Electronics</v>
      </c>
      <c r="Q1191" t="str">
        <f t="shared" si="166"/>
        <v>Electronics</v>
      </c>
      <c r="R1191" t="str">
        <f t="shared" si="167"/>
        <v>West</v>
      </c>
      <c r="S1191" t="str">
        <f t="shared" si="168"/>
        <v>Pune</v>
      </c>
      <c r="T1191">
        <f t="shared" si="169"/>
        <v>55332</v>
      </c>
      <c r="U1191" t="str">
        <f t="shared" si="170"/>
        <v>OK</v>
      </c>
    </row>
    <row r="1192" spans="1:21" x14ac:dyDescent="0.3">
      <c r="A1192" t="s">
        <v>1430</v>
      </c>
      <c r="B1192" s="3">
        <v>45939</v>
      </c>
      <c r="C1192" t="s">
        <v>310</v>
      </c>
      <c r="D1192" t="s">
        <v>153</v>
      </c>
      <c r="E1192" t="s">
        <v>26</v>
      </c>
      <c r="F1192" t="s">
        <v>58</v>
      </c>
      <c r="G1192" t="s">
        <v>59</v>
      </c>
      <c r="H1192">
        <v>2</v>
      </c>
      <c r="I1192">
        <v>5687</v>
      </c>
      <c r="J1192">
        <v>0</v>
      </c>
      <c r="K1192">
        <v>11374</v>
      </c>
      <c r="L1192">
        <v>2077.44</v>
      </c>
      <c r="M1192" t="str">
        <f t="shared" si="162"/>
        <v>Coffee Maker</v>
      </c>
      <c r="N1192" t="str">
        <f t="shared" si="163"/>
        <v>Chandigarh</v>
      </c>
      <c r="O1192" t="str">
        <f t="shared" si="164"/>
        <v>North</v>
      </c>
      <c r="P1192" t="str">
        <f t="shared" si="165"/>
        <v>Home Appliances</v>
      </c>
      <c r="Q1192" t="str">
        <f t="shared" si="166"/>
        <v>Home Appliances</v>
      </c>
      <c r="R1192" t="str">
        <f t="shared" si="167"/>
        <v>North</v>
      </c>
      <c r="S1192" t="str">
        <f t="shared" si="168"/>
        <v>Chandigarh</v>
      </c>
      <c r="T1192">
        <f t="shared" si="169"/>
        <v>11374</v>
      </c>
      <c r="U1192" t="str">
        <f t="shared" si="170"/>
        <v>OK</v>
      </c>
    </row>
    <row r="1193" spans="1:21" x14ac:dyDescent="0.3">
      <c r="A1193" t="s">
        <v>1431</v>
      </c>
      <c r="B1193" s="3">
        <v>45994</v>
      </c>
      <c r="C1193" t="s">
        <v>305</v>
      </c>
      <c r="D1193" t="s">
        <v>25</v>
      </c>
      <c r="E1193" t="s">
        <v>26</v>
      </c>
      <c r="F1193" t="s">
        <v>16</v>
      </c>
      <c r="G1193" t="s">
        <v>17</v>
      </c>
      <c r="H1193">
        <v>1</v>
      </c>
      <c r="I1193">
        <v>16973</v>
      </c>
      <c r="J1193">
        <v>0</v>
      </c>
      <c r="K1193">
        <v>16973</v>
      </c>
      <c r="L1193">
        <v>4624.63</v>
      </c>
      <c r="M1193" t="str">
        <f t="shared" si="162"/>
        <v>Microwave</v>
      </c>
      <c r="N1193" t="str">
        <f t="shared" si="163"/>
        <v>Guwahati</v>
      </c>
      <c r="O1193" t="str">
        <f t="shared" si="164"/>
        <v>East</v>
      </c>
      <c r="P1193" t="str">
        <f t="shared" si="165"/>
        <v>Home Appliances</v>
      </c>
      <c r="Q1193" t="str">
        <f t="shared" si="166"/>
        <v>Home Appliances</v>
      </c>
      <c r="R1193" t="str">
        <f t="shared" si="167"/>
        <v>East</v>
      </c>
      <c r="S1193" t="str">
        <f t="shared" si="168"/>
        <v>Guwahati</v>
      </c>
      <c r="T1193">
        <f t="shared" si="169"/>
        <v>16973</v>
      </c>
      <c r="U1193" t="str">
        <f t="shared" si="170"/>
        <v>OK</v>
      </c>
    </row>
    <row r="1194" spans="1:21" x14ac:dyDescent="0.3">
      <c r="A1194" t="s">
        <v>1432</v>
      </c>
      <c r="B1194" s="3">
        <v>45692</v>
      </c>
      <c r="C1194" t="s">
        <v>71</v>
      </c>
      <c r="D1194" t="s">
        <v>34</v>
      </c>
      <c r="E1194" t="s">
        <v>15</v>
      </c>
      <c r="F1194" t="s">
        <v>21</v>
      </c>
      <c r="G1194" t="s">
        <v>35</v>
      </c>
      <c r="H1194">
        <v>2</v>
      </c>
      <c r="I1194">
        <v>14080</v>
      </c>
      <c r="J1194">
        <v>0.15</v>
      </c>
      <c r="K1194">
        <v>23936</v>
      </c>
      <c r="L1194">
        <v>3958.56</v>
      </c>
      <c r="M1194" t="str">
        <f t="shared" si="162"/>
        <v>Desk</v>
      </c>
      <c r="N1194" t="str">
        <f t="shared" si="163"/>
        <v>Mumbai</v>
      </c>
      <c r="O1194" t="str">
        <f t="shared" si="164"/>
        <v>West</v>
      </c>
      <c r="P1194" t="str">
        <f t="shared" si="165"/>
        <v>Furniture</v>
      </c>
      <c r="Q1194" t="str">
        <f t="shared" si="166"/>
        <v>Furniture</v>
      </c>
      <c r="R1194" t="str">
        <f t="shared" si="167"/>
        <v>West</v>
      </c>
      <c r="S1194" t="str">
        <f t="shared" si="168"/>
        <v>Mumbai</v>
      </c>
      <c r="T1194">
        <f t="shared" si="169"/>
        <v>23936</v>
      </c>
      <c r="U1194" t="str">
        <f t="shared" si="170"/>
        <v>OK</v>
      </c>
    </row>
    <row r="1195" spans="1:21" x14ac:dyDescent="0.3">
      <c r="A1195" t="s">
        <v>1433</v>
      </c>
      <c r="B1195" s="3">
        <v>45892</v>
      </c>
      <c r="C1195" t="s">
        <v>965</v>
      </c>
      <c r="D1195" t="s">
        <v>43</v>
      </c>
      <c r="E1195" t="s">
        <v>44</v>
      </c>
      <c r="F1195" t="s">
        <v>21</v>
      </c>
      <c r="G1195" t="s">
        <v>22</v>
      </c>
      <c r="H1195">
        <v>1</v>
      </c>
      <c r="I1195">
        <v>548</v>
      </c>
      <c r="J1195">
        <v>0</v>
      </c>
      <c r="K1195">
        <v>548</v>
      </c>
      <c r="L1195">
        <v>99.34</v>
      </c>
      <c r="M1195" t="str">
        <f t="shared" si="162"/>
        <v>Phone Holder</v>
      </c>
      <c r="N1195" t="str">
        <f t="shared" si="163"/>
        <v>Ahmedabad</v>
      </c>
      <c r="O1195" t="str">
        <f t="shared" si="164"/>
        <v>West</v>
      </c>
      <c r="P1195" t="str">
        <f t="shared" si="165"/>
        <v>Accessories</v>
      </c>
      <c r="Q1195" t="str">
        <f t="shared" si="166"/>
        <v>Accessories</v>
      </c>
      <c r="R1195" t="str">
        <f t="shared" si="167"/>
        <v>West</v>
      </c>
      <c r="S1195" t="str">
        <f t="shared" si="168"/>
        <v>Ahmedabad</v>
      </c>
      <c r="T1195">
        <f t="shared" si="169"/>
        <v>548</v>
      </c>
      <c r="U1195" t="str">
        <f t="shared" si="170"/>
        <v>OK</v>
      </c>
    </row>
    <row r="1196" spans="1:21" x14ac:dyDescent="0.3">
      <c r="A1196" t="s">
        <v>1434</v>
      </c>
      <c r="B1196" s="3">
        <v>45703</v>
      </c>
      <c r="C1196" t="s">
        <v>64</v>
      </c>
      <c r="D1196" t="s">
        <v>83</v>
      </c>
      <c r="E1196" t="s">
        <v>73</v>
      </c>
      <c r="F1196" t="s">
        <v>27</v>
      </c>
      <c r="G1196" t="s">
        <v>40</v>
      </c>
      <c r="H1196">
        <v>4</v>
      </c>
      <c r="I1196">
        <v>812</v>
      </c>
      <c r="J1196">
        <v>0.1</v>
      </c>
      <c r="K1196">
        <v>2923.2</v>
      </c>
      <c r="L1196">
        <v>316.23</v>
      </c>
      <c r="M1196" t="str">
        <f t="shared" si="162"/>
        <v>Printer Paper</v>
      </c>
      <c r="N1196" t="str">
        <f t="shared" si="163"/>
        <v>Chennai</v>
      </c>
      <c r="O1196" t="str">
        <f t="shared" si="164"/>
        <v>South</v>
      </c>
      <c r="P1196" t="str">
        <f t="shared" si="165"/>
        <v>Office Supplies</v>
      </c>
      <c r="Q1196" t="str">
        <f t="shared" si="166"/>
        <v>Office Supplies</v>
      </c>
      <c r="R1196" t="str">
        <f t="shared" si="167"/>
        <v>South</v>
      </c>
      <c r="S1196" t="str">
        <f t="shared" si="168"/>
        <v>Chennai</v>
      </c>
      <c r="T1196">
        <f t="shared" si="169"/>
        <v>2923.2000000000003</v>
      </c>
      <c r="U1196" t="str">
        <f t="shared" si="170"/>
        <v>OK</v>
      </c>
    </row>
    <row r="1197" spans="1:21" x14ac:dyDescent="0.3">
      <c r="A1197" t="s">
        <v>1435</v>
      </c>
      <c r="B1197" s="3">
        <v>45835</v>
      </c>
      <c r="C1197" t="s">
        <v>398</v>
      </c>
      <c r="D1197" t="s">
        <v>68</v>
      </c>
      <c r="E1197" t="s">
        <v>44</v>
      </c>
      <c r="F1197" t="s">
        <v>21</v>
      </c>
      <c r="G1197" t="s">
        <v>55</v>
      </c>
      <c r="H1197">
        <v>2</v>
      </c>
      <c r="I1197">
        <v>3134</v>
      </c>
      <c r="J1197">
        <v>0.05</v>
      </c>
      <c r="K1197">
        <v>5954.6</v>
      </c>
      <c r="L1197">
        <v>678.47</v>
      </c>
      <c r="M1197" t="str">
        <f t="shared" si="162"/>
        <v>Webcam</v>
      </c>
      <c r="N1197" t="str">
        <f t="shared" si="163"/>
        <v>Pune</v>
      </c>
      <c r="O1197" t="str">
        <f t="shared" si="164"/>
        <v>West</v>
      </c>
      <c r="P1197" t="str">
        <f t="shared" si="165"/>
        <v>Accessories</v>
      </c>
      <c r="Q1197" t="str">
        <f t="shared" si="166"/>
        <v>Accessories</v>
      </c>
      <c r="R1197" t="str">
        <f t="shared" si="167"/>
        <v>West</v>
      </c>
      <c r="S1197" t="str">
        <f t="shared" si="168"/>
        <v>Pune</v>
      </c>
      <c r="T1197">
        <f t="shared" si="169"/>
        <v>5954.5999999999995</v>
      </c>
      <c r="U1197" t="str">
        <f t="shared" si="170"/>
        <v>OK</v>
      </c>
    </row>
    <row r="1198" spans="1:21" x14ac:dyDescent="0.3">
      <c r="A1198" t="s">
        <v>1436</v>
      </c>
      <c r="B1198" s="3">
        <v>45707</v>
      </c>
      <c r="C1198" t="s">
        <v>231</v>
      </c>
      <c r="D1198" t="s">
        <v>83</v>
      </c>
      <c r="E1198" t="s">
        <v>73</v>
      </c>
      <c r="F1198" t="s">
        <v>58</v>
      </c>
      <c r="G1198" t="s">
        <v>69</v>
      </c>
      <c r="H1198">
        <v>3</v>
      </c>
      <c r="I1198">
        <v>419</v>
      </c>
      <c r="J1198">
        <v>0</v>
      </c>
      <c r="K1198">
        <v>1257</v>
      </c>
      <c r="L1198">
        <v>185.24</v>
      </c>
      <c r="M1198" t="str">
        <f t="shared" si="162"/>
        <v>Printer Paper</v>
      </c>
      <c r="N1198" t="str">
        <f t="shared" si="163"/>
        <v>Jaipur</v>
      </c>
      <c r="O1198" t="str">
        <f t="shared" si="164"/>
        <v>North</v>
      </c>
      <c r="P1198" t="str">
        <f t="shared" si="165"/>
        <v>Office Supplies</v>
      </c>
      <c r="Q1198" t="str">
        <f t="shared" si="166"/>
        <v>Office Supplies</v>
      </c>
      <c r="R1198" t="str">
        <f t="shared" si="167"/>
        <v>North</v>
      </c>
      <c r="S1198" t="str">
        <f t="shared" si="168"/>
        <v>Jaipur</v>
      </c>
      <c r="T1198">
        <f t="shared" si="169"/>
        <v>1257</v>
      </c>
      <c r="U1198" t="str">
        <f t="shared" si="170"/>
        <v>OK</v>
      </c>
    </row>
    <row r="1199" spans="1:21" x14ac:dyDescent="0.3">
      <c r="A1199" t="s">
        <v>1437</v>
      </c>
      <c r="B1199" s="3">
        <v>45660</v>
      </c>
      <c r="C1199" t="s">
        <v>156</v>
      </c>
      <c r="D1199" t="s">
        <v>65</v>
      </c>
      <c r="E1199" t="s">
        <v>26</v>
      </c>
      <c r="F1199" t="s">
        <v>21</v>
      </c>
      <c r="G1199" t="s">
        <v>22</v>
      </c>
      <c r="H1199">
        <v>3</v>
      </c>
      <c r="I1199">
        <v>2235</v>
      </c>
      <c r="J1199">
        <v>0.15</v>
      </c>
      <c r="K1199">
        <v>5699.25</v>
      </c>
      <c r="L1199">
        <v>944.44</v>
      </c>
      <c r="M1199" t="str">
        <f t="shared" si="162"/>
        <v>Electric Kettle</v>
      </c>
      <c r="N1199" t="str">
        <f t="shared" si="163"/>
        <v>Ahmedabad</v>
      </c>
      <c r="O1199" t="str">
        <f t="shared" si="164"/>
        <v>West</v>
      </c>
      <c r="P1199" t="str">
        <f t="shared" si="165"/>
        <v>Home Appliances</v>
      </c>
      <c r="Q1199" t="str">
        <f t="shared" si="166"/>
        <v>Home Appliances</v>
      </c>
      <c r="R1199" t="str">
        <f t="shared" si="167"/>
        <v>West</v>
      </c>
      <c r="S1199" t="str">
        <f t="shared" si="168"/>
        <v>Ahmedabad</v>
      </c>
      <c r="T1199">
        <f t="shared" si="169"/>
        <v>5699.25</v>
      </c>
      <c r="U1199" t="str">
        <f t="shared" si="170"/>
        <v>OK</v>
      </c>
    </row>
    <row r="1200" spans="1:21" x14ac:dyDescent="0.3">
      <c r="A1200" t="s">
        <v>1438</v>
      </c>
      <c r="B1200" s="3">
        <v>45783</v>
      </c>
      <c r="C1200" t="s">
        <v>156</v>
      </c>
      <c r="D1200" t="s">
        <v>83</v>
      </c>
      <c r="E1200" t="s">
        <v>73</v>
      </c>
      <c r="F1200" t="s">
        <v>58</v>
      </c>
      <c r="G1200" t="s">
        <v>59</v>
      </c>
      <c r="H1200">
        <v>3</v>
      </c>
      <c r="I1200">
        <v>526</v>
      </c>
      <c r="J1200">
        <v>0.05</v>
      </c>
      <c r="K1200">
        <v>1499.1</v>
      </c>
      <c r="L1200">
        <v>275.14</v>
      </c>
      <c r="M1200" t="str">
        <f t="shared" si="162"/>
        <v>Printer Paper</v>
      </c>
      <c r="N1200" t="str">
        <f t="shared" si="163"/>
        <v>Chandigarh</v>
      </c>
      <c r="O1200" t="str">
        <f t="shared" si="164"/>
        <v>North</v>
      </c>
      <c r="P1200" t="str">
        <f t="shared" si="165"/>
        <v>Office Supplies</v>
      </c>
      <c r="Q1200" t="str">
        <f t="shared" si="166"/>
        <v>Office Supplies</v>
      </c>
      <c r="R1200" t="str">
        <f t="shared" si="167"/>
        <v>North</v>
      </c>
      <c r="S1200" t="str">
        <f t="shared" si="168"/>
        <v>Chandigarh</v>
      </c>
      <c r="T1200">
        <f t="shared" si="169"/>
        <v>1499.1</v>
      </c>
      <c r="U1200" t="str">
        <f t="shared" si="170"/>
        <v>OK</v>
      </c>
    </row>
    <row r="1201" spans="1:21" x14ac:dyDescent="0.3">
      <c r="A1201" t="s">
        <v>1439</v>
      </c>
      <c r="B1201" s="3">
        <v>45862</v>
      </c>
      <c r="C1201" t="s">
        <v>580</v>
      </c>
      <c r="D1201" t="s">
        <v>65</v>
      </c>
      <c r="E1201" t="s">
        <v>26</v>
      </c>
      <c r="F1201" t="s">
        <v>27</v>
      </c>
      <c r="G1201" t="s">
        <v>40</v>
      </c>
      <c r="H1201">
        <v>4</v>
      </c>
      <c r="I1201">
        <v>3977</v>
      </c>
      <c r="J1201">
        <v>0.1</v>
      </c>
      <c r="K1201">
        <v>14317.2</v>
      </c>
      <c r="L1201">
        <v>2123.2600000000002</v>
      </c>
      <c r="M1201" t="str">
        <f t="shared" si="162"/>
        <v>Electric Kettle</v>
      </c>
      <c r="N1201" t="str">
        <f t="shared" si="163"/>
        <v>Chennai</v>
      </c>
      <c r="O1201" t="str">
        <f t="shared" si="164"/>
        <v>South</v>
      </c>
      <c r="P1201" t="str">
        <f t="shared" si="165"/>
        <v>Home Appliances</v>
      </c>
      <c r="Q1201" t="str">
        <f t="shared" si="166"/>
        <v>Home Appliances</v>
      </c>
      <c r="R1201" t="str">
        <f t="shared" si="167"/>
        <v>South</v>
      </c>
      <c r="S1201" t="str">
        <f t="shared" si="168"/>
        <v>Chennai</v>
      </c>
      <c r="T1201">
        <f t="shared" si="169"/>
        <v>14317.2</v>
      </c>
      <c r="U1201" t="str">
        <f t="shared" si="170"/>
        <v>OK</v>
      </c>
    </row>
    <row r="1210" spans="1:21" x14ac:dyDescent="0.3">
      <c r="K121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2"/>
  <sheetViews>
    <sheetView workbookViewId="0"/>
  </sheetViews>
  <sheetFormatPr defaultRowHeight="14.4" x14ac:dyDescent="0.3"/>
  <cols>
    <col min="1" max="1" width="36.88671875" customWidth="1"/>
    <col min="2" max="2" width="36" customWidth="1"/>
    <col min="3" max="3" width="30.77734375" customWidth="1"/>
    <col min="4" max="4" width="36.109375" customWidth="1"/>
    <col min="5" max="5" width="44.5546875" customWidth="1"/>
  </cols>
  <sheetData>
    <row r="1" spans="1:5" x14ac:dyDescent="0.3">
      <c r="A1" s="1" t="s">
        <v>1440</v>
      </c>
      <c r="B1" s="1" t="s">
        <v>1441</v>
      </c>
      <c r="C1" s="1" t="s">
        <v>1442</v>
      </c>
      <c r="D1" s="1" t="s">
        <v>1443</v>
      </c>
      <c r="E1" s="1" t="s">
        <v>1444</v>
      </c>
    </row>
    <row r="2" spans="1:5" x14ac:dyDescent="0.3">
      <c r="A2" t="s">
        <v>1445</v>
      </c>
      <c r="B2">
        <v>1203</v>
      </c>
      <c r="C2">
        <v>1200</v>
      </c>
      <c r="D2">
        <v>2025</v>
      </c>
      <c r="E2" t="s">
        <v>1446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by Category</vt:lpstr>
      <vt:lpstr>Sales by Region</vt:lpstr>
      <vt:lpstr>Profit by Category</vt:lpstr>
      <vt:lpstr>Monthly Sales Trend</vt:lpstr>
      <vt:lpstr>Top 10 Products by Sales</vt:lpstr>
      <vt:lpstr>Discount vs Profit</vt:lpstr>
      <vt:lpstr>Dashboard</vt:lpstr>
      <vt:lpstr>Cleaned_Data</vt:lpstr>
      <vt:lpstr>Analysis</vt:lpstr>
      <vt:lpstr>Raw_Data</vt:lpstr>
      <vt:lpstr>Cleaned_Data_Backup</vt:lpstr>
      <vt:lpstr>Project_Info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 Sharma</cp:lastModifiedBy>
  <dcterms:created xsi:type="dcterms:W3CDTF">2026-08-17T19:44:50Z</dcterms:created>
  <dcterms:modified xsi:type="dcterms:W3CDTF">2026-08-18T10:30:32Z</dcterms:modified>
</cp:coreProperties>
</file>